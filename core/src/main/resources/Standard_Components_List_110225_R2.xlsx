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Investment\LokaliX-solutions\Costing Management Tool\Go-live material\"/>
    </mc:Choice>
  </mc:AlternateContent>
  <xr:revisionPtr revIDLastSave="0" documentId="13_ncr:1_{2AEF9542-178A-4CBC-9009-910ADB97F479}" xr6:coauthVersionLast="47" xr6:coauthVersionMax="47" xr10:uidLastSave="{00000000-0000-0000-0000-000000000000}"/>
  <bookViews>
    <workbookView xWindow="-110" yWindow="-110" windowWidth="19420" windowHeight="10300" activeTab="2" xr2:uid="{5300C3BF-6394-4AFD-9D51-C1A913868634}"/>
  </bookViews>
  <sheets>
    <sheet name="Standard Items List" sheetId="13" r:id="rId1"/>
    <sheet name="Mark-up rule" sheetId="14" r:id="rId2"/>
    <sheet name="Sheet2" sheetId="15" r:id="rId3"/>
  </sheets>
  <externalReferences>
    <externalReference r:id="rId4"/>
  </externalReferences>
  <definedNames>
    <definedName name="_xlnm._FilterDatabase" localSheetId="0" hidden="1">'Standard Items List'!$B$4:$J$3670</definedName>
    <definedName name="qwe">'[1]Malaysia Only'!$A:$G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9" i="13" l="1"/>
  <c r="G206" i="13"/>
  <c r="G193" i="13"/>
  <c r="G178" i="13"/>
  <c r="G159" i="13"/>
  <c r="G135" i="13"/>
  <c r="G133" i="13"/>
  <c r="G131" i="13"/>
  <c r="G118" i="13"/>
  <c r="G115" i="13"/>
  <c r="G113" i="13"/>
  <c r="G112" i="13"/>
  <c r="G106" i="13"/>
  <c r="G105" i="13"/>
  <c r="G48" i="13"/>
  <c r="G41" i="13"/>
  <c r="G39" i="13"/>
  <c r="G29" i="13"/>
  <c r="G28" i="13"/>
  <c r="G27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151" authorId="0" shapeId="0" xr:uid="{0C49E20B-3FD1-427E-8788-9187287B6500}">
      <text>
        <r>
          <rPr>
            <sz val="9"/>
            <color indexed="81"/>
            <rFont val="Tahoma"/>
            <family val="2"/>
          </rPr>
          <t xml:space="preserve">Elyn:
Mr Lim inform actual MPN is NMCSM5
</t>
        </r>
      </text>
    </comment>
    <comment ref="E198" authorId="0" shapeId="0" xr:uid="{86EA40CA-3B6A-49FE-8566-75C73C77CD0A}">
      <text>
        <r>
          <rPr>
            <sz val="9"/>
            <color indexed="81"/>
            <rFont val="Tahoma"/>
            <family val="2"/>
          </rPr>
          <t xml:space="preserve">Elyn:
Mr Lim inform actual MPN is MSV6-15
</t>
        </r>
      </text>
    </comment>
    <comment ref="E262" authorId="0" shapeId="0" xr:uid="{A1419324-17D6-4B7C-A821-379219848E91}">
      <text>
        <r>
          <rPr>
            <sz val="9"/>
            <color indexed="81"/>
            <rFont val="Tahoma"/>
            <family val="2"/>
          </rPr>
          <t xml:space="preserve">Elyn:
Mr Lim inform actual MPN is SLSBG5-15-M4-N3
</t>
        </r>
      </text>
    </comment>
  </commentList>
</comments>
</file>

<file path=xl/sharedStrings.xml><?xml version="1.0" encoding="utf-8"?>
<sst xmlns="http://schemas.openxmlformats.org/spreadsheetml/2006/main" count="19848" uniqueCount="6798">
  <si>
    <t>Master Price List 2021</t>
  </si>
  <si>
    <t xml:space="preserve">Part Items </t>
  </si>
  <si>
    <t>Description</t>
  </si>
  <si>
    <t>Supplier</t>
  </si>
  <si>
    <t>MPN</t>
  </si>
  <si>
    <t>WAGO ELECTRONICS</t>
  </si>
  <si>
    <t>Allied Inventory Systems</t>
  </si>
  <si>
    <t>PACTUMAX</t>
  </si>
  <si>
    <t>SMC</t>
  </si>
  <si>
    <t>BOSSARD</t>
  </si>
  <si>
    <t>ELEMENT 14</t>
  </si>
  <si>
    <t>MISUMI</t>
  </si>
  <si>
    <t>DOU YEE</t>
  </si>
  <si>
    <t>ROBOMATICS (S.E.A) S/B</t>
  </si>
  <si>
    <t>-</t>
  </si>
  <si>
    <t>TABLE-MICRO ON BEARING-BALL STROKE=20MM</t>
  </si>
  <si>
    <t>NDN 2-30.20</t>
  </si>
  <si>
    <t>KUBO TECH AG</t>
  </si>
  <si>
    <t>PUSHER-SPRING-LATERAL D=3</t>
  </si>
  <si>
    <t>SEAL-TORIC   5X1</t>
  </si>
  <si>
    <t>0101-001121</t>
  </si>
  <si>
    <t>NANOLOGY</t>
  </si>
  <si>
    <t>SEAL-TORIC   3X1</t>
  </si>
  <si>
    <t>FIBER OPTIC SENSOR</t>
  </si>
  <si>
    <t>FU-57TE</t>
  </si>
  <si>
    <t>FS-V33CP</t>
  </si>
  <si>
    <t>SUPPORT-AMPLIFIER KEYENCE</t>
  </si>
  <si>
    <t>OP-73880</t>
  </si>
  <si>
    <t>CABLE CONNECTOR M8 10M</t>
  </si>
  <si>
    <t>OP-73865</t>
  </si>
  <si>
    <t>NDN05.25-20</t>
  </si>
  <si>
    <t>SCREW-CYL.HEAD HEXA. M 3X 40 PART.THR.</t>
  </si>
  <si>
    <t>BN611, M3x40</t>
  </si>
  <si>
    <t>SCREW-CYL.HEAD HEXA. M 3x 16</t>
  </si>
  <si>
    <t>BN610 M3x16</t>
  </si>
  <si>
    <t>SCREW-CYL.HEAD HEXA. M 4x 16 ALL THR.</t>
  </si>
  <si>
    <t>SCREW-CYL.HEAD HEX. M 3x 8 A.T.</t>
  </si>
  <si>
    <t>BN610 M3x8</t>
  </si>
  <si>
    <t>CLS-M4-0</t>
  </si>
  <si>
    <t>SINGAPORE SPRING</t>
  </si>
  <si>
    <t>NT54-577</t>
  </si>
  <si>
    <t>FS-N12P</t>
  </si>
  <si>
    <t>UNIT-TERMINAL-FOR-AMPLIFIER</t>
  </si>
  <si>
    <t>OP-26751</t>
  </si>
  <si>
    <t>FS-N11P</t>
  </si>
  <si>
    <t>FSE 100F6Y01</t>
  </si>
  <si>
    <t>FVDK 10P66Y0</t>
  </si>
  <si>
    <t>CARPET-RUBBER BLACK,MAT BR=1.20M</t>
  </si>
  <si>
    <t>1S167-R</t>
  </si>
  <si>
    <t>SENSOR-PHOTO REFLECTIVE</t>
  </si>
  <si>
    <t>FU-21X</t>
  </si>
  <si>
    <t>LENS FOR OPTIC. FIBER</t>
  </si>
  <si>
    <t>IONIZER-KEYENCE SJ-F031</t>
  </si>
  <si>
    <t>SJ-F031</t>
  </si>
  <si>
    <t>SEAL-TORIC   2X1</t>
  </si>
  <si>
    <t>FSE 200C/509460</t>
  </si>
  <si>
    <t>IFRM 03P1505/CS35L</t>
  </si>
  <si>
    <t>SEAL-TORIC   1.8X1</t>
  </si>
  <si>
    <t>OR1000180-N7036</t>
  </si>
  <si>
    <t>OR1000200-N7003</t>
  </si>
  <si>
    <t>OR1000300-N7003</t>
  </si>
  <si>
    <t>SEAL-TORIC   2X0.5</t>
  </si>
  <si>
    <t>OR0500200-N7024</t>
  </si>
  <si>
    <t>SEAL-TORIC   2.5X1</t>
  </si>
  <si>
    <t>OR1000250-N7003</t>
  </si>
  <si>
    <t>SEAL-TORIC   1.2X1</t>
  </si>
  <si>
    <t>SEAL-TORIC   5X1.5</t>
  </si>
  <si>
    <t>OR1500500-N7003</t>
  </si>
  <si>
    <t>ESG 05SP0500</t>
  </si>
  <si>
    <t>SCREW-RAISED HEAD HEX. M 3X 4 A.T. ISO7380-1</t>
  </si>
  <si>
    <t>WASHER-FLAT 8.4X24X2 (M8) ISO7093</t>
  </si>
  <si>
    <t>CABLE AMPLI CONNECTOR M8 L=2M</t>
  </si>
  <si>
    <t>OP-73864</t>
  </si>
  <si>
    <t>OHDM 12P6901/S35A</t>
  </si>
  <si>
    <t>ESW 05SP0200</t>
  </si>
  <si>
    <t>SLEEVE,BLACK,1/2</t>
  </si>
  <si>
    <t xml:space="preserve">HIX 1/2 </t>
  </si>
  <si>
    <t>T1120017</t>
  </si>
  <si>
    <t>SENSOR-PHOTO THRU-BEAM MINI</t>
  </si>
  <si>
    <t>PS-52C</t>
  </si>
  <si>
    <t>THREADED PIN</t>
  </si>
  <si>
    <t>MVD965.015</t>
  </si>
  <si>
    <t>OZDK 10P5101</t>
  </si>
  <si>
    <t>SPACER M3X12 HEX</t>
  </si>
  <si>
    <t>SCREW-CYL.HEAD HEX.M2.0X 18 PART.THR. ISO4762</t>
  </si>
  <si>
    <t>80.0000.0727</t>
  </si>
  <si>
    <t>Threaded Insert M3x6 H2870ZG</t>
  </si>
  <si>
    <t>THREADED INSERT</t>
  </si>
  <si>
    <t>MVD915.010</t>
  </si>
  <si>
    <t>RETAINING RING</t>
  </si>
  <si>
    <t>MVD6325.088</t>
  </si>
  <si>
    <t>MVP.199</t>
  </si>
  <si>
    <t>SPRING PLATE</t>
  </si>
  <si>
    <t>BESWICK</t>
  </si>
  <si>
    <t>SERVO</t>
  </si>
  <si>
    <t>FU-35FA</t>
  </si>
  <si>
    <t>NUT RIVER BLIND COUNT.-HEAD M5X16 TUBTARA</t>
  </si>
  <si>
    <t>ARTICLE NO:1174339</t>
  </si>
  <si>
    <t>80.0000.3993</t>
  </si>
  <si>
    <t>GN 725-150-M8</t>
  </si>
  <si>
    <t>CONNECTOR BRACKET</t>
  </si>
  <si>
    <t>Y400-A</t>
  </si>
  <si>
    <t>BRACKET</t>
  </si>
  <si>
    <t>Y400T-A</t>
  </si>
  <si>
    <t>CSB SPRING &amp; HARDWARE SDN BHD</t>
  </si>
  <si>
    <t>SCREW-HEADLESS HEX.F.P. M 3X 8 A.T. ISO4026</t>
  </si>
  <si>
    <t>RS COMPONENTS</t>
  </si>
  <si>
    <t>SENSOR-PHOTO THRU BEAM</t>
  </si>
  <si>
    <t>FU-59</t>
  </si>
  <si>
    <t>Prodata Electronics (S) Pte Ltd</t>
  </si>
  <si>
    <t>FUSE 5X20MM 1A QUICK BLOW</t>
  </si>
  <si>
    <t>ADVANCE BOLTS (MELAKA) S/B</t>
  </si>
  <si>
    <t>DOWEL PIN</t>
  </si>
  <si>
    <t>80.0001.1388</t>
  </si>
  <si>
    <t>FHDM 12P5001/S35A</t>
  </si>
  <si>
    <t>KEYENCE(MALAYSIA) S/B</t>
  </si>
  <si>
    <t>MOUSER ELECTRONICS</t>
  </si>
  <si>
    <t>DIGI KEY ELECTRONICS</t>
  </si>
  <si>
    <t>KVC INDUSTRIAL SUPPLIES</t>
  </si>
  <si>
    <t>NUT HEX. 0.5D M12 ISO4035</t>
  </si>
  <si>
    <t>BN124
BOSSARD NO:1090704</t>
  </si>
  <si>
    <t>SEAL-TORIC 4X1</t>
  </si>
  <si>
    <t>OR1000400-N70</t>
  </si>
  <si>
    <t>NUT-CLIPS M3</t>
  </si>
  <si>
    <t>AF1EA3</t>
  </si>
  <si>
    <t>CUP POINT SET SCREW,M3 4MM L</t>
  </si>
  <si>
    <t>GUTB4-5-12</t>
  </si>
  <si>
    <t>NISAN LM SYSTEM &amp; BEARING SERVICES</t>
  </si>
  <si>
    <t>TEXTRAN FASTERNERS SDN BHD</t>
  </si>
  <si>
    <t>SP-M4-2</t>
  </si>
  <si>
    <t>FASTENER-CAPTIVE M5-5MM FLANGE-HAND OP.</t>
  </si>
  <si>
    <t> 47-80-582-10</t>
  </si>
  <si>
    <t>ACTUATOR-CODED MAGNETIC</t>
  </si>
  <si>
    <t>BPS250</t>
  </si>
  <si>
    <t>SCREW-CAP SKT HD M4 X 0.7 X 18mm    SST 590110</t>
  </si>
  <si>
    <t xml:space="preserve">OFFER SS 304 A2 SOCKET CAP SCREW DIN912 (FT)  M4 X 0.7 X 18 </t>
  </si>
  <si>
    <t>ADHESIVE-THREAD LOCKING LOW-STRENGTH #222</t>
  </si>
  <si>
    <t>SCREW-SET M4 X 0.7 X 6mm            SST 590111</t>
  </si>
  <si>
    <t xml:space="preserve">OFFER SS 304 A2 SOCKET SET SCREW DIN 916 M4 X 0.7 X 6 </t>
  </si>
  <si>
    <t>SCREW-BTNHD HEXSKT M6 X 1.0 X 12mm  STL 590119</t>
  </si>
  <si>
    <t xml:space="preserve">OFFER SS 304 A2 SOCKET BUTTON CAP SCREW ISO 7380 M6 X 1.0 X 12 </t>
  </si>
  <si>
    <t>SCREW-MACH FLH PH  M4 X 0.7 X 8mm   SST 590107</t>
  </si>
  <si>
    <t>M4 X 8MM</t>
  </si>
  <si>
    <t>SCREW-CAP SKT HD M4 X 0.7 X 14mm    SST 590110</t>
  </si>
  <si>
    <t xml:space="preserve">OFFER SS 304 A2 SOCKET CAP SCREW DIN 912 M4 X 0.7 X 14 </t>
  </si>
  <si>
    <t>CORD-EPDM FOAM-CLOSED CELL-1/8 OD</t>
  </si>
  <si>
    <t>8605K41</t>
  </si>
  <si>
    <t>SOLDER-SAC305-LEAD FREE-NO CLEAN FLUX</t>
  </si>
  <si>
    <t>14048
SAC305 GLOWCORE .032
738-14048</t>
  </si>
  <si>
    <t>WIRE-TEFLON     22AWG WHT</t>
  </si>
  <si>
    <t>BELDEN</t>
  </si>
  <si>
    <t>E22 7 9
83005-9
1100-65-9
M16878/4-BFB-ST0010-9B</t>
  </si>
  <si>
    <t>WIRE-HOOK UP-22 AWG-BLK-PVC</t>
  </si>
  <si>
    <t>1855/19-2</t>
  </si>
  <si>
    <t>WIRE-HOOK UP-20 AWG-GRN-PVC</t>
  </si>
  <si>
    <t>1856/19-4</t>
  </si>
  <si>
    <t>VACUUM CUP-DIA 3.0MM-LG 7.9MM-BELLOW-ESD1-590127</t>
  </si>
  <si>
    <t>AMS</t>
  </si>
  <si>
    <t>TBB-3.0-7.92</t>
  </si>
  <si>
    <t>VACUUM CUP-DIA 2.5MM-LG 3.3MM-FLAT-ESD1-BOSS 590127</t>
  </si>
  <si>
    <t>VSP-3.3A-2.5_Rev2</t>
  </si>
  <si>
    <t>VACUUM CUP-DIA 2.5MM-LG 4.6MM-BELLOW-ESD1 590127</t>
  </si>
  <si>
    <t>VSPB-4.57-2.54</t>
  </si>
  <si>
    <t>HEATER BLANKET-W/PSA-1 X 11.7-SILICONE RUBBER-3 ZONES</t>
  </si>
  <si>
    <t>AZPOWER TECHNOLOGY</t>
  </si>
  <si>
    <t>AZSR29725</t>
  </si>
  <si>
    <t>CABLE-TWISTED  PVC    18AWG  2COND</t>
  </si>
  <si>
    <t>9740
C6101A</t>
  </si>
  <si>
    <t>WIRE-TEF     26AWG WHT</t>
  </si>
  <si>
    <t>83002 SPECIFY COLOR
1100-43 SPECIFY COLOR</t>
  </si>
  <si>
    <t>RING-RETAINER EXT 3/16 OD</t>
  </si>
  <si>
    <t>Q2-18
98410A110
Z2-2</t>
  </si>
  <si>
    <t>FITTING-BARBED M3 1.6MM TUBE-BRASS</t>
  </si>
  <si>
    <t>M3H-1012</t>
  </si>
  <si>
    <t>FITTING-ELBOW ADJ BARBED M3 .062 TUBE</t>
  </si>
  <si>
    <t>M3LS-1012</t>
  </si>
  <si>
    <t>CABLE-USB-HI FLEX-3 METER W/HIROSE 10 PIN CONN-FST-SLEEVE</t>
  </si>
  <si>
    <t>EKRK 053915 R 00</t>
  </si>
  <si>
    <t>CABLE-USB-HI FLEX-5 METER W/HIROSE 10 PIN CONN-HYBRID</t>
  </si>
  <si>
    <t>EKRK 053914 R 00</t>
  </si>
  <si>
    <t>LABEL-BLANK-POLYESTER .75 X.25 ADHES BACK</t>
  </si>
  <si>
    <t>THT-1-351-10</t>
  </si>
  <si>
    <t>LABEL-SELF LAMINATING WHT 1.00 X 1.437</t>
  </si>
  <si>
    <t>THT-9-427-10</t>
  </si>
  <si>
    <t>SPRING-COMPRESSION-.250 OD 224 ID .38 LB/IN .013 DIA .88 LG</t>
  </si>
  <si>
    <t>S-1313</t>
  </si>
  <si>
    <t>CABLE-6 COND 22 AWG HIGH FLEX SHIELDED</t>
  </si>
  <si>
    <t>NMEF 6/22-6540-SJ</t>
  </si>
  <si>
    <t>CABLE-3 COND 24 AWG HIGH FLEX SHIELDED</t>
  </si>
  <si>
    <t>NMEF 3/24-10544-SJ</t>
  </si>
  <si>
    <t>CABLE-SILIFLEX-4COND-SHIELDED-18AWG</t>
  </si>
  <si>
    <t>AS155-18-4SJ</t>
  </si>
  <si>
    <t>CABLE-SILIFLEX-3COND-SHIELDED-24AWG</t>
  </si>
  <si>
    <t>AS155-24-3SJ</t>
  </si>
  <si>
    <t>MAGNET-DISC-DIA 6MM X 3 THK</t>
  </si>
  <si>
    <t>MAGNET-DISC DIA 6MM X 3MM THK</t>
  </si>
  <si>
    <t>CONN-POWER FEMALE 5.5mm OD 2.5mm ID</t>
  </si>
  <si>
    <t>PP-002B
PP3-002B (RoHS COMPLIANT)
CP3-1001-ND (RoHS COMPLIANT)</t>
  </si>
  <si>
    <t>TIE-CABLE 2.0 DIA</t>
  </si>
  <si>
    <t>08377
8377
PLT2I</t>
  </si>
  <si>
    <t>JACK SCREW KIT-INCLUDING RETAINING CLIP-PAIR</t>
  </si>
  <si>
    <t>A33695-ND
5205980-1</t>
  </si>
  <si>
    <t>METER-FLOW  10-100LPM AIR  SST VALVE</t>
  </si>
  <si>
    <t>P&amp;P PROCESS &amp; PNEUMATICS SDN BHD</t>
  </si>
  <si>
    <t>RMA-25-SSV</t>
  </si>
  <si>
    <t>TERMINAL-SOLDERLESS RING TONGUE #06</t>
  </si>
  <si>
    <t>C-836-06X
35149</t>
  </si>
  <si>
    <t>FITTING-BULKHEAD-UNION-6mm PUSH-9/16 MTG HOLE</t>
  </si>
  <si>
    <t>153377
PM6M</t>
  </si>
  <si>
    <t>TUBING-ESD 4mmOD X 2mmID WHT (5/32 OD 5/64 ID)</t>
  </si>
  <si>
    <t>1C-430-9081</t>
  </si>
  <si>
    <t>TERM-RING      NO INS  # 6 22-18 GA</t>
  </si>
  <si>
    <t>4801
34107</t>
  </si>
  <si>
    <t>SENSOR-TEMPERATURE-RTD/1000 OHM/TEFLON LEADWIRES</t>
  </si>
  <si>
    <t>HEL-705-U-0-12-00
HEL-705-U-1-12-00</t>
  </si>
  <si>
    <t>CONTACT PIN   D-SUBMIN</t>
  </si>
  <si>
    <t>D110238-234
D110238-34
030-1960-005</t>
  </si>
  <si>
    <t>BEARING-BALL-TYPE X-2.0 ID 2.50 OD .25 THK</t>
  </si>
  <si>
    <t>KA020XP0
SA020XP0K
6656K11</t>
  </si>
  <si>
    <t>AMPLIFIER-FIBER OPTIC NEO-DUAL DISP-MAIN UNIT</t>
  </si>
  <si>
    <t>FS-N11N</t>
  </si>
  <si>
    <t>AMPLIFIER-FIBER OPTIC NEO-DUAL DISP-EXPANSION UNIT</t>
  </si>
  <si>
    <t>FS-N12N</t>
  </si>
  <si>
    <t>IONIZER BAR TYPE 7 NOZZLE STANDARD</t>
  </si>
  <si>
    <t>SJ-M070</t>
  </si>
  <si>
    <t>IONIZER BAR TYPE CONTROLLER UNIT FOR 541559-24VDC</t>
  </si>
  <si>
    <t>SJ-M300</t>
  </si>
  <si>
    <t>CABLE-IONIZER BAR TYPE FOR 541560-EXTENSION</t>
  </si>
  <si>
    <t>SJ-C3</t>
  </si>
  <si>
    <t>HANDLE-PULL 160mm LG 37.5 HIGH BLACK GRIP-SST</t>
  </si>
  <si>
    <t>US-160/M</t>
  </si>
  <si>
    <t>TUBING-SILICONE-50 DURO-COND-1/16 ID</t>
  </si>
  <si>
    <t>3-6113
3/1/6113</t>
  </si>
  <si>
    <t>CABLE-COMM-CROSSOVER-7FT-CAT5E-RJ45-BLUE</t>
  </si>
  <si>
    <t>TRD815CRBL-7</t>
  </si>
  <si>
    <t>PIN-DOWEL          6mm X 16         SST 590108</t>
  </si>
  <si>
    <t>M6 X 16MM
*BOSSARD ART.# 5809730</t>
  </si>
  <si>
    <t>ADHESIVE-RETAINING COMPOUND USE WITH 502984</t>
  </si>
  <si>
    <t>620-40</t>
  </si>
  <si>
    <t>SEALANT-PIPE  50ML PKG</t>
  </si>
  <si>
    <t>SCREW-MACH FLH PH  M4 X 0.7 X 16MM  SST</t>
  </si>
  <si>
    <t>92010A226</t>
  </si>
  <si>
    <t>WASHER-LK EXTERNAL TOOTH M4 4.3 ID X 8.0 OD X .5 THK SST</t>
  </si>
  <si>
    <t>95060A330</t>
  </si>
  <si>
    <t>SCREW-BTNHD HEXSKT M4 X 0.7 X 16mm SST</t>
  </si>
  <si>
    <t>92095A194</t>
  </si>
  <si>
    <t>THUMB SCREW HEAD-KNURLED-M4 SCREW</t>
  </si>
  <si>
    <t>91175A062 BLACK</t>
  </si>
  <si>
    <t>TUBING-HIGH SHRINK-TEFLON .187 ID</t>
  </si>
  <si>
    <t>75665K812</t>
  </si>
  <si>
    <t>PIN-DOWEL 3mm X 10mm-HARDENED STEEL</t>
  </si>
  <si>
    <t>91595A108</t>
  </si>
  <si>
    <t>EXTENSION SPRING-51.2MM-LONG-5.5MM-OD</t>
  </si>
  <si>
    <t>1942N088</t>
  </si>
  <si>
    <t>HANDLE-PULL-OFFSET-3" LONG-STEEL</t>
  </si>
  <si>
    <t>5245A227</t>
  </si>
  <si>
    <t>CARRIAGE-LINEAR BEARING-LOW PROFILE-14MM RAIL</t>
  </si>
  <si>
    <t>7917N18</t>
  </si>
  <si>
    <t>RAIL-LINEAR BEARING-LOW PROFILE-14MM RAIL</t>
  </si>
  <si>
    <t>7917N6-50mm</t>
  </si>
  <si>
    <t>SCREW-CAP SKT HD-M3 X 4mm-SST</t>
  </si>
  <si>
    <t>91292A109</t>
  </si>
  <si>
    <t>SCREW-SHOULDER-3mm DIA X 4mm L X M2 THREAD</t>
  </si>
  <si>
    <t>92981A768</t>
  </si>
  <si>
    <t>BEARING-FLANGED-7mm OD X 4mm ID</t>
  </si>
  <si>
    <t>57155K438</t>
  </si>
  <si>
    <t>PIN-DOWEL 6mm X 20mm SST</t>
  </si>
  <si>
    <t>91585A160</t>
  </si>
  <si>
    <t>SCREW-BTNHD HEXSKT M4 X 0.7 X 14MM</t>
  </si>
  <si>
    <t>92095A193</t>
  </si>
  <si>
    <t>PIN-DOWEL 5mm X 14mm SST</t>
  </si>
  <si>
    <t>91585A113</t>
  </si>
  <si>
    <t>SCREW-MACH FLH SKT M6 X 1.0 X 25MM-SST</t>
  </si>
  <si>
    <t>92125A242</t>
  </si>
  <si>
    <t>SCREW-BTNHD HEX SKT-M3 X 0.5 X 5mm SST 590119</t>
  </si>
  <si>
    <t>92095A177</t>
  </si>
  <si>
    <t>WASHER-FL-ZINC M5 X 5.3 ID X 15.00 OD X 1.0 THK STL</t>
  </si>
  <si>
    <t>91100A140</t>
  </si>
  <si>
    <t>TAPE-ALUMINUM-FIBERGLASS REINFORCED-1 IN WIDE</t>
  </si>
  <si>
    <t>76035A65</t>
  </si>
  <si>
    <t>NYLON PLASIC SNAP-IN PANEL PLUG-3/16" ID</t>
  </si>
  <si>
    <t>9688K211
(Black or Off white)</t>
  </si>
  <si>
    <t>THUMB SCREW HEAD-KNURLED-M8 SCREW</t>
  </si>
  <si>
    <t>91175A066 BLACK
91175A066-BLACK</t>
  </si>
  <si>
    <t>POWER SUPPLY-48VDC ADJUSTABLE-150W-UNIVERSAL INPUT</t>
  </si>
  <si>
    <t>HRP-150-48
HWS150-48/HD
HWS150A-48/A
HWS150A-48/ME</t>
  </si>
  <si>
    <t>BUMPER-RUBBER-18MM DIA-15MM HIGH-C'SUNK</t>
  </si>
  <si>
    <t>RBZN-D18-V5-H10-G9-L15</t>
  </si>
  <si>
    <t>SCREW-CAPTIVE-SKT HD-M8 X 1.25 X 30mm SST</t>
  </si>
  <si>
    <t>GUTB8-10-30</t>
  </si>
  <si>
    <t>SCREW-CAPTIVE-SKT HD-M8 X 1.25 X 15MM SST</t>
  </si>
  <si>
    <t>GUTB8-5-15</t>
  </si>
  <si>
    <t>BUSHING-STRAIGHT-4.50mm ID 8mm OD 5mm LG-SST</t>
  </si>
  <si>
    <t>JBAFC 8-P4.5-L5.0</t>
  </si>
  <si>
    <t>LOCATING PIN-4.45 DIA HD 3mm DIA SHANK-SST</t>
  </si>
  <si>
    <t>CFPBA3-P4.45-L5-B3</t>
  </si>
  <si>
    <t>COUPLING-PLUG-M4 PLASTIC TUBING PUSH IN</t>
  </si>
  <si>
    <t>MCPC4</t>
  </si>
  <si>
    <t>LOCATING PIN-6.00mm OD HD-4mm OD SFT-TAPER-SST</t>
  </si>
  <si>
    <t>CFPBA4-P6.00-L6-B5.0</t>
  </si>
  <si>
    <t>DIAMOND PIN-6.00mm OD HD-4mm OD SFT-TAPER-SST</t>
  </si>
  <si>
    <t>CFPBD4-P6.00-L6-B5.0</t>
  </si>
  <si>
    <t>SCREW-CAPTIVE-SKT HD-M4 X 12mm SST</t>
  </si>
  <si>
    <t>MAGNET-10mm OD 3mm LG</t>
  </si>
  <si>
    <t>HXD10</t>
  </si>
  <si>
    <t>SCREW-ULTRA LOW HD-M3 X 10</t>
  </si>
  <si>
    <t>CBSTS8-10</t>
  </si>
  <si>
    <t>HINGE PIN-4mm X 24L-SST</t>
  </si>
  <si>
    <t>SHCDG4-24</t>
  </si>
  <si>
    <t>HINGE PIN-4mm X 13L-SST</t>
  </si>
  <si>
    <t>SHCCG4-13</t>
  </si>
  <si>
    <t>*SC*SCREW-ULTRA LOW HD CAP SKT M3 X 0.5 X 4mm SST</t>
  </si>
  <si>
    <t>CBSTSR3-4</t>
  </si>
  <si>
    <t>STANDOFF-HEX-M4 MALE X M3 FEMALE X 15L</t>
  </si>
  <si>
    <t>COUPLING-SOCKET-M5 THD</t>
  </si>
  <si>
    <t>DOWEL PIN 6MM X 10MM-SS</t>
  </si>
  <si>
    <t>MSC6-10</t>
  </si>
  <si>
    <t>BUSHING-FLANGED-12MM OD X 6.15MM ID X 13MM LG-HARDENED</t>
  </si>
  <si>
    <t>KJBST12-P6.15-L13-T5.0</t>
  </si>
  <si>
    <t>PIN-LOCATING 4MM DIA SHANK-5MM DIA HD X 3MM LG-HARD TOOL STL</t>
  </si>
  <si>
    <t>LPEJC4-P5.00-B3.0-R2-L5</t>
  </si>
  <si>
    <t>PIN-LOCATING 3MM DIA SHANK-1.47MM DIA HD X 3MM LG-HD TL ST</t>
  </si>
  <si>
    <t>STPHTPR-D3.00-L7.8-P1.47-B3.0</t>
  </si>
  <si>
    <t>PIN-LOCATING 5MM DIA SHANK-6MM DIA HD X 7MM LG-HARD TOOL STL</t>
  </si>
  <si>
    <t>FPJAT5-P6.00-L5-B7.0-T1.0</t>
  </si>
  <si>
    <t>SCREW-THUMB-KNURLED-CAPTIVE-M5 X16MM LG-SST</t>
  </si>
  <si>
    <t>FRNCS5-5-16</t>
  </si>
  <si>
    <t>SCREW-THUMB-KNURLED-M4 W/RED PLASTIC HEAD</t>
  </si>
  <si>
    <t>CRKR4-10</t>
  </si>
  <si>
    <t>PIN-LOCATING 3MM DIA SHANK-1.50MM HD X3MM LG HARD TOOL STEEL</t>
  </si>
  <si>
    <t>STPHTPR-D3.00-L7.8-P1.50-B3.0</t>
  </si>
  <si>
    <t>PIN-LOCATING 3MM DIA SHANK-1.52MM HD X3MM LG HARD TOOL STEEL</t>
  </si>
  <si>
    <t>STPHTPR-D3.00-L7.8-P1.52-B3.0</t>
  </si>
  <si>
    <t>SCREW-CAPTIVE-SKT HD M4 X 0.7 X 15MM SST</t>
  </si>
  <si>
    <t>GUTB4-5-15</t>
  </si>
  <si>
    <t>DIAMOND PIN-4.45 DIA HD 3mm DIA SHANK-SST</t>
  </si>
  <si>
    <t>CFPBD3-P4.45-L5-B3</t>
  </si>
  <si>
    <t>PIN-DOWEL 6mm X 15mm HARDENED STEEL</t>
  </si>
  <si>
    <t>STOPPER-BOLT STRAIGHT-M5 15LG</t>
  </si>
  <si>
    <t>USUS5-15</t>
  </si>
  <si>
    <t>CONN-HOUSING CRIMP-3 POS-100 CTR</t>
  </si>
  <si>
    <t>50-57-9403</t>
  </si>
  <si>
    <t>CONNECTOR-PLUG HOUSING-8POS MICRO FIT-PNL MT</t>
  </si>
  <si>
    <t>43020-0800</t>
  </si>
  <si>
    <t>CONN-CONTACT PIN-MICROFIT 24-20AWG</t>
  </si>
  <si>
    <t>43031-0009</t>
  </si>
  <si>
    <t>*SC* CONTACT-SOCKET-F 18/24 AWG</t>
  </si>
  <si>
    <t>39-00-0039</t>
  </si>
  <si>
    <t>*SC*  CONTACT-PIN-M-18/24 AWG</t>
  </si>
  <si>
    <t>39-00-0041</t>
  </si>
  <si>
    <t>*SC* CONN-HOUSING-DIL 2-POS .165 CTR</t>
  </si>
  <si>
    <t>39-01-2020</t>
  </si>
  <si>
    <t>CONN-HOUSING-DIL 2-POS  .165 CTR M   MINI-FIT</t>
  </si>
  <si>
    <t>39-01-2021</t>
  </si>
  <si>
    <t>*SC* CONN-HOUSING-DIL 4-POS .165 CTR M</t>
  </si>
  <si>
    <t>39-01-2040</t>
  </si>
  <si>
    <t>CONN 16 POS RECEPT-PANEL MOUNT-MINI FIT</t>
  </si>
  <si>
    <t>39-01-2161</t>
  </si>
  <si>
    <t>HOUSING-MINI FIT 8 POS</t>
  </si>
  <si>
    <t>39-01-2081</t>
  </si>
  <si>
    <t>CONN-HOUSING      CRIMP  6 PIN  M  MINI-FIT</t>
  </si>
  <si>
    <t>39-01-2061</t>
  </si>
  <si>
    <t>CONT-PIN-MINI FIT CRIMP M  22-28 AWG</t>
  </si>
  <si>
    <t>39-00-00 49</t>
  </si>
  <si>
    <t>*SC* CONT-SOCKET-MINI-FIT CRIMP F  22-28 AWG</t>
  </si>
  <si>
    <t>39-00-0047</t>
  </si>
  <si>
    <t>CONNECTOR-MINI FIT JR 10POS M</t>
  </si>
  <si>
    <t>39-01-2101</t>
  </si>
  <si>
    <t>CONNECTOR-MINI FIT JR 10POS F</t>
  </si>
  <si>
    <t>39-01-2100</t>
  </si>
  <si>
    <t>CONTACT-PIN   F   C/P   22-24 AWG</t>
  </si>
  <si>
    <t>16-02-0102
16-02-0103
16-02-0104</t>
  </si>
  <si>
    <t>1
1
1</t>
  </si>
  <si>
    <t>CONTACT-PIN  M  C/P   22-24 AWG</t>
  </si>
  <si>
    <t>16-02-0114
16-02-0115
16-02-0117</t>
  </si>
  <si>
    <t>CONNECTOR-3 POS</t>
  </si>
  <si>
    <t>70107-0002
TPO184</t>
  </si>
  <si>
    <t>*SC* CONNECTOR- 8POS FEMALE MINIFIT</t>
  </si>
  <si>
    <t>39-01-2080
MPO096</t>
  </si>
  <si>
    <t>CONNECTOR- 6POS FEMALE MINIFIT</t>
  </si>
  <si>
    <t>39-01-2060
MPO097</t>
  </si>
  <si>
    <t>WIRE- HI FLEX 18 AWG ESD CONTROL</t>
  </si>
  <si>
    <t>N26-44D-650-0</t>
  </si>
  <si>
    <t>PRECISION TECHNOLOGIES PTE LTD</t>
  </si>
  <si>
    <t>BALL PLUNGER 4-48 X .187 SST</t>
  </si>
  <si>
    <t>DOS-A1-1
X-1</t>
  </si>
  <si>
    <t>SENSOR-LIGHT ON-SLOT-LH MOUNT-5 TO 24VDC</t>
  </si>
  <si>
    <t>Autovation (N.S) Sdn Bhd</t>
  </si>
  <si>
    <t>EE-SPX402-W2A</t>
  </si>
  <si>
    <t>CABLE-TIE .87 DIA BUNDLE 3.9 LG BLK</t>
  </si>
  <si>
    <t>PLT1M-M0</t>
  </si>
  <si>
    <t>MOUNT-CABLE TIE  .37 X .75  #8 SCREW</t>
  </si>
  <si>
    <t>TA1S8-C</t>
  </si>
  <si>
    <t>MOUNTS-TIE WRAPS LOW PROFILE SCREW TYPE</t>
  </si>
  <si>
    <t>LPMM-S5-C
LPMM-S5-M</t>
  </si>
  <si>
    <t>*SC* FITTING-PLUG HEX SKT 1/4 NPT COUNTERSUNK  BRS</t>
  </si>
  <si>
    <t>219P-4</t>
  </si>
  <si>
    <t>LINEAR FORCER-CE-220.3 LB MAX F-PAR WND-CUST MNT</t>
  </si>
  <si>
    <t>Aims Motion Technology Sdn Bhd</t>
  </si>
  <si>
    <t>CW-310-5C-AC-14278</t>
  </si>
  <si>
    <t>LINEAR FORCER-CE-45.5LB MAX F-WNDS W/HALL M3 TAP</t>
  </si>
  <si>
    <t>CW-110-2C-NC-14277</t>
  </si>
  <si>
    <t>RELAY MODULE-24VAC/DC-SINGLE POLE-RAIL MT</t>
  </si>
  <si>
    <t>29 64 05 0</t>
  </si>
  <si>
    <t>RELAY MODULE-24VDC/SPDT RAIL MOUNT/CONTACT 6A</t>
  </si>
  <si>
    <t>29 64 50 0</t>
  </si>
  <si>
    <t>DIN RAIL-7.5MM X 35MM-UNPERFORATED</t>
  </si>
  <si>
    <t>0801681
801681</t>
  </si>
  <si>
    <t>O-RING .301 ID X .139 XSECT BUNA-N</t>
  </si>
  <si>
    <t>1-203 5939</t>
  </si>
  <si>
    <t>HINGE-FRICTION-6.9 LB-IN.</t>
  </si>
  <si>
    <t>PHC-0.78-01-01</t>
  </si>
  <si>
    <t>REELL
(Under Mosper Pte Ltd)</t>
  </si>
  <si>
    <t>HINGE-FRICTION-20 LB-IN.-PHL</t>
  </si>
  <si>
    <t>PHL-2.3-01</t>
  </si>
  <si>
    <t>ENCODER 1 MICRON READHEAD</t>
  </si>
  <si>
    <t>RGH24X15A00A</t>
  </si>
  <si>
    <t>RAIL-TELESCOPIC-22mm X 353mm STROKE</t>
  </si>
  <si>
    <t>DEF22-290-353</t>
  </si>
  <si>
    <t>SWITCH-CODED SAFETY INTERLOCK</t>
  </si>
  <si>
    <t>BNS250-11z</t>
  </si>
  <si>
    <t>THERMAL CUTOUT-PROTECTOR 175C W/INSULATED WIRE LEADS</t>
  </si>
  <si>
    <t>S7AM316A5-16</t>
  </si>
  <si>
    <t>ESD MONITORING-CONTROLLER UNIT-NOVX 3362</t>
  </si>
  <si>
    <t>91-3362MP-01</t>
  </si>
  <si>
    <t>ESD MONITORING-ANTENNA RECTANGULAR 5"-NOVX 3362</t>
  </si>
  <si>
    <t>33-0509-15</t>
  </si>
  <si>
    <t>MANIFOLD-SY3000 SERIES-2 STATION-4mmOD FITTING</t>
  </si>
  <si>
    <t>SS5Y3-41-02-C4</t>
  </si>
  <si>
    <t>VALVE-2 POS-SINGLE ACTING 24VDC</t>
  </si>
  <si>
    <t>SY3140-5LZ</t>
  </si>
  <si>
    <t>PLUG-HEX-FLUSH MOUNT-1/8 PT</t>
  </si>
  <si>
    <t>PLUG 1/8</t>
  </si>
  <si>
    <t>PRESSURE SWITCH-PRESSURE-0 TO 14.5 PSI</t>
  </si>
  <si>
    <t>ISE1L-T1-15-L</t>
  </si>
  <si>
    <t>POWER SUPPLY-10A 240W 24VDC 115/280VAC IN</t>
  </si>
  <si>
    <t>SDN 10-24-100P</t>
  </si>
  <si>
    <t>HANDLE-PULL-LARGE-.055 MAX THK PANEL</t>
  </si>
  <si>
    <t>P2-51</t>
  </si>
  <si>
    <t>GRIPWELL FASTENING (M) SDN BHD</t>
  </si>
  <si>
    <t>LATCH-ROTATING CPRSN .125 .250 GRIP RANGE-HEX TOOL OPERATED</t>
  </si>
  <si>
    <t>E3-56-15</t>
  </si>
  <si>
    <t>ETHERNET CARD-10/100/1000 MBPS PCI EXPRESS</t>
  </si>
  <si>
    <t>ST1000SPEXD4</t>
  </si>
  <si>
    <t>SHAFTLOC SLEEVE-.375 BORE-.50 OD .813 LG</t>
  </si>
  <si>
    <t>A 7Z39-1216</t>
  </si>
  <si>
    <t>MOTOR-DC SERVO W/ENCODER-4000 CPR-NEMA 17 MNT</t>
  </si>
  <si>
    <t>TEKNIC</t>
  </si>
  <si>
    <t>M-1726-FX</t>
  </si>
  <si>
    <t>SERVO MOTOR DRIVER SSt-M733 300VDC 12 AMPS</t>
  </si>
  <si>
    <t>ISC-M733-RCX-5-5-D</t>
  </si>
  <si>
    <t>MOTOR-DC SERVO W/ENCODER-8000 CPR-NEMA 23 MNT</t>
  </si>
  <si>
    <t>M-2321P-LN-08K</t>
  </si>
  <si>
    <t>POWER SUPPLY-350W 75VDC 115/230VAC IN</t>
  </si>
  <si>
    <t>IPC-5</t>
  </si>
  <si>
    <t>SERVO MOTOR DRIVER ISC-M543 90VDC 12 AMPS</t>
  </si>
  <si>
    <t>ISC-M543-RCx</t>
  </si>
  <si>
    <t>MOTOR-SERVO  NEMA 23 8000 CNT ENC .375 SHAFT</t>
  </si>
  <si>
    <t>M-2331P-LN-08K</t>
  </si>
  <si>
    <t>NETWORK CONTROLLER MERIDIAN</t>
  </si>
  <si>
    <t>CON-MOD</t>
  </si>
  <si>
    <t>POWER SUPPLY-6A 7.5KW 300VDC 90/415VAC IN</t>
  </si>
  <si>
    <t>IPC-75-FX-1-5-1</t>
  </si>
  <si>
    <t>*SC* GREASE-BEARING LITHIUM BASED SYNTHETIC-70G</t>
  </si>
  <si>
    <t>Nisan LM System &amp; Bearing Services</t>
  </si>
  <si>
    <t>AFE-CA GREASE</t>
  </si>
  <si>
    <t>BALLSCREW W/NUT-10mm DIA 4mm PITCH-MODIFIED</t>
  </si>
  <si>
    <t>BNK 1004-2.5RRG0+190LC3Y
BNK 1004-2.5RRG0+190LC5Y MOD
BNK 1004-2.5RRGO+190LC5G
BNK 1004-2.5RRGT+190LC3Y</t>
  </si>
  <si>
    <t>TERM-RING   NO INS  #04  22-16 GA (PKG/10)</t>
  </si>
  <si>
    <t>CONTACT PIN CRIMP 30-26 AWG</t>
  </si>
  <si>
    <t>66406-4</t>
  </si>
  <si>
    <t>CONT-PIN  M  C/P LONG  24-20 AWG (PKG/10)</t>
  </si>
  <si>
    <t>164163-2</t>
  </si>
  <si>
    <t>CONTACT-PIN M C/P LONG 18-16 AWG</t>
  </si>
  <si>
    <t>164164-2</t>
  </si>
  <si>
    <t>*SC* CONN 20 POS MALE HOUSING RECT.</t>
  </si>
  <si>
    <t>201356-1</t>
  </si>
  <si>
    <t>CONN-CPC 7 POS STD SEX FLANGE METAL</t>
  </si>
  <si>
    <t>208715-1</t>
  </si>
  <si>
    <t>TERMINAL-SOLDERLESS RING TONG</t>
  </si>
  <si>
    <t>*SC*TERM-RING NON INSULATED # 2 26-22 AWG</t>
  </si>
  <si>
    <t>2-31425-2
31425</t>
  </si>
  <si>
    <t>*SC* CONT-PIN  M  C/P   24-20 AWG</t>
  </si>
  <si>
    <t>66103-1
66103-4</t>
  </si>
  <si>
    <t>*SC* CONN-CONTACT PIN    CRIMP    18-16 AWG</t>
  </si>
  <si>
    <t>66099-1
66099-3
66099-4</t>
  </si>
  <si>
    <t>CAMERA-652X494 PROG SCAN-USB DIGITAL-RECTANGLE</t>
  </si>
  <si>
    <t>CAUB1A1003080RG00000</t>
  </si>
  <si>
    <t>MODULE DEVICENET DIGITAL IN SINK 4 CH</t>
  </si>
  <si>
    <t>750-409</t>
  </si>
  <si>
    <t>MODULE DEVICENET DIGITAL OUT SOURCE 4 CH</t>
  </si>
  <si>
    <t>750-504</t>
  </si>
  <si>
    <t>REGULATOR 0-125 1/4NPT</t>
  </si>
  <si>
    <t>R09-02-FB00</t>
  </si>
  <si>
    <t>REGULATOR-JOINER SET-P09</t>
  </si>
  <si>
    <t>GPA-96-738</t>
  </si>
  <si>
    <t>GAUGE-PRESSURE 0-60 PSI 1/8 NPT 1 INCH DIAL</t>
  </si>
  <si>
    <t>K4510N18060</t>
  </si>
  <si>
    <t>SCREW-SHOULDER-6mm DIA X 12mm LG</t>
  </si>
  <si>
    <t>PZM-22</t>
  </si>
  <si>
    <t>PULLEY-TIMING 3mmP GT 52 GRV .3125 BORE</t>
  </si>
  <si>
    <t>YORK INDUSTRIES</t>
  </si>
  <si>
    <t>52-3GT-P-8A</t>
  </si>
  <si>
    <t>FLANGE-PULLEY-45 TOOTH GT2-3mm PITCH</t>
  </si>
  <si>
    <t>45-3GT-F10A</t>
  </si>
  <si>
    <t>BELT-TIMING 3mmP 100 TOOTH 12mm W/NEOPRENE-FIBER</t>
  </si>
  <si>
    <t>300-3GT-12</t>
  </si>
  <si>
    <t>PULLEY STOCK-45 TOOTH-GT2-3mm PITCH</t>
  </si>
  <si>
    <t>45-3GT-P-8A</t>
  </si>
  <si>
    <t>WIRE-PVC    STRAND 22 AWG BLK           590054</t>
  </si>
  <si>
    <t>WIRE-PVC    STRAND 22 AWG BLU   590054</t>
  </si>
  <si>
    <t>WIRE-PVC    STRAND 22 AWG BRN    590054</t>
  </si>
  <si>
    <t>WIRE-PVC    STRAND 22 AWG RED           590054</t>
  </si>
  <si>
    <t>SCREW-BTNHD HEXSKT M4 X 0.7 8mm     SST 590119</t>
  </si>
  <si>
    <t>*BOSSARD ART.# 1348787</t>
  </si>
  <si>
    <t>SCREW-BTNHD HEXSKT M6 X 1.0 X 14mm  STL 590119</t>
  </si>
  <si>
    <t>OFFER S/S A2 SOCKET BUTTON CAP SCREWS  M6 X 14</t>
  </si>
  <si>
    <t>SCREW-MACH FLH PH      4-40   .312 SST  590017</t>
  </si>
  <si>
    <t>*BOSSARD ART.# 6209263</t>
  </si>
  <si>
    <t>SCREW-CAP SKT HD      10-32   .375 SST  590018</t>
  </si>
  <si>
    <t>SCREW-CAP SKT HD   10-32     .250  SST  590018</t>
  </si>
  <si>
    <t>OFFER S/S 304 SOCKET CAP SCREWS UNF  #10-32 X 1/4</t>
  </si>
  <si>
    <t>SCREW-MACH FLH  PH  M4 X 0.7 X 10mm  SST 590107</t>
  </si>
  <si>
    <t>*BOSSARD ART.# 1544306</t>
  </si>
  <si>
    <t>SCREW-MACH FLH PH  M2 X 0.4 X 6mm   SST 590107</t>
  </si>
  <si>
    <t>OFFER S/S A2 CSK HD PHILIP M/C SCREWS  M2 X 6</t>
  </si>
  <si>
    <t>SCREW-MACH FLH PH  M3 X 0.5 X 10mm  SST 590107</t>
  </si>
  <si>
    <t>OFFER S/S A2 CSK HD PHILIP M/C SCREWS  M3 X 10</t>
  </si>
  <si>
    <t>SCREW-MACH FLH PH  M3 X 0.5 X 6mm   SST 590107</t>
  </si>
  <si>
    <t>*BOSSARD ART.# 1544195</t>
  </si>
  <si>
    <t>SCREW-MACH FLH SKT M3 X  0.5 X 4mm  SST 590107</t>
  </si>
  <si>
    <t>SCREW-MACH FLH SKT M4 X 0.7 X 10mm  SST 590107</t>
  </si>
  <si>
    <t>*BOSSARD ART.# 1235192</t>
  </si>
  <si>
    <t>SCREW-MACH FLH SKT M4 X 0.7 X 12mm  SST 590107</t>
  </si>
  <si>
    <t>*BOSSARD ART.# 1235206</t>
  </si>
  <si>
    <t>SCREW-MACH FLH SKT M4 X 0.7 X 6mm   SST 590107</t>
  </si>
  <si>
    <t>*BOSSARD ART.# 1208179</t>
  </si>
  <si>
    <t>SCREW-MACH FLH SKT M4 X 0.7 X 8mm   SST 590107</t>
  </si>
  <si>
    <t>*BOSSARD ART.# 1235184</t>
  </si>
  <si>
    <t>PIN-DOWEL          3mm X 8          SST 590108</t>
  </si>
  <si>
    <t>*BOSSARD ART.# 1255800</t>
  </si>
  <si>
    <t>PIN-DOWEL          4mm X 10         SST 590108</t>
  </si>
  <si>
    <t>OFFER STAINLESS STEEL DOWEL PIN  M4 X 10</t>
  </si>
  <si>
    <t>PIN-DOWEL          5mm X 12         SST 590108</t>
  </si>
  <si>
    <t>OFFER STAINLESS STEEL DOWEL PIN  M5 X 12</t>
  </si>
  <si>
    <t>PIN-DOWEL          5mm X 16         SST 590108</t>
  </si>
  <si>
    <t>OFFER STAINLESS STEEL DOWEL PIN  M5 X 16</t>
  </si>
  <si>
    <t>PIN-DOWEL          4mm X 12mm   SST 590108</t>
  </si>
  <si>
    <t>*BOSSARD ART.# 1255924</t>
  </si>
  <si>
    <t>SCREW-CAP SKT HD M2 X 0.4 X  4mm    SST 590110</t>
  </si>
  <si>
    <t>*BOSSARD ART.# 1420550</t>
  </si>
  <si>
    <t>SCREW-CAP SKT HD M2 X 0.4 X 8mm     SST 590110</t>
  </si>
  <si>
    <t>*BOSSARD ART.# 1420585</t>
  </si>
  <si>
    <t>SCREW-CAP SKT HD M3 X 0.5 X  4mm    SST 590110</t>
  </si>
  <si>
    <t>*BOSSARD ART.# 1233084</t>
  </si>
  <si>
    <t>SCREW-CAP SKT HD M3 X 0.5 X  6mm    SST 590110</t>
  </si>
  <si>
    <t>*BOSSARD ART.# 1233106</t>
  </si>
  <si>
    <t>SCREW-CAP SKT HD M3 X 0.5 X  8mm    SST 590110</t>
  </si>
  <si>
    <t>*BOSSARD ART.# 1233114</t>
  </si>
  <si>
    <t>SCREW-CAP SKT HD M3 X 0.5 X 10mm    SST 590110</t>
  </si>
  <si>
    <t>*BOSSARD ART.# 1233122</t>
  </si>
  <si>
    <t>SCREW-CAP SKT HD M3 X 0.5 X 12mm    SST 590110</t>
  </si>
  <si>
    <t>*BOSSARD ART.# 1233130</t>
  </si>
  <si>
    <t>SCREW-CAP SKT HD M3 X 0.5 X 14mm    SST 590110</t>
  </si>
  <si>
    <t>*BOSSARD ART.# 1111329</t>
  </si>
  <si>
    <t>SCREW-CAP SKT HD M3 X 0.5 X 20mm    SST 590110</t>
  </si>
  <si>
    <t>*BOSSARD ART.# 1032658</t>
  </si>
  <si>
    <t>SCREW-CAP SKT HD M3 X 0.5 X 30mm    SST 590110</t>
  </si>
  <si>
    <t>*BOSSARD ART.# 1111345</t>
  </si>
  <si>
    <t>SCREW-CAP SKT HD M4 X 0.7 X  5mm    SST 590110</t>
  </si>
  <si>
    <t>*BOSSARD ART.# 1208047</t>
  </si>
  <si>
    <t>SCREW-CAP SKT HD M4 X 0.7 X  8mm    SST 590110</t>
  </si>
  <si>
    <t>*BOSSARD ART.# 1233181</t>
  </si>
  <si>
    <t>SCREW-CAP SKT HD M4 X 0.7 X 10mm    SST 590110</t>
  </si>
  <si>
    <t>*BOSSARD ART.# 1233203</t>
  </si>
  <si>
    <t>SCREW-CAP SKT HD M4 X 0.7 X 12mm    SST 590110</t>
  </si>
  <si>
    <t>*BOSSARD ART.# 1233211</t>
  </si>
  <si>
    <t>SCREW-CAP SKT HD M4 X 0.7 X 16mm    SST 590110</t>
  </si>
  <si>
    <t>*BOSSARD ART.# 1233238</t>
  </si>
  <si>
    <t>SCREW-CAP SKT HD M4 X 0.7 X 20mm    SST 590110</t>
  </si>
  <si>
    <t>*BOSSARD ART.# 1233246</t>
  </si>
  <si>
    <t>SCREW-CAP SKT HD M4 X 0.7 X 35mm    SST 590110</t>
  </si>
  <si>
    <t>OFFER S/S A2 SOCKET CAP SCREWS DIN 912 ( HT )  M4 X 35</t>
  </si>
  <si>
    <t>SCREW-CAP SKT HD M4 X 0.7 X 6mm         590110</t>
  </si>
  <si>
    <t>*BOSSARD ART.# 1233173</t>
  </si>
  <si>
    <t>SCREW-CAP SKT HD M5 X 0.8 X 10mm    SST 590110</t>
  </si>
  <si>
    <t>*BOSSARD ART.# 1233270</t>
  </si>
  <si>
    <t>SCREW-CAP SKT HD M5 X 0.8 X 12mm    SST 590110</t>
  </si>
  <si>
    <t>*BOSSARD ART.# 1233289</t>
  </si>
  <si>
    <t>SCREW-CAP SKT HD M5 X 0.8 X 16mm    SST 590110</t>
  </si>
  <si>
    <t>*BOSSARD ART.# 1233297</t>
  </si>
  <si>
    <t>SCREW-CAP SKT HD M5 X 0.8 X 20mm    SST 590110</t>
  </si>
  <si>
    <t>*BOSSARD ART.# 1233300</t>
  </si>
  <si>
    <t>SCREW-CAP SKT HD M5 X 0.8 X 25mm    SST 590110</t>
  </si>
  <si>
    <t>*BOSSARD ART.# 1233319</t>
  </si>
  <si>
    <t>SCREW-CAP SKT HD M5 X 0.8 X 30mm    SST 590110</t>
  </si>
  <si>
    <t>*BOSSARD ART.# 1233327</t>
  </si>
  <si>
    <t>SCREW-CAP SKT HD M6 X 1.0 X 12mm    SST 590110</t>
  </si>
  <si>
    <t>OFFER S/S A2 SOCKET CAP SCREWS DIN 912 ( FT )  M6 X 12</t>
  </si>
  <si>
    <t>SCREW-CAP SKT HD M6 X 1.0 X 16mm    SST 590110</t>
  </si>
  <si>
    <t>OFFER S/S A2 SOCKET CAP SCREWS DIN 912 ( FT )  M6 X 16</t>
  </si>
  <si>
    <t>SCREW-CAP SKT HD M6 X 1.0 X 25mm    SST 590110</t>
  </si>
  <si>
    <t>*BOSSARD ART.# 1233386</t>
  </si>
  <si>
    <t>SCREW-SET M3 X 0.5 X 6mm            SST 590111</t>
  </si>
  <si>
    <t>SCREW-SET M5 X 0.8 X 6mm            SST 590111</t>
  </si>
  <si>
    <t>*BOSSARD ART.# 1235729</t>
  </si>
  <si>
    <t>SCREW-MACH PNH PH M4 X 0.7 X 18mm   SST 590112</t>
  </si>
  <si>
    <t>*BOSSARD ART.# 1578987</t>
  </si>
  <si>
    <t>SCREW-MACH PNH PH M4 X 0.7 X 6mm    SST 590112</t>
  </si>
  <si>
    <t>*BOSSARD ART.# 1250531</t>
  </si>
  <si>
    <t>WASHER-FL M5 X 5.30ID 10.0OD 1.0THK SST 590114</t>
  </si>
  <si>
    <t>*BOSSARD ART.# 1253212</t>
  </si>
  <si>
    <t>WASHER-FL M4 X 4.30ID 9.0OD  0.8THK SST 590114</t>
  </si>
  <si>
    <t>OFFER S/S A2 SOCKET CAP SCREWS DIN 912 ( FT )  M6 X 25</t>
  </si>
  <si>
    <t>WASHER-SP LK M3 3.1 ID X 6.2 OD X .8 THK SST 590115</t>
  </si>
  <si>
    <t>OFFER S/S A2 / 304 SPRING WASHERS  M3</t>
  </si>
  <si>
    <t>WASHER-SP LK M5 5.1ID 9.2OD 1.2THK  SST 590115</t>
  </si>
  <si>
    <t>OFFER S/S A2 / 304 SPRING WASHERS  M5</t>
  </si>
  <si>
    <t>NUT-HEX   M4 X 0.7            SST       590116</t>
  </si>
  <si>
    <t>*BOSSARD ART.# 1241478</t>
  </si>
  <si>
    <t>SCREW-BTNHD HEXSKT M5 X 0.8 X 8mm   SST 590119</t>
  </si>
  <si>
    <t>*BOSSARD ART.# 1348892</t>
  </si>
  <si>
    <t>SCREW-BTNHD HEXSKT     6-32   .375 STL  590029</t>
  </si>
  <si>
    <t>OFFER S/S 304 BUTTON CAP SCREWS UNC  #6-32 X 3/8</t>
  </si>
  <si>
    <t>PS-N11P</t>
  </si>
  <si>
    <t>A0000010145</t>
  </si>
  <si>
    <t>SEAL-TORIC  16X1</t>
  </si>
  <si>
    <t>NITRIL 75SH 16X1</t>
  </si>
  <si>
    <t>IFRM 05P15A3/S05L</t>
  </si>
  <si>
    <t>SEAL-TORIC  58X1</t>
  </si>
  <si>
    <t>*SC* GLASS-LASER-5.8" X 8"</t>
  </si>
  <si>
    <t>P5P01</t>
  </si>
  <si>
    <t>TUBING-ALUMINUM TUBE 1/8IN OD X .097IN ID</t>
  </si>
  <si>
    <t>7237K14</t>
  </si>
  <si>
    <t>SCREW-COUNT.HEAD RECESS M 3X 5 ALL THR ISO7046-2</t>
  </si>
  <si>
    <t>MN7-40-G3-V1+MNN7-G3</t>
  </si>
  <si>
    <t>SCREW-STOP-BALL M 4X5,6 TRUNCATED</t>
  </si>
  <si>
    <t>T1120099</t>
  </si>
  <si>
    <t>BN3319 ZP</t>
  </si>
  <si>
    <t>SLEEVE,BLACK,3/16</t>
  </si>
  <si>
    <t>FP301-3/16 BLK
HIX-3/16 BLK
SUMITUBE B2 3/16 BLK</t>
  </si>
  <si>
    <t>ROUND SELF CLINCHING NUTS M3</t>
  </si>
  <si>
    <t>BELT-TIMING-GT STYLE-3MM PITCH-9MM WIDE-50 FT ROLL</t>
  </si>
  <si>
    <t>SPRAY-LICRON CRYSTAL ESD-SAFE COATING</t>
  </si>
  <si>
    <t>CHIPTRONICS (M) SDN BHD</t>
  </si>
  <si>
    <t>A6R53MC090</t>
  </si>
  <si>
    <t>1756-8S</t>
  </si>
  <si>
    <t>0442-893-01</t>
  </si>
  <si>
    <t>SCREW-CYL.HEAD HEXA. M 5x 16 ALL THR.</t>
  </si>
  <si>
    <t>MN9-45-G3-V0 + MNN9-G3</t>
  </si>
  <si>
    <t>COUNTERSUNK HEAD SCREW</t>
  </si>
  <si>
    <t>DIN912 BN1419</t>
  </si>
  <si>
    <t>DIN6799 ZP EN VRAC</t>
  </si>
  <si>
    <t>Edmund Optics Singapore Pte Ltd</t>
  </si>
  <si>
    <t>BN3318 ZP</t>
  </si>
  <si>
    <t>OP-26501</t>
  </si>
  <si>
    <t>HANDLE-DISENGAGEABLE MR.63A-M6</t>
  </si>
  <si>
    <t>SCREW-HEADLESS HEX.F.P. M 6X50 A.T.</t>
  </si>
  <si>
    <t xml:space="preserve">BN3318 </t>
  </si>
  <si>
    <t>DIN7346 BN878 BLACK</t>
  </si>
  <si>
    <t>SCREW-CYL.HEAD HEXA. M 5x 12 ALL THR.</t>
  </si>
  <si>
    <t>SCREW-CYL.HEAD-EXT-LOW HEX. M 2 X 4 A.T</t>
  </si>
  <si>
    <t>BN1206</t>
  </si>
  <si>
    <t>SCREW-CYL.HEAD-EXT-LOW HEX. M 2 X10 A.T.</t>
  </si>
  <si>
    <t>AMPLIFIER-PHOTO 12-24VDC PNP</t>
  </si>
  <si>
    <t>PS2-61 P</t>
  </si>
  <si>
    <t>SENSOR-PHOTO THRU BEAM MINI</t>
  </si>
  <si>
    <t>PS-52</t>
  </si>
  <si>
    <t>SCREW COUNT.HEAD SLOT. M 2X6</t>
  </si>
  <si>
    <t>SPACER-HEX. M3x 20 FEMALE</t>
  </si>
  <si>
    <t>SENSOR INDUCTIVE D=4 PNP SN=1.6MM</t>
  </si>
  <si>
    <t>T1120175</t>
  </si>
  <si>
    <t>WASHER-INSUL.DIN7735-WHITE 2X4.5X0.3</t>
  </si>
  <si>
    <t>T1120039</t>
  </si>
  <si>
    <t>T1120154</t>
  </si>
  <si>
    <t>T1120116</t>
  </si>
  <si>
    <t>T1104002</t>
  </si>
  <si>
    <t>PIECE-CENTERING-POSITIONING</t>
  </si>
  <si>
    <t>MLFK 08T7105/N25X</t>
  </si>
  <si>
    <t>21100-004</t>
  </si>
  <si>
    <t>SENSOR-PHOTO THRU BEAM NPN</t>
  </si>
  <si>
    <t>FU-32</t>
  </si>
  <si>
    <t>AMPLIFIER FOR SENSOR</t>
  </si>
  <si>
    <t>FS-T1P</t>
  </si>
  <si>
    <t>FU-57TZ</t>
  </si>
  <si>
    <t>SENSOR-FIBER OPTIC DIFF-REFLECT 25MM</t>
  </si>
  <si>
    <t>FU-49X</t>
  </si>
  <si>
    <t>ELESA - M.443/140 37101</t>
  </si>
  <si>
    <t>CASE-IONIZER SJ-M200 CONTROLLER</t>
  </si>
  <si>
    <t>SJ-M200</t>
  </si>
  <si>
    <t>IONIZER SJ-MO20G (1.2M) HEAD</t>
  </si>
  <si>
    <t>SJ-MO20G (1.2M)</t>
  </si>
  <si>
    <t>SENSOR FU-57TZ</t>
  </si>
  <si>
    <t>SENSOR-PHOTO-REFLECTIVE LV-S41</t>
  </si>
  <si>
    <t>LV-S41</t>
  </si>
  <si>
    <t>AMPLIFIER-PHOTO-ELECT. NEO LV-N11P</t>
  </si>
  <si>
    <t>LV-N11P</t>
  </si>
  <si>
    <t>SCREW-STOP-BALL M 8X30 HEX SKT</t>
  </si>
  <si>
    <t>AMPLIFIER FOR SENSOR-READING COLOR</t>
  </si>
  <si>
    <t>CZ-K1P</t>
  </si>
  <si>
    <t>BN412 M3 NOIR</t>
  </si>
  <si>
    <t>DIN6325 H6</t>
  </si>
  <si>
    <t>IFFM 08P17A6/L</t>
  </si>
  <si>
    <t>DISCHANRGE PREVENTION CAP</t>
  </si>
  <si>
    <t>OP-75354</t>
  </si>
  <si>
    <t>HELICOIL STANDARD M 4.00X 6.00</t>
  </si>
  <si>
    <t>F-2HA</t>
  </si>
  <si>
    <t>FU-35FG</t>
  </si>
  <si>
    <t>FVDK 10P66Y0/KS05</t>
  </si>
  <si>
    <t>80.0001.1246</t>
  </si>
  <si>
    <t>80.0000.0516</t>
  </si>
  <si>
    <t>Spacer (M3 x10)</t>
  </si>
  <si>
    <t>MOUNT,CABLE TIE,M2 SCR</t>
  </si>
  <si>
    <t>LPMM-S2-C</t>
  </si>
  <si>
    <t>S-2.5-SS</t>
  </si>
  <si>
    <t>WASHER,SERRATED BELVILLE M4</t>
  </si>
  <si>
    <t>80.0000.8439</t>
  </si>
  <si>
    <t>Einpressmutter (PEM) CLS M3-2</t>
  </si>
  <si>
    <t>80.0001.1957</t>
  </si>
  <si>
    <t>CLSS-M5-2</t>
  </si>
  <si>
    <t>BN 682; 6</t>
  </si>
  <si>
    <t>WASHER-FLAT 2.2X5X0.3 (M2) ISO7089</t>
  </si>
  <si>
    <t>Spacer (M3 x 8)</t>
  </si>
  <si>
    <t>80.0001.1040</t>
  </si>
  <si>
    <t>Disk Spring DIN 2093-14x7.2x0.5-A2</t>
  </si>
  <si>
    <t>80.0001.1041</t>
  </si>
  <si>
    <t>80.0001.2415</t>
  </si>
  <si>
    <t>80.0001.2525</t>
  </si>
  <si>
    <t>80.0001.1092</t>
  </si>
  <si>
    <t>T1120023</t>
  </si>
  <si>
    <t>WASHER-FLAT 6.4X12X1.6 (M6) ISO7089</t>
  </si>
  <si>
    <t>SCREW-COUNT.HEAD RECESS M 4X 8 ALL THR ISO7046-2</t>
  </si>
  <si>
    <t>80.0000.2576</t>
  </si>
  <si>
    <t>nut DIN 439- M12-A2</t>
  </si>
  <si>
    <t>SCREW-COUNT.HEAD RECESS M 3X 35 ALL THR ISO7046-2</t>
  </si>
  <si>
    <t>SCREW-COUNT.HEAD RECESS M 2.5X 8 ALL THR ISO7046-2</t>
  </si>
  <si>
    <t>T1120226</t>
  </si>
  <si>
    <t>SCREW-CYL.HEAD-LOW HEX. M 3X16 A.T. DIN7984</t>
  </si>
  <si>
    <t>SECURING SCREW ALLEN</t>
  </si>
  <si>
    <t>F-3HA</t>
  </si>
  <si>
    <t>PIN-PARALLEL D= 8.00X 30</t>
  </si>
  <si>
    <t>PS-T1P</t>
  </si>
  <si>
    <t>80.0000.8325</t>
  </si>
  <si>
    <t>80.0000.8665</t>
  </si>
  <si>
    <t>80.0000.8190</t>
  </si>
  <si>
    <t>DIN912 A2 BN610</t>
  </si>
  <si>
    <t>WASHER SERRATED BELVILLE M5</t>
  </si>
  <si>
    <t>FU-46</t>
  </si>
  <si>
    <t>COHU MALAYSIA SDN BHD</t>
  </si>
  <si>
    <t>PLT1M-M</t>
  </si>
  <si>
    <t>80.0000.9567</t>
  </si>
  <si>
    <t>M3_Anchor</t>
  </si>
  <si>
    <t>SCREW,M4 X 16MM,SS FHS</t>
  </si>
  <si>
    <t>SEAL-V 7X2.4X3.7</t>
  </si>
  <si>
    <t>HANDWHEEL-KNOB VC 192/50B-M8 *</t>
  </si>
  <si>
    <t>SPACER M3X15 HEX.</t>
  </si>
  <si>
    <t>BOX-STORAGE EGB 57X36X17</t>
  </si>
  <si>
    <t>CABLE-CONNECTOR M5 MALE-RIGHT 2M</t>
  </si>
  <si>
    <t>TRELLEBORG SEALING SOLUTIONS SPORE PTE LTD</t>
  </si>
  <si>
    <t>T1120185</t>
  </si>
  <si>
    <t>SCREW HEX.HEAD CAP M 5X25 ALL THR. ISO4017</t>
  </si>
  <si>
    <t>CATHAY PHOTO PTE LTD</t>
  </si>
  <si>
    <t>BRUSH-ANTISTATIC BREAD=20mm</t>
  </si>
  <si>
    <t>SEAL-TORIC   6X1</t>
  </si>
  <si>
    <t>STATECH SYSTEM AG.</t>
  </si>
  <si>
    <t>SCREW-CYL.HEAD HEX. M 8X 12 ALL THR. ISO4762</t>
  </si>
  <si>
    <t>SEAL-TORIC  10X1</t>
  </si>
  <si>
    <t>SCREW,SET M3 X 3MM L,SS</t>
  </si>
  <si>
    <t xml:space="preserve">INDUSTRIAL BEARING </t>
  </si>
  <si>
    <t>NUT-SLOTTED M12X1</t>
  </si>
  <si>
    <t>FIBER-OPTIC-ADJUSTABLE SPOT 10 TO 30MM</t>
  </si>
  <si>
    <t>SHEET-BLACK-AUTO-TIGHTS 8"X10</t>
  </si>
  <si>
    <t>RUNNER BLOCK,MINI,SIZE 9-M3</t>
  </si>
  <si>
    <t>CLSS-M5-1</t>
  </si>
  <si>
    <t>ea</t>
  </si>
  <si>
    <t>LOTUS CITY BEARINGS (M) SDN BHD (BOSCH REXROTH AS TO REFER LOTUS CITY BEARING )</t>
  </si>
  <si>
    <t>RUNNER BLOCK SNS,SIZE15</t>
  </si>
  <si>
    <t>R1622-193-20</t>
  </si>
  <si>
    <t>BN 1206</t>
  </si>
  <si>
    <t>HELICOIL SCREW LOCK M3.00X4.50</t>
  </si>
  <si>
    <t xml:space="preserve">AMP TECH AUTOMATION </t>
  </si>
  <si>
    <t>RUNNER BLOCK,SIZE 9,LT PRELOAD</t>
  </si>
  <si>
    <t>ML9C1T1HS2</t>
  </si>
  <si>
    <t>TABLE MICRO ON BEARING BALL STROKE=20MM</t>
  </si>
  <si>
    <t>T1120113</t>
  </si>
  <si>
    <t>WASHER-CHAMFERLESS  2.7x 6x0.5</t>
  </si>
  <si>
    <t>DIN125A TEIL 1 ZP</t>
  </si>
  <si>
    <t>T1120181</t>
  </si>
  <si>
    <t>DIN7349 ZP</t>
  </si>
  <si>
    <t>Bracket  34*20.6*26.6</t>
  </si>
  <si>
    <t>FSE 200C4001</t>
  </si>
  <si>
    <t>IFFM 08P1703/O1KS35L</t>
  </si>
  <si>
    <t>OHDK 10P5101</t>
  </si>
  <si>
    <t>ESW 31AH0200</t>
  </si>
  <si>
    <t>OZDK 10P5101/S35A</t>
  </si>
  <si>
    <t>IFRM 08P17A3/S35L</t>
  </si>
  <si>
    <t>IFRM 06P17A3/S35L</t>
  </si>
  <si>
    <t>IFRM 04P15A3/S35L</t>
  </si>
  <si>
    <t>FSE 200C/508891</t>
  </si>
  <si>
    <t>ESG 05SP0200</t>
  </si>
  <si>
    <t>IFRM 04P15A3/S05L</t>
  </si>
  <si>
    <t>80.0000.0224</t>
  </si>
  <si>
    <t>IFRM 04P15A1/L</t>
  </si>
  <si>
    <t>***40019853</t>
  </si>
  <si>
    <t>IFRM 05P15A1/L</t>
  </si>
  <si>
    <t>FHDK 10P3101/KS35</t>
  </si>
  <si>
    <t>80.0000.0106</t>
  </si>
  <si>
    <t>OADM 12I6460/S35A</t>
  </si>
  <si>
    <t>FHCK 07P6901</t>
  </si>
  <si>
    <t>FHDK 07P6901/KS35A</t>
  </si>
  <si>
    <t>ESG 09SV/405242</t>
  </si>
  <si>
    <t>FSE 100D4Y01</t>
  </si>
  <si>
    <t>FZAM 30P5004</t>
  </si>
  <si>
    <t>FSF 100A2004</t>
  </si>
  <si>
    <t>IFRM 06P3713/L</t>
  </si>
  <si>
    <t>TXG50</t>
  </si>
  <si>
    <t>IARM 12P15A3/S35L</t>
  </si>
  <si>
    <t>IFRM 04P17A3/S05L</t>
  </si>
  <si>
    <t>IFRM 04P17A1/PL</t>
  </si>
  <si>
    <t>IFRM 04P17A1/KS35PL</t>
  </si>
  <si>
    <t>IR08.P03S-F46.PO1Z.7SL</t>
  </si>
  <si>
    <t>80.0001.2563</t>
  </si>
  <si>
    <t>MSBA 42C2NRC0-
K44/10720200</t>
  </si>
  <si>
    <t>??</t>
  </si>
  <si>
    <t>BASG202350</t>
  </si>
  <si>
    <t>Pluggable M8 connector, M8, 2
meters, 3 pins, female</t>
  </si>
  <si>
    <t>SENSOR,INDUCTIVE-NPN,N/O</t>
  </si>
  <si>
    <t>SENSOR INDUCTIVE D=6.5 PNP</t>
  </si>
  <si>
    <t>FIBER-OPTIC D=1.00 L=1.00M</t>
  </si>
  <si>
    <t>05.9000.0164</t>
  </si>
  <si>
    <t>Loader/Unloader Motor SO3000 (MSBA 42C2NRC0-
K44/10720200)</t>
  </si>
  <si>
    <t>80.0000.0225</t>
  </si>
  <si>
    <t>Kabeldose ESW 05</t>
  </si>
  <si>
    <t>80.0000.8355</t>
  </si>
  <si>
    <t>Inductive Sensor</t>
  </si>
  <si>
    <t>SCREW-CYL.HEAD HEXA. M 8x130 PART.THR.</t>
  </si>
  <si>
    <t>DIN912 NOIRCIE</t>
  </si>
  <si>
    <t>SCREW-CYL.HEAD HEXA. M 6x  8 A</t>
  </si>
  <si>
    <t>DIN912 ZP</t>
  </si>
  <si>
    <t>SCREW CYL HEAD HEXA M6X10 A.T.</t>
  </si>
  <si>
    <t>SCREW-CYL.HEAD HEXA. M 6x 12 ALL THR.</t>
  </si>
  <si>
    <t>SCREW-CYL.HEAD HEXA. M 6x 14 ALL THR.</t>
  </si>
  <si>
    <t>SCREW-CYL.HEAD HEXA. M 6x 16 ALL THR.</t>
  </si>
  <si>
    <t>SCREW-CYL.HEAD HEXA. M 6x 20 ALL THR.</t>
  </si>
  <si>
    <t>SCREW-CYL.HEAD HEXA. M 6x 25 ALL THR.</t>
  </si>
  <si>
    <t>SCREW-CYL.HEAD HEXA. M 6X 30 ALL THR.</t>
  </si>
  <si>
    <t>SCREW-CYL.HEAD HEXA. M 6X 35 A.T.</t>
  </si>
  <si>
    <t>BN3 M6x35</t>
  </si>
  <si>
    <t>SCREW-CYL.HEAD HEXA. M 6x 45 PART.THR.</t>
  </si>
  <si>
    <t>SCREW-CYL.HEAD HEXA. M 8X 16 ALL THR</t>
  </si>
  <si>
    <t>1233424</t>
  </si>
  <si>
    <t>SCREW-CYL.HEAD HEXA. M 8x 20 ALL THR.</t>
  </si>
  <si>
    <t>SCREW-CYL.HEAD HEX. M 8x25 A.T.</t>
  </si>
  <si>
    <t>DIN912-BN3</t>
  </si>
  <si>
    <t>SCREW CYL HEAD HEXA M8X30 AT</t>
  </si>
  <si>
    <t>SCREW-CYL.HEAD HEXA. M 8x 35 ALL THR.</t>
  </si>
  <si>
    <t>SCREW-CYL.HEAD HEXA. M 8x 40 ALL THR.</t>
  </si>
  <si>
    <t>SCREW-CYL.HEAD HEX. M 8x55 P.T.</t>
  </si>
  <si>
    <t>DIN912-BN4 (ZP)</t>
  </si>
  <si>
    <t>SCREW-CYL.HEAD HEXA. M 8x 60 PART.THR.</t>
  </si>
  <si>
    <t>SCREW-CYL.HEAD HEXA. M 8X100 PART.THR.</t>
  </si>
  <si>
    <t>SCREW-CYL.HEAD HEXA. M10x 30 ALL THR.</t>
  </si>
  <si>
    <t>SCREW-CYL.HEAD HEXA. M10x 35 ALL THR.</t>
  </si>
  <si>
    <t>SCREW CYL HEAD LOW HEX. M4X 8 AT</t>
  </si>
  <si>
    <t xml:space="preserve">BN2844 </t>
  </si>
  <si>
    <t>SCREW-COUNT.HEAD HEX. M 4X25 A.T.</t>
  </si>
  <si>
    <t>BN616 M4x25</t>
  </si>
  <si>
    <t>SCREW-CYL.HEAD-LOW HEX. M 6X20 A.T.</t>
  </si>
  <si>
    <t>DIN7984-BN17</t>
  </si>
  <si>
    <t>SCREW-CYL.HEAD-LOW HEX. M 8x16 A.T.</t>
  </si>
  <si>
    <t>SCREW COUNT.HEAD SLOT. M 2X4</t>
  </si>
  <si>
    <t>DIN963A BN654</t>
  </si>
  <si>
    <t>SCREW M3 X 10MM BLK OX BHC</t>
  </si>
  <si>
    <t>91239A115</t>
  </si>
  <si>
    <t>6503001299 - SCREW M3 X 12 - 1020536</t>
  </si>
  <si>
    <t>BN19</t>
  </si>
  <si>
    <t>SCREW-COUNT.HEAD HEX. M 5x14 A.T.</t>
  </si>
  <si>
    <t>BN616 M5x14</t>
  </si>
  <si>
    <t>SCREW-HEADLESS HEX.F.P. M 2x2.5 A.T.</t>
  </si>
  <si>
    <t>DIN913-BN24</t>
  </si>
  <si>
    <t>SCREW-HEADLESS HEX.F.P. M 2X 3 A.T.</t>
  </si>
  <si>
    <t>HEX SOC SET SCR FLAT POINT ST M2X 4</t>
  </si>
  <si>
    <t>SCREW-HEADLESS HEX.F.P. M 2x 8 A.T.</t>
  </si>
  <si>
    <t>SCREW-HEADLESS HEX.F.P. M2.5x 3 A.T.</t>
  </si>
  <si>
    <t>SCREW-HEADLESS HEX.F.P. M2.5x 4 A.T.</t>
  </si>
  <si>
    <t>SCREW-HEADLESS HEX.F.P. M2.5x 5 A.T.</t>
  </si>
  <si>
    <t>SCREW-HEADLESS HEX.F.P. M2.5x10 A.T.</t>
  </si>
  <si>
    <t>SCREW-HEADLESS HEX.F.P. M 3X 3 A.T.</t>
  </si>
  <si>
    <t>SCREW-HEADLESS HEX.F.P. M 3x 4 A.T.</t>
  </si>
  <si>
    <t>SCREW-HEADLESS HEX.F.P. M 3X 5 A.T.</t>
  </si>
  <si>
    <t>SCREW-HEADLESS HEX.F.P. M 3x 6 A.T.</t>
  </si>
  <si>
    <t>SCREW HEADLESS HEX. F.P. M3X8 AT</t>
  </si>
  <si>
    <t>SCREW-HEADLESS HEX.F.P. M 3x10 A.T.</t>
  </si>
  <si>
    <t>SCREW-HEADLESS HEX.F.P. M 3X12 A.T.</t>
  </si>
  <si>
    <t>SCREW-HEADLESS HEX.F.P. M 3x16 A.T.</t>
  </si>
  <si>
    <t>SCREW-HEADLESS HEX.F.P. M 3x20 A.T.</t>
  </si>
  <si>
    <t>SCREW COUNT.HEAD SLOT. M 2X12</t>
  </si>
  <si>
    <t>SCREW-CYL.HEAD HEXA. M 4x 25 ALL THR.</t>
  </si>
  <si>
    <t>SCREW-CYL.HEAD HEXA. M 6x 30 ALL THR.</t>
  </si>
  <si>
    <t>SCREW CYL.HEAD HEXA. M 8X35</t>
  </si>
  <si>
    <t>DIN912 BN610</t>
  </si>
  <si>
    <t>SCREW M10X40 - 1032860</t>
  </si>
  <si>
    <t>SCREW SHCS M04X25 SS</t>
  </si>
  <si>
    <t>DIN912 BN612 A4</t>
  </si>
  <si>
    <t>SCREW-HEADLESS HEX.F.P. M 3x14 A.T.</t>
  </si>
  <si>
    <t>SCREW-HEX.HEAD CAP M 5x10 ALL THR.</t>
  </si>
  <si>
    <t>DIN933 ZP</t>
  </si>
  <si>
    <t>SCREW-HEX.HEAD CAP M 6X20 ALL THR.</t>
  </si>
  <si>
    <t>SPACER M6X16 HEX.</t>
  </si>
  <si>
    <t>BN3318</t>
  </si>
  <si>
    <t>SCREW-HEX.HEAD CAP M10X60 ALL THR.</t>
  </si>
  <si>
    <t>DIN933 A2</t>
  </si>
  <si>
    <t>SCREW-COUNT.HEAD SLOT. M 2.5x 5 ALL THR.</t>
  </si>
  <si>
    <t>DIN963A ZP</t>
  </si>
  <si>
    <t>SCREW-COUNT-HEAD 90°AV.FENT.M 2.5X6</t>
  </si>
  <si>
    <t>DIN963A A2</t>
  </si>
  <si>
    <t>SCREW-COUNT.HEAD HEX. M 3x 8 A.T.</t>
  </si>
  <si>
    <t>DIN7991 A2 BN616</t>
  </si>
  <si>
    <t>SCREW-COUNT.HEAD HEX. M 3x12 A.T.</t>
  </si>
  <si>
    <t>SCREW-COUNT.HEAD HEX. M 4X35 A.T.</t>
  </si>
  <si>
    <t>DIN7991-BN616</t>
  </si>
  <si>
    <t>SCREW ADJUSTABLE 6X10/ M5</t>
  </si>
  <si>
    <t>SCREW HEADLESS SLOT P.P. M3X3 AT</t>
  </si>
  <si>
    <t>SCREW-HEADLESS HEX.F.P. M 2X 4</t>
  </si>
  <si>
    <t>DIN913-BN617</t>
  </si>
  <si>
    <t>SCREW-HEADLESS HEX.F.P. M 2X 5</t>
  </si>
  <si>
    <t>SCREW-HEADLESS HEX.F.P. M 2X 6</t>
  </si>
  <si>
    <t>SCREW-HEADLESS HEX.F.P. M 2X 8</t>
  </si>
  <si>
    <t>SCREW-HEADLESS HEX.F.P. M2.5X4</t>
  </si>
  <si>
    <t>SCREW-HEADLESS HEX.F.P. M2.5X5</t>
  </si>
  <si>
    <t>SCREW-HEADLESS HEX.F.P. M2.5X6</t>
  </si>
  <si>
    <t>SCREW-HEADLESS HEX.F.P. M2.5X8</t>
  </si>
  <si>
    <t>NUT-HEX. 0.8D M 2.5</t>
  </si>
  <si>
    <t>BN109 M2 X 5</t>
  </si>
  <si>
    <t>BUSHING-STEEL ENSAT 302  M4</t>
  </si>
  <si>
    <t>BN902 M4</t>
  </si>
  <si>
    <t>NUT-HEX. 0.5d M 3</t>
  </si>
  <si>
    <t>DIN439B ZP</t>
  </si>
  <si>
    <t>NUT HEX. 0.5D M6</t>
  </si>
  <si>
    <t>NUT-HEX. 0.5d M16</t>
  </si>
  <si>
    <t>NUT-SELF-LOCKING M 3 LOW</t>
  </si>
  <si>
    <t>DIN985 ZP KL.6/8</t>
  </si>
  <si>
    <t>NUT-SELF-LOCKING M 4 LOW</t>
  </si>
  <si>
    <t>NUT-WELDING M4-DIN929</t>
  </si>
  <si>
    <t>BN193-M4/ART.1097369</t>
  </si>
  <si>
    <t>NUT-WELDING M5-DIN929</t>
  </si>
  <si>
    <t>BN193-M5/ ART. 1097377</t>
  </si>
  <si>
    <t>SCREW-KNURLED-HEAD HIGH M 3x10</t>
  </si>
  <si>
    <t>DIN464 ZP</t>
  </si>
  <si>
    <t>SCREW M2.5X5MM SS FHC</t>
  </si>
  <si>
    <t>DIN7991 A4 BN4719</t>
  </si>
  <si>
    <t>SCREW-COUNT.HEAD HEX. M2.5x 8 A.T.</t>
  </si>
  <si>
    <t>DIN7991 BN4719</t>
  </si>
  <si>
    <t>SCREW M3X25 - 1100114</t>
  </si>
  <si>
    <t>SCREW-COUNT.HEAD HEX. M10x20 A.T.</t>
  </si>
  <si>
    <t>BN2104 - 3807194</t>
  </si>
  <si>
    <t>PUSHER-SPRING-BALL M 5 SLIT</t>
  </si>
  <si>
    <t>EH 2205.005</t>
  </si>
  <si>
    <t>SCREW-CYL.HEAD HEXA. M 3x 30 PART.THR.</t>
  </si>
  <si>
    <t>DIN912 BN611</t>
  </si>
  <si>
    <t>SCREW-CYL.HEAD HEXA. M 4x 14 ALL THR.</t>
  </si>
  <si>
    <t>SCREW-CYL.HEAD HEXA. M 4x 18 ALL.THR.</t>
  </si>
  <si>
    <t>SCREW-CYL.HEAD HEXA. M 4x 35 PART.THR.</t>
  </si>
  <si>
    <t>DIN912 A2</t>
  </si>
  <si>
    <t>SCREW-CYL.HEAD HEXA. M 4x 40 PART.THR.</t>
  </si>
  <si>
    <t>SCREW-CYL.HEAD HEXA. M 4x 45 PART.THR.</t>
  </si>
  <si>
    <t>DIN912 A2 BN611</t>
  </si>
  <si>
    <t>SCREW-CYL.HEAD HEXA. M 4x 50 PART.THR.</t>
  </si>
  <si>
    <t>SCREW-CYL.HEAD HEXA. M 5x 14 ALL THR.</t>
  </si>
  <si>
    <t>SCREW-CYL.HEAD HEXA. M 5x 18 ALL THR.</t>
  </si>
  <si>
    <t>SCREW-CYL.HEAD HEXA. M 5x 45 PART.THR.</t>
  </si>
  <si>
    <t>SCREW CYL HEAD HEXA M5X50 PART THR BN611</t>
  </si>
  <si>
    <t>'1112376</t>
  </si>
  <si>
    <t>SCREW-CYL.HEAD HEXA. M 5X 70 PART.THR.</t>
  </si>
  <si>
    <t>SCREW PAN HEAD SLOT M2X4 AT</t>
  </si>
  <si>
    <t>WASHER M2.5</t>
  </si>
  <si>
    <t>DIN9021 BN1356</t>
  </si>
  <si>
    <t>WASHER M3</t>
  </si>
  <si>
    <t>WASHER M4</t>
  </si>
  <si>
    <t>T1120232</t>
  </si>
  <si>
    <t>WASHER M6</t>
  </si>
  <si>
    <t>SCREW-CYL.HEAD SLOT. M 2x 3 ALL THR.</t>
  </si>
  <si>
    <t>DIN84A CLAIRE</t>
  </si>
  <si>
    <t>SCREW-CYL.HEAD SLOT. M 2x 4 ALL THR.</t>
  </si>
  <si>
    <t>DIN84A BN328</t>
  </si>
  <si>
    <t>SCREW-CYL.HEAD SLOT. M 3x 3 ALL THR.</t>
  </si>
  <si>
    <t>DIN84A ZP</t>
  </si>
  <si>
    <t>SCREW CYL.HEAD HEXA. M 5X22</t>
  </si>
  <si>
    <t>SCREW-HEADLESS HEXA.C.P. M 2.5x 6 ALL TH</t>
  </si>
  <si>
    <t>DIN914 ZP</t>
  </si>
  <si>
    <t>PIN-PARALLEL D= 6.00X120 BN857</t>
  </si>
  <si>
    <t>PIN-PARALLEL D= 1.00h6x  5</t>
  </si>
  <si>
    <t>PIN-PARALLEL D= 1.00h6x 12</t>
  </si>
  <si>
    <t>SCREW-COUNT.HEAD SLOT. M 2 x 5</t>
  </si>
  <si>
    <t>SCREW-COUNT.HEAD SLOT. M 2 x 6</t>
  </si>
  <si>
    <t>SCREW-COUNT.HEAD SLOT. M 2.5x10 ALL THR.</t>
  </si>
  <si>
    <t>SCREW-COUNT.HEAD SLOT. M3 x 5</t>
  </si>
  <si>
    <t>NUT-HEX. 0.5D M12X1</t>
  </si>
  <si>
    <t>BN1207</t>
  </si>
  <si>
    <t>SCREW-COUNT.HEAD SLOT.M3 X 25 ALL THR (DIN963A ZP)</t>
  </si>
  <si>
    <t>SCREW COUNT HEAD REDUC M3 X 4</t>
  </si>
  <si>
    <t>SCREW COUNT HEAD HEX M3X 5 A.T.</t>
  </si>
  <si>
    <t>NAIL-RIBBED 1/2ROUN HEAD 2.5X5</t>
  </si>
  <si>
    <t>PIN-GROOVED D= 2X10</t>
  </si>
  <si>
    <t>DIN1469C</t>
  </si>
  <si>
    <t xml:space="preserve">PIN-GROOVED D=3 X 8 </t>
  </si>
  <si>
    <t>(DIN 1469 BN 1385)</t>
  </si>
  <si>
    <t xml:space="preserve">PIN-GROOVED D=3 X 10 </t>
  </si>
  <si>
    <t>PIN-GROOVED D= 3x12</t>
  </si>
  <si>
    <t>PIN-GROOVED D= 3x16</t>
  </si>
  <si>
    <t>PIN-GROOVED D= 3x20</t>
  </si>
  <si>
    <t>PIN GROOVED D=3X25</t>
  </si>
  <si>
    <t>PIN-GROOVED D= 3.00H6 x 30</t>
  </si>
  <si>
    <t>PIN-GROOVED D= 4X20</t>
  </si>
  <si>
    <t>BOLT-THREADED  M6X20 ZP</t>
  </si>
  <si>
    <t>DIN939FO BN1391</t>
  </si>
  <si>
    <t>SCREW-COUNT.HEAD RECESS M 3X 6 ALL THR.</t>
  </si>
  <si>
    <t>DIN966A ZP</t>
  </si>
  <si>
    <t>SCREW-HEADLESS SLOT.B.PL M2X4 ALL THR.</t>
  </si>
  <si>
    <t>DIN551/BN 1406</t>
  </si>
  <si>
    <t>SCREW-HEAD-MILLED-SLOT M 1.0X 2 ALL THR.</t>
  </si>
  <si>
    <t>BN406 M1X2</t>
  </si>
  <si>
    <t>SCREW-HEAD-MILLED-SLOT M 1.0X 3 ALL THR.</t>
  </si>
  <si>
    <t>BN406.1167723</t>
  </si>
  <si>
    <t>SCREW-HEAD-MILLED-SLOT M 1.0X 4 ALL THR.</t>
  </si>
  <si>
    <t>BN406.1167731</t>
  </si>
  <si>
    <t>SCREW-COUNT.-HEAD M1.6X3</t>
  </si>
  <si>
    <t>DIN963A BN406</t>
  </si>
  <si>
    <t>SCREW-HEADLESS HEX.F.P. M 2X 10</t>
  </si>
  <si>
    <t>SCREW-HEADLESS HEX.F.P. M2.5X10</t>
  </si>
  <si>
    <t>SCREW-HEADLESS HEX.F.P. M2.5X12</t>
  </si>
  <si>
    <t>SCREW-HEADLESS HEX.F.P. M 3x20</t>
  </si>
  <si>
    <t>SCREW-HEADLESS HEX.F.P. M 5X40 A.T.</t>
  </si>
  <si>
    <t>DIN913 A2</t>
  </si>
  <si>
    <t>SCREW HEADLESS HEX.F.P. M6X40 AT</t>
  </si>
  <si>
    <t>WASHER CHAMFERLESS 2.5X5X0.5</t>
  </si>
  <si>
    <t>DIN433 BN1414</t>
  </si>
  <si>
    <t>WASHER CHAMFERLESS 3X6X0.5</t>
  </si>
  <si>
    <t>WASHER-CHAMFERLESS  4.3x 8x0.5</t>
  </si>
  <si>
    <t>DIN433 TEIL 1 A2</t>
  </si>
  <si>
    <t>KNOB-THUMB M3</t>
  </si>
  <si>
    <t>KNOB-THUMB M4</t>
  </si>
  <si>
    <t>BN412-M4</t>
  </si>
  <si>
    <t xml:space="preserve">KNOB-THUMB M5 </t>
  </si>
  <si>
    <t xml:space="preserve">(BN412-M5) </t>
  </si>
  <si>
    <t>KNOB-THUMB M8</t>
  </si>
  <si>
    <t>BN412-M8 NOIR</t>
  </si>
  <si>
    <t>NUT-RIVET M 4 BLIND OPENED</t>
  </si>
  <si>
    <t>1174525 M4 BN4575</t>
  </si>
  <si>
    <t>SCREW-HEADLESS-SLOTTED M 1X2</t>
  </si>
  <si>
    <t>DIN551 BN426</t>
  </si>
  <si>
    <t>SCREW-HEADLESS-SLOTTED M 2x 5</t>
  </si>
  <si>
    <t>DIN551 ZP</t>
  </si>
  <si>
    <t>SCREW-HEADLESS HEXA.P.P. M 2.5 x 3</t>
  </si>
  <si>
    <t>DIN913-BN4723</t>
  </si>
  <si>
    <t>SCREW SET M3X5 - 1180045</t>
  </si>
  <si>
    <t>DIN916 A4 BN4721</t>
  </si>
  <si>
    <t>SCREW-CYL.HEAD HEXA. M 6x 22 ALL THR.</t>
  </si>
  <si>
    <t>SCREW-COUNT.HEAD HEX. M 5x 8 A.T.</t>
  </si>
  <si>
    <t>BN616 M5x8</t>
  </si>
  <si>
    <t>SCREW-CYL.HEAD HEXA. M 4x  5 ALL THR.</t>
  </si>
  <si>
    <t>SCREW-CYL.HEAD HEXA. M 5x  6 ALL THR.</t>
  </si>
  <si>
    <t>SCREW-CYL.HEAD HEX. M 3x 5 A.T.</t>
  </si>
  <si>
    <t>BN610 M3x5</t>
  </si>
  <si>
    <t>6503002504 - SCREW M3X25 - 1211099</t>
  </si>
  <si>
    <t>6503003001 - SCREW M3X30 - 1213202</t>
  </si>
  <si>
    <t>T1120072</t>
  </si>
  <si>
    <t>WASHER-ADJUSTING  3x 6x0.2</t>
  </si>
  <si>
    <t>DIN988 CLAIRE HUILEE</t>
  </si>
  <si>
    <t>T1120074</t>
  </si>
  <si>
    <t>WASHER ADJUSTING 3X6X0.3</t>
  </si>
  <si>
    <t>T1120073</t>
  </si>
  <si>
    <t>WASHER-ADJUSTING  3x 6x0.5</t>
  </si>
  <si>
    <t>T1120053</t>
  </si>
  <si>
    <t>WASHER-ADJUSTING  4x 8x0.2</t>
  </si>
  <si>
    <t>T1120195</t>
  </si>
  <si>
    <t>WASHER ADJUSTING 4X8X0.3</t>
  </si>
  <si>
    <t>T1120052</t>
  </si>
  <si>
    <t>WASHER-ADJUSTING  4x 8x0.5</t>
  </si>
  <si>
    <t>T1120083</t>
  </si>
  <si>
    <t>WASHER-ADJUSTING  5X10X0.2</t>
  </si>
  <si>
    <t>T1120084</t>
  </si>
  <si>
    <t>WASHER-ADJUSTING  5x10x0.5</t>
  </si>
  <si>
    <t>T1120086</t>
  </si>
  <si>
    <t xml:space="preserve">SHIM RINGS STEEL 2K50 DIN 988 </t>
  </si>
  <si>
    <t>T1120085</t>
  </si>
  <si>
    <t>WASHER-ADJUSTING  6x12x0.2</t>
  </si>
  <si>
    <t>T1120147</t>
  </si>
  <si>
    <t>WASHER-ADJUSTING  6X12X0.5</t>
  </si>
  <si>
    <t>T1120065</t>
  </si>
  <si>
    <t>WASHER-ADJUSTING  8x14x0.2</t>
  </si>
  <si>
    <t>WASHER-ADJUSTING  8x14x0.5</t>
  </si>
  <si>
    <t>T1120060</t>
  </si>
  <si>
    <t>WASHER ADJUSTING 10x16x0.2</t>
  </si>
  <si>
    <t>T1120205</t>
  </si>
  <si>
    <t>WASHER ADJUSTING 10x16x0.5</t>
  </si>
  <si>
    <t>SCREW-CYL.HEAD HEX. M 3x 4 A.T.</t>
  </si>
  <si>
    <t>DIN912-BN610 (A2)</t>
  </si>
  <si>
    <t>SCREW M3 X 6MM SHCS SS</t>
  </si>
  <si>
    <t>DIN912-BN610 M3x6</t>
  </si>
  <si>
    <t>SCREW M3 X 10MM SS SHC</t>
  </si>
  <si>
    <t>DIN912 M3X10(A2)</t>
  </si>
  <si>
    <t>SCREW M3 X 12MM SS SHC</t>
  </si>
  <si>
    <t>SCREW-CYL.HEAD HEXA. M 4x  6 ALL THR.</t>
  </si>
  <si>
    <t>SCREW-CYL.HEAD HEXA. M 4x  8 ALL THR.</t>
  </si>
  <si>
    <t>SCREW-CYL.HEAD HEXA. M 4x 10 ALL THR.</t>
  </si>
  <si>
    <t>SCREW-CYL.HEAD HEXA. M 4x 12 ALL THR.</t>
  </si>
  <si>
    <t>DIN912 M4X16(A2) / 1233238</t>
  </si>
  <si>
    <t>SCREW-CYL.HEAD HEXA. M 4x 20 ALL THR.</t>
  </si>
  <si>
    <t>SCREW-CYL.HEAD HEXA. M 5x  8 ALL THR.</t>
  </si>
  <si>
    <t>SCREW-CYL.HEAD HEXA. M 5x 10 ALL THR.</t>
  </si>
  <si>
    <t>SCREW-CYL.HEAD HEXA. M 5x 20 ALL THR.</t>
  </si>
  <si>
    <t>SCREW-CYL.HEAD HEXA. M 5x 25 ALL THR.</t>
  </si>
  <si>
    <t>SCREW-CYL.HEAD HEXA. M 5x 30 PART.THR.</t>
  </si>
  <si>
    <t>VIS T.CYL.6P.CR.M 6x 10</t>
  </si>
  <si>
    <t>SCREW CYL.HEAD HEXA. M 6X25</t>
  </si>
  <si>
    <t>SCREW CYL.HEAD HEXA. M 8X12</t>
  </si>
  <si>
    <t>SCREW CYL.HEAD HEXA. M 8X16</t>
  </si>
  <si>
    <t>SCREW CYL.HEAD HEXA. M 8X20</t>
  </si>
  <si>
    <t>SCREW CYL.HEAD HEXA. M 8X25</t>
  </si>
  <si>
    <t>SCREW CYL.HEAD HEXA. M 8X30</t>
  </si>
  <si>
    <t>SCREW M10 X 25MM SHC SS</t>
  </si>
  <si>
    <t>SCREW-CYL.HEAD HEX. M1.6x 3 A.T.</t>
  </si>
  <si>
    <t>DIN912-BN612 (A4)</t>
  </si>
  <si>
    <t>SCREW-CYL.HEAD HEX. M1.6x 5 A.T.</t>
  </si>
  <si>
    <t>SCREW-CYL.HEAD HEXA. M 2x  6 ALL THR.</t>
  </si>
  <si>
    <t>BN610 M2x6</t>
  </si>
  <si>
    <t>SCREW-CYL.HEAD HEX. M 2x 8 A.T.</t>
  </si>
  <si>
    <t>BN610 M2x8</t>
  </si>
  <si>
    <t>SCREW-COUNT.HEAD HEX. M 4x 8 A.T.</t>
  </si>
  <si>
    <t>SCREW-COUNT.HEAD HEX. M 4x12 A.T.</t>
  </si>
  <si>
    <t>SCREW-COUNT.HEAD HEX. M 5x12 A.T.</t>
  </si>
  <si>
    <t>SCREW-COUNT.HEAD HEX. M 5X20 A.T. ISO10642</t>
  </si>
  <si>
    <t>DIN7991 BN616</t>
  </si>
  <si>
    <t>SCREW-HEADLESS HEX.F.P. M 3x12 A.T.</t>
  </si>
  <si>
    <t>SCREW-HEADLESS HEX.F.P. M3 X 14 A.T.</t>
  </si>
  <si>
    <t>DIN913 - BN 617  1235567</t>
  </si>
  <si>
    <t>SCREW HEADLESS HEX.F.P. M4X 4 A.T.</t>
  </si>
  <si>
    <t>SCREW-HEADLESS HEX.F.P. M 4x 5 A.T.</t>
  </si>
  <si>
    <t>SCREW-HEADLESS HEX.F.P. M 4x 6 A.T.</t>
  </si>
  <si>
    <t>SCREW-HEADLESS HEX.F.P. M 4x 8 A.T.</t>
  </si>
  <si>
    <t>SCREW-HEADLESS HEX.F.P. M 4X10 A.T.</t>
  </si>
  <si>
    <t>SCREW HEADLESS HEX.F.P. M4X 10 A.T.</t>
  </si>
  <si>
    <t>DIN915 A2</t>
  </si>
  <si>
    <t>SCREW-HEADLESS HEX.F.P. M 4x12</t>
  </si>
  <si>
    <t>SCREW SET M4X16MM FLT PT SST</t>
  </si>
  <si>
    <t>DIN913 A2 BN617</t>
  </si>
  <si>
    <t>SCREW-HEADLESS HEX.F.P. M 4x20 A.T.</t>
  </si>
  <si>
    <t>SCREW HEADLESS HEX.F.P. M 4X25 A.T.</t>
  </si>
  <si>
    <t>SCREW-HEADLESS HEX.F.P. M 4x30 A.T.</t>
  </si>
  <si>
    <t>SCREW-HEADLESS HEX.F.P. M 5x 5 A.T.</t>
  </si>
  <si>
    <t>SCREW-HEADLESS HEX.F.P. M 5x 6 A.T.</t>
  </si>
  <si>
    <t>SCREW-HEADLESS HEX.F.P. M 5x 8 A.T.</t>
  </si>
  <si>
    <t>SCREW HEADLESS HEX. F.P. M5X10 AT</t>
  </si>
  <si>
    <t>SCREW-HEADLESS HEX.F.P. M 5x14</t>
  </si>
  <si>
    <t>SCREW-HEADLESS HEX.F.P. M 5x16 A.T.</t>
  </si>
  <si>
    <t>SCREW-HEADLESS HEX.F.P. M 5x18</t>
  </si>
  <si>
    <t>SCREW-HEADLESS HEX.F.P. M 5x20 A.T.</t>
  </si>
  <si>
    <t>SCREW-HEADLESS HEXA.P.P.M6 X 5 ALL THR (DIN913 A2)</t>
  </si>
  <si>
    <t>SCREW-HEADLESS HEX.F.P. M 6x 6 A.T.</t>
  </si>
  <si>
    <t>SCREW-HEADLESS HEX.F.P. M 6x 8 A.T.</t>
  </si>
  <si>
    <t>SCREW-HEADLESS HEX.F.P. M 6X10 A.T.</t>
  </si>
  <si>
    <t>SCREW-HEADLESS HEX.F.P. M 6x12 A.T.</t>
  </si>
  <si>
    <t>SCREW-HEADLESS HEX.F.P. M 6x16 A.T.</t>
  </si>
  <si>
    <t>SCREW-HEADLESS HEX.F.P. M 6x20 A.T.</t>
  </si>
  <si>
    <t>SCREW HEADLESS HEX F.P. M8X 20 A.T.</t>
  </si>
  <si>
    <t>SCREW-HEADLESS HEX.F.P. M 8x40 A.T.</t>
  </si>
  <si>
    <t>SCREW-HEADLESS HEX.C.P. M 5X16 ALL THR. ISO4027</t>
  </si>
  <si>
    <t>SCREW HEADLESS HEXA. C.P M6X16 AT</t>
  </si>
  <si>
    <t>SCREW HEX HEAD CAP M4X8 AT</t>
  </si>
  <si>
    <t>SCREW-HEX.HEAD CAP M 4x20 ALL THR.</t>
  </si>
  <si>
    <t>SCREW HEX.HEAD CAP M 5X25</t>
  </si>
  <si>
    <t>DIN933 BN622</t>
  </si>
  <si>
    <t>SCREW HEX.HEAD CAP M 6X25</t>
  </si>
  <si>
    <t>SCREW M10X16MM SS HEX</t>
  </si>
  <si>
    <t>DIN933 A2 BN622</t>
  </si>
  <si>
    <t>SCREW M12X25MM SS HEX</t>
  </si>
  <si>
    <t>SCREW M12X30MM SS HEX</t>
  </si>
  <si>
    <t>SCREW M12X35MM SS HEX</t>
  </si>
  <si>
    <t>SCREW M12X40MM SS 316 HEX</t>
  </si>
  <si>
    <t>SCREW,M12X50MM,SS,HEX</t>
  </si>
  <si>
    <t>NUT HEX M3 18-8 SS</t>
  </si>
  <si>
    <t>DIN934 A2 BN628</t>
  </si>
  <si>
    <t>NUT-HEX. 0.8d M 4</t>
  </si>
  <si>
    <t>DIN 934 A2 BN628</t>
  </si>
  <si>
    <t>NUT-HEX. 0.8d M 5</t>
  </si>
  <si>
    <t>DIN934 BN628</t>
  </si>
  <si>
    <t>NUT-HEX. 0.8d M 6</t>
  </si>
  <si>
    <t>DIN934 INOX</t>
  </si>
  <si>
    <t>NUT  HEX. 0.8D M8</t>
  </si>
  <si>
    <t>NUT-HEX. 0.5d M 6</t>
  </si>
  <si>
    <t>DIN439B INOX</t>
  </si>
  <si>
    <t>NUT NYLON M3 18-8 SS</t>
  </si>
  <si>
    <t>DIN985 A2 BN 637</t>
  </si>
  <si>
    <t>NUT  M6  LOCK  NYLON</t>
  </si>
  <si>
    <t>93625A250</t>
  </si>
  <si>
    <t>SCREW CYL.HEAD SLOT. M 2X4</t>
  </si>
  <si>
    <t>DIN84A BN650</t>
  </si>
  <si>
    <t>SCREW COUNT.HEAD SLOT. M 4X10</t>
  </si>
  <si>
    <t>WASHER SPRING M3</t>
  </si>
  <si>
    <t>DIN137A BN677</t>
  </si>
  <si>
    <t>WASHER SPRING M4</t>
  </si>
  <si>
    <t>DIN137B BN678</t>
  </si>
  <si>
    <t>WASHER SPRING M5</t>
  </si>
  <si>
    <t>SCREW M3 X 10MM SS FHP</t>
  </si>
  <si>
    <t>DIN965A A2 BN661</t>
  </si>
  <si>
    <t>6504001001 - SCREW M4 - 1250795</t>
  </si>
  <si>
    <t>ARTICLE NO: 1250795</t>
  </si>
  <si>
    <t>WASHER-FLAT 3.2X7X0.5 (M3) ISO7089</t>
  </si>
  <si>
    <t>DIN125A A2 BN670 - M3</t>
  </si>
  <si>
    <t>WASHER-CHAMFERLESS  4.3x 9x0.8</t>
  </si>
  <si>
    <t>DIN125A A2 BN670</t>
  </si>
  <si>
    <t>WASHER-CHAMFERLESS  5.3x10x1</t>
  </si>
  <si>
    <t>T1120129</t>
  </si>
  <si>
    <t>WASHER-CHAMFERLESS 13X24X2.5</t>
  </si>
  <si>
    <t>DIN125B ZP</t>
  </si>
  <si>
    <t>WASHER 17X30X3 - 1253271</t>
  </si>
  <si>
    <t>WASHER SPRING LOCK M3</t>
  </si>
  <si>
    <t>DIN127B BN672</t>
  </si>
  <si>
    <t>T1120143</t>
  </si>
  <si>
    <t>WASHER-SPRING-LOCK 4.1X7.6X0.9 (M4) DIN127B</t>
  </si>
  <si>
    <t>DIN127B NOIRCIE</t>
  </si>
  <si>
    <t>WASHER-SPRING-LOCK 5.1X9.2X1.2 (M5) DIN127B</t>
  </si>
  <si>
    <t>WASHER SPRING LOCK M6</t>
  </si>
  <si>
    <t>WASHER SPRING LOCK M8</t>
  </si>
  <si>
    <t>WASHER SERRATED 3.2X6X0.4</t>
  </si>
  <si>
    <t>DIN6798A BN675</t>
  </si>
  <si>
    <t>CIRCLIP FOR SHAFTS D=1.2</t>
  </si>
  <si>
    <t>DIN6799 SS BN809</t>
  </si>
  <si>
    <t xml:space="preserve">CIR-CLIP FOR SHAFTS D=1.9 </t>
  </si>
  <si>
    <t>DIN6799 BN810</t>
  </si>
  <si>
    <t>CIRCLIP FOR SHAFTS D= 3.2</t>
  </si>
  <si>
    <t>DIN6799 BN679</t>
  </si>
  <si>
    <t>CIRCLIP FOR SHAFTS D= 4</t>
  </si>
  <si>
    <t>CIRCLIP FOR SHAFTS D=4</t>
  </si>
  <si>
    <t>1254510  BN679</t>
  </si>
  <si>
    <t>PIN-PARALLEL D= 1.50h8x 8 A1</t>
  </si>
  <si>
    <t>1255584-BN684</t>
  </si>
  <si>
    <t>PIN DOWEL CYL. D=3.00H8X14 SS</t>
  </si>
  <si>
    <t>1255835 BN684</t>
  </si>
  <si>
    <t xml:space="preserve">PIN-PARALLEL D=4.00h8 x 14 </t>
  </si>
  <si>
    <t>SCREW-CYL.HEAD-LOW HEX. M 3X 5 A.T.</t>
  </si>
  <si>
    <t>DIN7984-BN2844</t>
  </si>
  <si>
    <t>SCREW M3 X 6MM SS LOW SHC</t>
  </si>
  <si>
    <t>SCREW-SELF TAP.RECES. 2.9X13</t>
  </si>
  <si>
    <t>DIN7981C A2</t>
  </si>
  <si>
    <t>T1120217</t>
  </si>
  <si>
    <t>WASHER CHAMFERLESS 6.4X11X1.6 BN726</t>
  </si>
  <si>
    <t>1269593</t>
  </si>
  <si>
    <t>T1120125</t>
  </si>
  <si>
    <t>WASHER-CHAMFERLESS 3.2X 9X0.8</t>
  </si>
  <si>
    <t>1269976</t>
  </si>
  <si>
    <t>T1120126</t>
  </si>
  <si>
    <t>WASHER-CHAMFERLESS 4.3X12X1</t>
  </si>
  <si>
    <t>1269992</t>
  </si>
  <si>
    <t>WASHER-FLAT-CHAMFERLESS 17X50X3</t>
  </si>
  <si>
    <t>M16-BN729</t>
  </si>
  <si>
    <t>T1120097</t>
  </si>
  <si>
    <t>WASHER-LARGE DIAMETER  5.3x20x1.5</t>
  </si>
  <si>
    <t>BN732</t>
  </si>
  <si>
    <t>WASHER-LARGE DIAMETER  6.4x25x1.8</t>
  </si>
  <si>
    <t>T1120101</t>
  </si>
  <si>
    <t>WASHER-LARGE DIAMETER  8.4X30X2  M8</t>
  </si>
  <si>
    <t>BN732 00732</t>
  </si>
  <si>
    <t>T1120145</t>
  </si>
  <si>
    <t>WASHER-CHAMFERLESS  3.2x 9x1</t>
  </si>
  <si>
    <t>T1120095</t>
  </si>
  <si>
    <t>WASHER-CHAMFERLESS  4.3x12x1.6</t>
  </si>
  <si>
    <t>T1120110</t>
  </si>
  <si>
    <t>WASHER-CHAMFERLESS  5.3x15x2</t>
  </si>
  <si>
    <t>T1120098</t>
  </si>
  <si>
    <t>WASHER-CHAMFERLESS  6.4x17x3</t>
  </si>
  <si>
    <t>WASHER-CHAMFERLESS  8.4x21x4</t>
  </si>
  <si>
    <t>T1120093</t>
  </si>
  <si>
    <t>WASHER-CHAMFERLESS 10.5x25x4</t>
  </si>
  <si>
    <t>T1120080</t>
  </si>
  <si>
    <t>WASHER-SHIM  4x16x0.2</t>
  </si>
  <si>
    <t>DIN988 CLAIRE</t>
  </si>
  <si>
    <t>T1120050</t>
  </si>
  <si>
    <t>WASHER-SHIM  8x20x0.2</t>
  </si>
  <si>
    <t>T1120059</t>
  </si>
  <si>
    <t>WASHER-SHIM  6x18x0.5</t>
  </si>
  <si>
    <t>T1120051</t>
  </si>
  <si>
    <t>WASHER-SHIM  8x20x0.5</t>
  </si>
  <si>
    <t>PIN-PARALLEL D= 1.00H8X  4</t>
  </si>
  <si>
    <t>VSM 12771B H8 BN855</t>
  </si>
  <si>
    <t>WASHER SPRING M4 FE/ZN DIN127B</t>
  </si>
  <si>
    <t>BN 762 DIN127B M4 B</t>
  </si>
  <si>
    <t>WASHER-SPRING LOCK  5.1x 9.2x1.2</t>
  </si>
  <si>
    <t>DIN127B ZP</t>
  </si>
  <si>
    <t>WASHER-SPRING LOCK  6.1x11.8x1.6</t>
  </si>
  <si>
    <t>T1120131</t>
  </si>
  <si>
    <t>SCW WASHER-SERRATED 3.2X6X0.4</t>
  </si>
  <si>
    <t>1278037</t>
  </si>
  <si>
    <t>WASHER-SERRATED 4.3X 8X0.5</t>
  </si>
  <si>
    <t>DIN6798A BN781 M 4 / 4,3</t>
  </si>
  <si>
    <t>WASHER SERRATED M6</t>
  </si>
  <si>
    <t>DIN6798A BN781</t>
  </si>
  <si>
    <t>WASHER SPRING 3.2X6X0.4 CONICAL</t>
  </si>
  <si>
    <t>WASHER-SPRING  8.4X15X0.5 CONICAL</t>
  </si>
  <si>
    <t>DIN137A ZP</t>
  </si>
  <si>
    <t>T1120043</t>
  </si>
  <si>
    <t>WASHER SPING 5.3X11X0.5 CRINKLED</t>
  </si>
  <si>
    <t>T1120045</t>
  </si>
  <si>
    <t>WASHER SPRING 6.4X12X0.5 CRINKLED</t>
  </si>
  <si>
    <t>T1120046</t>
  </si>
  <si>
    <t>WASHER SPRING 8.4X15X0.8 CRINKLED</t>
  </si>
  <si>
    <t>T1120047</t>
  </si>
  <si>
    <t>WASHER-SPRING 10.5x21x1 CRINKLED</t>
  </si>
  <si>
    <t>DIN137B ZP</t>
  </si>
  <si>
    <t>WASHER-SCHNORR  5.2x 10x0.5</t>
  </si>
  <si>
    <t>WASHER-SCHNORR  6.2x 12.5x0.5</t>
  </si>
  <si>
    <t>CIRCLIP FOR SHAFTS D= 0.8</t>
  </si>
  <si>
    <t>DIN6799 NOIRCI EN VRAC</t>
  </si>
  <si>
    <t>CIRCLIP FOR SHAFTS D= 1.5</t>
  </si>
  <si>
    <t>RING-STOP FOR SHAFTS D= 8</t>
  </si>
  <si>
    <t>DIN7993A NOIRCIE</t>
  </si>
  <si>
    <t xml:space="preserve">CIR-CLIP FOR SHAFTS D=3 </t>
  </si>
  <si>
    <t>(DIN471ZP)</t>
  </si>
  <si>
    <t>CIRCLIP FOR SHAFTS D=20</t>
  </si>
  <si>
    <t>DIN471 ZP</t>
  </si>
  <si>
    <t xml:space="preserve">CIRSCLIP FOR SHAFTS D=4 WITH EYES </t>
  </si>
  <si>
    <t>DIN471 NOICE</t>
  </si>
  <si>
    <t>CIRCLIP FOR SHAFTS D= 5 WITH EYES</t>
  </si>
  <si>
    <t>DIN471 NOIRCI</t>
  </si>
  <si>
    <t>CIRCLIP FOR SHAFTS D= 6 WITH EYES</t>
  </si>
  <si>
    <t xml:space="preserve">CIR-CLIP FOR SHAFTS D=7 WITH EYES </t>
  </si>
  <si>
    <t>(DIN 471 NOIRCI) BN 820</t>
  </si>
  <si>
    <t>CIRCLIP FOR BORES D=15</t>
  </si>
  <si>
    <t>DIN472 ZP</t>
  </si>
  <si>
    <t>HANDLE WITH FIXING-FRONTAL EBP</t>
  </si>
  <si>
    <t>PIN-PARALLEL D= 5.00H8X 20</t>
  </si>
  <si>
    <t>VSM12771B H8</t>
  </si>
  <si>
    <t>PIN-PARALLEL D= 2.00h6x 20</t>
  </si>
  <si>
    <t>PIN-PARALLEL D= 3.00h6x 30</t>
  </si>
  <si>
    <t>PIN-PARALLEL D= 1.50h6x  5</t>
  </si>
  <si>
    <t>PIN-PARALLEL D= 1.50h6x  6</t>
  </si>
  <si>
    <t>PIN-PARALLEL D= 1.50h6x  8</t>
  </si>
  <si>
    <t>PIN-PARALLEL D= 1.50h6x 10</t>
  </si>
  <si>
    <t>PIN-PARALLEL D= 1.50h6x 12</t>
  </si>
  <si>
    <t>PIN-PARALLEL D= 1.50h6x 14</t>
  </si>
  <si>
    <t>PIN-PARALLEL D= 1.50h6x 24</t>
  </si>
  <si>
    <t>PIN-PARALLEL D= 1.50h6x 40</t>
  </si>
  <si>
    <t>PIN-PARALLEL D= 2.00H6X  5</t>
  </si>
  <si>
    <t>PIN-PARALLEL D= 2.00H6X  6</t>
  </si>
  <si>
    <t>PIN-PARALLEL D= 2.00h6x  8</t>
  </si>
  <si>
    <t>PIN-PARALLEL D= 2.00h6x 10</t>
  </si>
  <si>
    <t>PIN-PARALLEL D= 2.00h6x 12</t>
  </si>
  <si>
    <t>PIN-PARALLEL D= 2.00h6x 14</t>
  </si>
  <si>
    <t>PIN-PARALLEL D= 2.00h6x 16</t>
  </si>
  <si>
    <t>PIN-PARALLEL D= 2.00h6x 24</t>
  </si>
  <si>
    <t>PIN-PARALLEL D= 2.00h6x 30</t>
  </si>
  <si>
    <t xml:space="preserve">PIN-PARALLEL D=2.50H6 X 6 </t>
  </si>
  <si>
    <t>(DIN6325 BN858)</t>
  </si>
  <si>
    <t>PIN-PARALLEL D= 2.50h6x  8</t>
  </si>
  <si>
    <t>PIN-PARALLEL D= 2.50h6x 10</t>
  </si>
  <si>
    <t>DIN6325</t>
  </si>
  <si>
    <t>PIN-PARALLEL D= 2.50h6x 12</t>
  </si>
  <si>
    <t>PIN-PARALLEL D= 2.50H6X 14</t>
  </si>
  <si>
    <t>DIN6325 BN858</t>
  </si>
  <si>
    <t>PIN-PARALLEL D= 2.50h6x 30</t>
  </si>
  <si>
    <t>PIN-PARALLEL D= 3.00h6x  6</t>
  </si>
  <si>
    <t>PIN-PARALLEL D= 3.00h6x  8</t>
  </si>
  <si>
    <t>PIN PARALLEL D=3.00H6X 10</t>
  </si>
  <si>
    <t>PIN-PARALLEL D= 3.00h6x 12</t>
  </si>
  <si>
    <t>PIN-PARALLEL D= 3.00h6x 14</t>
  </si>
  <si>
    <t>PIN-PARALLEL D= 3.00h6x 16</t>
  </si>
  <si>
    <t>PIN-PARALLEL D= 3.00H6X 18</t>
  </si>
  <si>
    <t>PIN-PARALLEL D= 3.00h6x 20</t>
  </si>
  <si>
    <t>PIN-PARALLEL D= 3.00H6X 22</t>
  </si>
  <si>
    <t>PIN PARALLEL D=3.00H6X 24</t>
  </si>
  <si>
    <t>PIN-PARALLEL D= 3.00H6X 28</t>
  </si>
  <si>
    <t>PIN-PARALLEL D= 3.00h6x 36</t>
  </si>
  <si>
    <t>PIN-PARALLEL D= 3.00h6x 40</t>
  </si>
  <si>
    <t>PIN-PARALLEL D= 3.00H6X 45</t>
  </si>
  <si>
    <t xml:space="preserve">(DIN6325 BN858) </t>
  </si>
  <si>
    <t>PIN-PARALLEL D= 4.00h6x  6</t>
  </si>
  <si>
    <t>PIN-PARALLEL D= 4.00h6x  8</t>
  </si>
  <si>
    <t>PIN-PARALLEL D= 4.00h6x 10</t>
  </si>
  <si>
    <t>PIN-PARALLEL D= 4.00h6x 12</t>
  </si>
  <si>
    <t>PIN-PARALLEL D= 4.00h6x 14</t>
  </si>
  <si>
    <t>PIN-PARALLEL D= 4.00h6x16</t>
  </si>
  <si>
    <t>PIN-PARALLEL D= 4.00h6x 18</t>
  </si>
  <si>
    <t>PIN-PARALLEL D= 4.00h6x 20</t>
  </si>
  <si>
    <t>PIN-PARALLEL D= 4.00h6x 22</t>
  </si>
  <si>
    <t>PIN- PARALLEL D= 4.00h6x 24</t>
  </si>
  <si>
    <t>PIN-PARALLEL D= 4.00h6x 28</t>
  </si>
  <si>
    <t>PIN-PARALLEL D= 4.00h6x 30</t>
  </si>
  <si>
    <t>PIN PARALLEL D=4.00H 6X32</t>
  </si>
  <si>
    <t>PIN-PARALLEL D= 4.00h6x 40</t>
  </si>
  <si>
    <t>PIN-PARALLEL D= 4.00H6X 45</t>
  </si>
  <si>
    <t>PIN-PARALLEL D= 4.00h6x 60</t>
  </si>
  <si>
    <t>PIN PARALLEL D=5.00H6X 10</t>
  </si>
  <si>
    <t>PIN-PARALLEL D=5.00 H6 X 12</t>
  </si>
  <si>
    <t>DIN6325 H6 BN858</t>
  </si>
  <si>
    <t>PIN PARALLEL D=5.00H6X14</t>
  </si>
  <si>
    <t>PIN-PARALLEL D= 5.00h6x 16</t>
  </si>
  <si>
    <t>PIN PARALLEL D=5.00H6X 18</t>
  </si>
  <si>
    <t>PIN-PARALLEL D= 5.00h6x 20</t>
  </si>
  <si>
    <t xml:space="preserve">PIN-PARALLEL D= 5.00H6X36 </t>
  </si>
  <si>
    <t>PIN-PARALLEL D= 5.00h6x 45</t>
  </si>
  <si>
    <t>PIN-PARALLEL D= 5.00h6x 60</t>
  </si>
  <si>
    <t>PIN-PARALLEL D= 6.00h6x 10</t>
  </si>
  <si>
    <t>PIN-PARALLEL D= 6.00h6x 12</t>
  </si>
  <si>
    <t>PIN-PARALLEL D= 6.00h6x 14</t>
  </si>
  <si>
    <t>PIN-PARALLEL D= 6.00H6X 16</t>
  </si>
  <si>
    <t>BN858</t>
  </si>
  <si>
    <t>PIN-PARALLEL D= 6.00h6x 18</t>
  </si>
  <si>
    <t>PIN-PARALLEL D= 6.00h6x 20</t>
  </si>
  <si>
    <t>PIN-PARALLEL D= 6.00h6x 24</t>
  </si>
  <si>
    <t>PIN PARALLEL D=6.00H6X30</t>
  </si>
  <si>
    <t>PIN PARALLEL D=6.00H 6X32</t>
  </si>
  <si>
    <t>PIN-PARALLEL D= 6.00h6x 36</t>
  </si>
  <si>
    <t>PIN-PARALLEL D= 6.00h6x 40</t>
  </si>
  <si>
    <t>PIN-PARALLEL D= 6.00h6x 60</t>
  </si>
  <si>
    <t>PIN-PARALLEL D= 8.00h6x 16</t>
  </si>
  <si>
    <t>PIN PARALLEL D=8.00H6X 30</t>
  </si>
  <si>
    <t>PIN-PARALLEL D= 8.00h6x 40</t>
  </si>
  <si>
    <t>PIN PARALLEL D=10.00H6X24</t>
  </si>
  <si>
    <t>PIN-PARALLEL D=10.00h6x 36</t>
  </si>
  <si>
    <t>PIN-PARALLEL D=12.00H6X 90</t>
  </si>
  <si>
    <t>SHAFT COLLAR  5x10x 6 BLUE GALVANIZED</t>
  </si>
  <si>
    <t>DIN705A ZP</t>
  </si>
  <si>
    <t xml:space="preserve">PIN SPRING SLIT D=2 x 8 </t>
  </si>
  <si>
    <t>DIN7346 BN878</t>
  </si>
  <si>
    <t>PIN-SPRING SLIT D= 3X 6</t>
  </si>
  <si>
    <t>DIN7346</t>
  </si>
  <si>
    <t>PIN-SPRING SLIT D= 3X20</t>
  </si>
  <si>
    <t>PIN-SPRING SLIT D=4X10</t>
  </si>
  <si>
    <t>PIN-SPRING 05X8 LIGHT</t>
  </si>
  <si>
    <t>PIN-SPRING SLIT D= 5x10</t>
  </si>
  <si>
    <t>PIN-SPRING SLIT D= 5X24</t>
  </si>
  <si>
    <t>PIN-SPRING SLIT D= 8X10</t>
  </si>
  <si>
    <t>PIN-SPRING SLIT D= 8x16</t>
  </si>
  <si>
    <t>PIN-SPRING-SLIT-TOOT.D= 2x10</t>
  </si>
  <si>
    <t>VSM12785</t>
  </si>
  <si>
    <t>PIN-ELASTIC D=2.5X10 SLOT-TOOTHED</t>
  </si>
  <si>
    <t>VSM 12785</t>
  </si>
  <si>
    <t>PIN SPRING SLIT TOOT D=4X10</t>
  </si>
  <si>
    <t>SCREW-CYL.HEAD HEX. M1.6x 8 A.</t>
  </si>
  <si>
    <t>SCREW-RAISED HEAD HEX. M 3x 6 A.T.</t>
  </si>
  <si>
    <t>ISO7380-BN1593</t>
  </si>
  <si>
    <t>SCREW-RAISED HEAD HEX. M 3x 8 A.T.</t>
  </si>
  <si>
    <t>ISO7380 A2 BN1593</t>
  </si>
  <si>
    <t>SCR  M3X12MM  BH SOC SS</t>
  </si>
  <si>
    <t>ARTICLE NO: 1348744</t>
  </si>
  <si>
    <t>SCREW-RAISED HEAD HEX. M 4x 8 A.T.</t>
  </si>
  <si>
    <t>SCREW-RAISED HEAD HEX. M 4x10 A.T.</t>
  </si>
  <si>
    <t>SCREW-RAISED HEAD HEX. M 4x12 A.T.</t>
  </si>
  <si>
    <t>SCREW,M4,14MM,SS,BHCS</t>
  </si>
  <si>
    <t>ARTICLE NO: 1348841</t>
  </si>
  <si>
    <t>SCREW-RAISED HEAD HEX. M 4x16 A.T.</t>
  </si>
  <si>
    <t>SCREW-RAISED HEAD HEX. M 5x10 A.T.</t>
  </si>
  <si>
    <t>SCREW M5 X 12MM SS BHC</t>
  </si>
  <si>
    <t>MCMASTER / 92095A210</t>
  </si>
  <si>
    <t>SCREW-RAISED HEAD HEX. M 5x16 A.T.</t>
  </si>
  <si>
    <t>SCREW-RAISED HEAD HEX. M 5x20 A.T.</t>
  </si>
  <si>
    <t>SCREW-RAISED HEAD HEX. M 6x10 A.T.</t>
  </si>
  <si>
    <t>SCREW  M6X12MM SS BHC</t>
  </si>
  <si>
    <t>SCREW-RAISED HEAD HEX. M 6x16 A.T.</t>
  </si>
  <si>
    <t>SCREW-RAISED HEAD HEX. M 6x20 A.T.</t>
  </si>
  <si>
    <t>A0000011531</t>
  </si>
  <si>
    <t>SCREW M8-1.25-6G 25MM BHCS SS</t>
  </si>
  <si>
    <t>SHAFT COLLAR  6x12x 8 BLUE GALVANIZED</t>
  </si>
  <si>
    <t>SHAFT COLLAR 12x22x12 BLUE GALVANIZED</t>
  </si>
  <si>
    <t xml:space="preserve">SHAFT COLLAR 15X25X12 BLUE GALVANIZED </t>
  </si>
  <si>
    <t>DIN705A ZP BN1631</t>
  </si>
  <si>
    <t>Adjusting rings without set screw steel zinc plated blue</t>
  </si>
  <si>
    <t>SHAFT COLLAR 25x40x16 BLUE GALVANIZED</t>
  </si>
  <si>
    <t>RIVET BLIND 31BS L=3.5</t>
  </si>
  <si>
    <t>DIN7337 BN924</t>
  </si>
  <si>
    <t>PUSHER SPRING BALL M 4 SLIT</t>
  </si>
  <si>
    <t>SPACER M3x30 HEX.</t>
  </si>
  <si>
    <t>BN3320</t>
  </si>
  <si>
    <t>SPACER M3x40 HEX.</t>
  </si>
  <si>
    <t xml:space="preserve">SPACER-HEX. M3X 50 FEMALE </t>
  </si>
  <si>
    <t xml:space="preserve">(BN3319 ZP) </t>
  </si>
  <si>
    <t>SPACER-HEX. M3x  5 MALE/FEMALE</t>
  </si>
  <si>
    <t>SPACER-HEX. M3x  6 MALE/FEMALE</t>
  </si>
  <si>
    <t>SPACER-HEX. M3X  8 MALE/FEMALE</t>
  </si>
  <si>
    <t>BN3318 M3 X 8</t>
  </si>
  <si>
    <t>SPACER-HEX. M3x 10 MALE/FEMALE</t>
  </si>
  <si>
    <t>SPACER-HEX. M3x 20 MALE/FEMALE</t>
  </si>
  <si>
    <t>1384821</t>
  </si>
  <si>
    <t>SPACER-HEX. M3X 30 MALE/FEMALE</t>
  </si>
  <si>
    <t>SPACER-HEX. M3x 35 MALE/FEMALE</t>
  </si>
  <si>
    <t>SPACER-HEX. M3x40 MALE/FEMALE</t>
  </si>
  <si>
    <t>SPACER-HEX. M3x 55 MALE/FEMALE</t>
  </si>
  <si>
    <t>SPACER -HEX M3 X5 FEMALE</t>
  </si>
  <si>
    <t>SPACER-HEX. M3x 10 FEMALE</t>
  </si>
  <si>
    <t>SPACER M3X16</t>
  </si>
  <si>
    <t>BN3319</t>
  </si>
  <si>
    <t>SPACER-HEX. M3x 25 FEMALE</t>
  </si>
  <si>
    <t>SPACER-HEX. M3x 30 FEMALE</t>
  </si>
  <si>
    <t>spacer hex female - BN3319ZP M3 X 40 </t>
  </si>
  <si>
    <t>BN3319ZP M3 X 40 </t>
  </si>
  <si>
    <t>SPACER-HEX. M3x 45 FEMALE</t>
  </si>
  <si>
    <t>SPACER M3x 8 HEX.</t>
  </si>
  <si>
    <t>SPACER M3X25</t>
  </si>
  <si>
    <t>BN3321</t>
  </si>
  <si>
    <t>BUSHING-THREADED M 4 X 4</t>
  </si>
  <si>
    <t>BN 1036</t>
  </si>
  <si>
    <t>BUSHING-THREADED M 5</t>
  </si>
  <si>
    <t>BN 1047</t>
  </si>
  <si>
    <t>BUSHING-THREADED M 3</t>
  </si>
  <si>
    <t>BN1054</t>
  </si>
  <si>
    <t>BUSHING-THREADED M 4</t>
  </si>
  <si>
    <t>BN1054 M4</t>
  </si>
  <si>
    <t>BUSHING-THREADED BUSH M2</t>
  </si>
  <si>
    <t>BN1052</t>
  </si>
  <si>
    <t>M6 WASHER COUNTERSUNK BLACK</t>
  </si>
  <si>
    <t>1388460 M 6</t>
  </si>
  <si>
    <t>WASHER-FOR-SCREW-COUNT.HEAD 4.3X12.5X3</t>
  </si>
  <si>
    <t>BN5389 1388606</t>
  </si>
  <si>
    <t>WASHER-FOR-CREW-COUNT.HEAD 5.3X14.5X3.2</t>
  </si>
  <si>
    <t>BN5389 1388614</t>
  </si>
  <si>
    <t>WASHER FINISHING M6</t>
  </si>
  <si>
    <t>BN5389 PA</t>
  </si>
  <si>
    <t>NUT-HEX. 0.5D M10X1</t>
  </si>
  <si>
    <t>DIN439B ZP BN1207</t>
  </si>
  <si>
    <t>SCREW-SLOTTED-CYL.HEAD M 3x 6</t>
  </si>
  <si>
    <t>DIN84A PA BN1061</t>
  </si>
  <si>
    <t>WASHER  3.2x 7x0.5</t>
  </si>
  <si>
    <t>DIN125A PA</t>
  </si>
  <si>
    <t>WASHER INSULATED  4.3x 9x0.8</t>
  </si>
  <si>
    <t>SCREW-HEADLESS HEX.F.P. M 2X 3</t>
  </si>
  <si>
    <t>SCREW-HEADLESS HEX.F.P. M 4x 3 A.T.</t>
  </si>
  <si>
    <t>SCREW HEADLESS HEXA.C.P. M 2.5</t>
  </si>
  <si>
    <t>DIN914 BN618</t>
  </si>
  <si>
    <t>CAP-PROTECTION D= 36.8</t>
  </si>
  <si>
    <t>BN1095 TL-4-368</t>
  </si>
  <si>
    <t>PIN-PARALLEL D= 1.00m6x  3</t>
  </si>
  <si>
    <t>VSM12771A M6</t>
  </si>
  <si>
    <t>SCREW-CYL.HEAD HEX. M 2X 3 A.T.</t>
  </si>
  <si>
    <t>SCREW-CYL.HEAD HEX. M 2x 4 A.T.</t>
  </si>
  <si>
    <t>SCREW-CYL.HEAD HEX. M 2X 5 A.T.</t>
  </si>
  <si>
    <t>SCREW-CYL.HEAD HEX. M 2x10 A.T.</t>
  </si>
  <si>
    <t>SCREW-CYL.HEAD HEX. M 2x12 A.T.</t>
  </si>
  <si>
    <t>SCREW-CYL.HEAD HEX. M 2x16 A.T.</t>
  </si>
  <si>
    <t>SCREW-CYL.HEAD HEX. M2.5x 4 A.T.</t>
  </si>
  <si>
    <t>SCREW-CYL.HEAD HEX. M2.5x 5 A.T.</t>
  </si>
  <si>
    <t>SCREW-CHEESE-HEAD-SLOTTED M 1X 2 A.T.</t>
  </si>
  <si>
    <t>DIN84A A2 BN650</t>
  </si>
  <si>
    <t>SCREW-CHEESE-HEAD-SLOTTED M 1X 3 A.T.</t>
  </si>
  <si>
    <t>SCREW-CYL.HEAD HEXA. M 4x 30 PART.THR.</t>
  </si>
  <si>
    <t>SCREW-CYL.HEAD HEXA. M 5x 35 PART.THR.</t>
  </si>
  <si>
    <t>SCREW-CYL.HEAD HEXA. M 5x 40 PART.THR.</t>
  </si>
  <si>
    <t>SCREW CYL.HEAD HEXA. M 6X50</t>
  </si>
  <si>
    <t>SCREW M12X40MM SS SHC</t>
  </si>
  <si>
    <t>ARTICLE NO : 1422022</t>
  </si>
  <si>
    <t>SCREW-CYL.HEAD HEX. M2.5X 6 A.T.</t>
  </si>
  <si>
    <t>SCREW-CYL.HEAD HEX. M2.5x10 A.T.</t>
  </si>
  <si>
    <t>SCREW-CYL.HEAD HEX. M2.5x12 A.T.</t>
  </si>
  <si>
    <t>SCREW-CYL.HEAD HEX. M2.5x20 A.T.</t>
  </si>
  <si>
    <t>SCREW-HEADLESS SLOT.P.P. M 8x80 ALL THR.</t>
  </si>
  <si>
    <t>SCREW M12X55MM SS HEX</t>
  </si>
  <si>
    <t>91287A395</t>
  </si>
  <si>
    <t>SCREW-COUNT.HEAD SLOT. M 2x 3 ALL THR.</t>
  </si>
  <si>
    <t>BUSHING-TRHEATED M 4</t>
  </si>
  <si>
    <t>BN1936</t>
  </si>
  <si>
    <t>SCREW-CYL.HEAD SLOT. M 1.6x 3 ALL THR.</t>
  </si>
  <si>
    <t>SCREW-CYL.HEAD SLOT. M 1.6x 5 ALL THR.</t>
  </si>
  <si>
    <t>SCREW CYL.HEAD HEXA. M 6X18</t>
  </si>
  <si>
    <t>SCREW M6 X 22MM SS SHC</t>
  </si>
  <si>
    <t>SCREW-HEAD-COUNTERSUNK M1.6X4</t>
  </si>
  <si>
    <t>SCREW-COUNT.HEAD SLOT. M2.5X 3</t>
  </si>
  <si>
    <t>NUT-SLOTTED M12x1 SELF-LOCKING</t>
  </si>
  <si>
    <t>BN1235</t>
  </si>
  <si>
    <t>NUT-SLOTTED M15x1 SELF-LOCKING</t>
  </si>
  <si>
    <t>NUT-SLOTTED M17X1 SELF-LOCKING</t>
  </si>
  <si>
    <t>WASHER FOR SCREW-COUNT.HEAD  3.2x10x1.8</t>
  </si>
  <si>
    <t>BN 1276 1446630</t>
  </si>
  <si>
    <t>WASHER FOR SCREW-COUNT.HEAD  5.3x16x2.8</t>
  </si>
  <si>
    <t>BN 1277 1446886</t>
  </si>
  <si>
    <t xml:space="preserve">WASHER FOR SCREW-COUNT HEAD -BN 1276 </t>
  </si>
  <si>
    <t>FINISHING WASHER M4 BN1277</t>
  </si>
  <si>
    <t>1446878 WASHER M4 BN1277</t>
  </si>
  <si>
    <t>SCREW-KNURLED-HEAD HIGH M 4x 8</t>
  </si>
  <si>
    <t>PUSHER-SPRING-BALL M 3 SLIT</t>
  </si>
  <si>
    <t>EH 2205.003</t>
  </si>
  <si>
    <t>SCREW-COUNT.HEAD HEX. M 2x 4 A.T.</t>
  </si>
  <si>
    <t>DIN7991-BN20</t>
  </si>
  <si>
    <t>SCREW-COUNT.HEAD HEX. M 2x 5 A.T.</t>
  </si>
  <si>
    <t>SCREW-COUNT.HEAD HEX. M 2x 6 A.T.</t>
  </si>
  <si>
    <t>SCREW-COUNT.HEAD HEX. M2.5x 5 A.T.</t>
  </si>
  <si>
    <t>WASHER M3 - 1486799</t>
  </si>
  <si>
    <t>DIN6797A A2 BN2842</t>
  </si>
  <si>
    <t>WASHERMEXT STAR M4 18-8 SS</t>
  </si>
  <si>
    <t xml:space="preserve">SCREW-CYL.HEAD HEXA. M 3X 12 ALL THR. </t>
  </si>
  <si>
    <t>(DIN7984-BN2844)</t>
  </si>
  <si>
    <t xml:space="preserve">Hexagon socket head cap screws M3x25 </t>
  </si>
  <si>
    <t>(BN2844)</t>
  </si>
  <si>
    <t>SCREW-CYL.HEAD-LOW HEX. M 4x10 A.T.</t>
  </si>
  <si>
    <t>SCREW-CYL.HEAD-LOW HEX. M 4x16 A.T.</t>
  </si>
  <si>
    <t xml:space="preserve">SCREW-CYL.HEAD HEXA.M4 X 20 ALL THR </t>
  </si>
  <si>
    <t>DIN7984 A20</t>
  </si>
  <si>
    <t>SCREW-CYL.HEAD-LOW HEX. M 5x10 A.T.</t>
  </si>
  <si>
    <t>SCREW CYL HEAD LOW M5X12 AT</t>
  </si>
  <si>
    <t>SCREW-CYL.HEAD-LOW HEX. M 5X25 A.T.</t>
  </si>
  <si>
    <t>NUT-HOUSING M6</t>
  </si>
  <si>
    <t>SPACER M4X6</t>
  </si>
  <si>
    <t>BN 3318</t>
  </si>
  <si>
    <t>SPACER HEX. M4X10 MALE/FEMALE</t>
  </si>
  <si>
    <t>SPACER M4X14 HEX.</t>
  </si>
  <si>
    <t>SPACER-HEX. M4x 20 MALE/FEMALE</t>
  </si>
  <si>
    <t>SPACER-HEX. M4x 25 MALE/FEMALE</t>
  </si>
  <si>
    <t>SPACER-HEX. M4X 30 MALE/FEMALE</t>
  </si>
  <si>
    <t>SPACER-HEX. M4X 35 MALE/FEMALE</t>
  </si>
  <si>
    <t>SPACER-HEX. M4x 40 MALE/FEMALE</t>
  </si>
  <si>
    <t>SPACER M4X55</t>
  </si>
  <si>
    <t>SPACER M5x16 HEX.</t>
  </si>
  <si>
    <t>SPACER 6P. M5X20</t>
  </si>
  <si>
    <t>BN3318-M5X20-MALE/FEMELLE-ZP</t>
  </si>
  <si>
    <t>SCREW-CYL.HEAD HEXA. M 6x 40 ALL THR.</t>
  </si>
  <si>
    <t>SCREW-CYL.HEAD HEXA. M 6X 50 PART.THR.</t>
  </si>
  <si>
    <t>SPACER-M5X60 6P-TAP-THREAD</t>
  </si>
  <si>
    <t>BN3318 M5X60</t>
  </si>
  <si>
    <t>SPACER-HEX. M4x 10 FEMALE</t>
  </si>
  <si>
    <t>SPACER M4x16 HEX.</t>
  </si>
  <si>
    <t>4070 M4X16</t>
  </si>
  <si>
    <t xml:space="preserve">HEXAGON STANDOFFS WITH INTERNAL THREADS STEEL ZONC PLATED BLUE </t>
  </si>
  <si>
    <t>BN3319 M4 x 35</t>
  </si>
  <si>
    <t>SPACER-HEX. M4x 40 FEMALE</t>
  </si>
  <si>
    <t>SPACER-HEX. M5x 30 FEMALE</t>
  </si>
  <si>
    <t>SPACER-HEX. M5x 50 FEMALE</t>
  </si>
  <si>
    <t>SPACER-HEX. M6x 40 FEMALE</t>
  </si>
  <si>
    <t>SCREW-COUNT.HEAD RECESS M 2X 3 ALL THR.</t>
  </si>
  <si>
    <t>DIN965A A4</t>
  </si>
  <si>
    <t>SCREW-COUNT.HEAD RECESS M 2X 5 ALL THR.</t>
  </si>
  <si>
    <t>SCREW-COUNT.HEAD RECESS M 2X 8 ALL THR.</t>
  </si>
  <si>
    <t>SCREW-COUNT.HEAD RECESS M 2X 10 ALL THR.</t>
  </si>
  <si>
    <t>SCREW-COUNT.HEAD RECESS M 2X 12 ALL THR.</t>
  </si>
  <si>
    <t>SCREW-COUNT.HEAD RECESS M 2X 16 ALL THR.</t>
  </si>
  <si>
    <t>SCREW-COUNT.HEAD RECESS M 2.5X 4 ALL THR</t>
  </si>
  <si>
    <t>SCREW-COUNT.HEAD RECESS M 2.5X 6 ALL THR</t>
  </si>
  <si>
    <t>SCREW-COUNT.HEAD RECESS M 2.5X 8 ALL THR</t>
  </si>
  <si>
    <t>SCREW-COUNT.HEAD RECESS M 2.5X10 ALL THR</t>
  </si>
  <si>
    <t>SCREW-COUNT.HEAD RECESS M 2.5X12 ALL THR</t>
  </si>
  <si>
    <t>SCREW-COUNT.HEAD RECESS M 2.5X16 ALL THR</t>
  </si>
  <si>
    <t>SCREW-COUNT.HEAD RECESS M 2.5X20 ALL THR</t>
  </si>
  <si>
    <t>SCREW-COUNT.HEAD RECESS M 3X 4 ALL THR.</t>
  </si>
  <si>
    <t>SCREW-COUNT.HEAD RECESS M 3X 5 ALL THR.</t>
  </si>
  <si>
    <t>SCREW-COUNT.HEAD RECESS M 3X 12 ALL THR.</t>
  </si>
  <si>
    <t>SCREW-COUNT.HEAD RECESS M 3X 16 ALL THR.</t>
  </si>
  <si>
    <t>SCREW-COUNT.HEAD RECESS M 3X 20 ALL THR.</t>
  </si>
  <si>
    <t>SCREW-COUNT.HEAD RECESS M 3X 25 ALL THR.</t>
  </si>
  <si>
    <t>SCREW-COUNT.HEAD RECESS M 4X 6 ALL THR.</t>
  </si>
  <si>
    <t>SCREW-COUNT.HEAD RECESS M 4X 8 ALL THR.</t>
  </si>
  <si>
    <t>SCREW-COUNT.HEAD RECESS M 4x10 ALL THR.</t>
  </si>
  <si>
    <t>SCREW-COUNT.HEAD RECESS M 4X20 ALL THR.</t>
  </si>
  <si>
    <t>SCREW-COUNT.HEAD RECESS M 5X 6 ALL THR.</t>
  </si>
  <si>
    <t>SCREW-COUNT.HEAD RECESS M 5X 8 ALL THR.</t>
  </si>
  <si>
    <t>SCREW-COUNT.HEAD RECESS M 5X 10 ALL THR.</t>
  </si>
  <si>
    <t>SCREW-COUNT.HEAD RECESS M 5X 12 ALL THR.</t>
  </si>
  <si>
    <t>SCREW-COUNT.HEAD RECESS M 5X 16 ALL THR.</t>
  </si>
  <si>
    <t>SCREW-COUNT.HEAD RECESS M 5X 20 ALL THR.</t>
  </si>
  <si>
    <t>PUSHER-SPRING D=4X5 INOX</t>
  </si>
  <si>
    <t>EH 2208.004 BIN 13376</t>
  </si>
  <si>
    <t>SCREW-CYL.HEAD-LOW HEX. M 3x 8 A.T.</t>
  </si>
  <si>
    <t>SCREW-CYL.HEAD-LOW HEX. M 4x 6 A.T.</t>
  </si>
  <si>
    <t>SCREW M3 X .5 X 5MM SS BHC</t>
  </si>
  <si>
    <t>NUT-KNURLED M 3 HIGH</t>
  </si>
  <si>
    <t>DIN466 INOX</t>
  </si>
  <si>
    <t>A0000012410</t>
  </si>
  <si>
    <t>SCREW M3-0.5-6G 25MM BHCS SS</t>
  </si>
  <si>
    <t>ARTICLE NO: 1575236RL</t>
  </si>
  <si>
    <t>SCREW-RAISED HEAD HEX. M 4x 6 A.T.</t>
  </si>
  <si>
    <t>SCREW M4 20MM SS BHCS</t>
  </si>
  <si>
    <t>6503004001 - SCREW M3X40 - 1577492</t>
  </si>
  <si>
    <t>SCREW-HEADLESS HEX.F.P. M 2X 12</t>
  </si>
  <si>
    <t>SCREW M5-.8 X18MM FHS SS</t>
  </si>
  <si>
    <t>ARTICLE NO: 1713736</t>
  </si>
  <si>
    <t>ELESA - 41411</t>
  </si>
  <si>
    <t>SCREW-RAISED HEAD HEX. M 3x10 A.T. A2</t>
  </si>
  <si>
    <t>BN1593 M3x10</t>
  </si>
  <si>
    <t>SCREW-RAISED HEAD HEX. M 3X12</t>
  </si>
  <si>
    <t>ISO7380-BN8699</t>
  </si>
  <si>
    <t>SCREW-RAISED HEAD HEX. M 3X20</t>
  </si>
  <si>
    <t>SCREW-RAISED HEAD HEX. M 3X30</t>
  </si>
  <si>
    <t>SCREW,M5 X 8MM,LG BUTTONHEAD</t>
  </si>
  <si>
    <t>BN1593 M5x8</t>
  </si>
  <si>
    <t>SCREW-RAISED HEAD HEX. M 5X 12</t>
  </si>
  <si>
    <t>SCREW M6-1X25MM SS BHC</t>
  </si>
  <si>
    <t>ISO7380 A4 BN8699</t>
  </si>
  <si>
    <t>SCREW-RAISED HEAD HEX. M 2x 4 A.T.</t>
  </si>
  <si>
    <t>SCREW-RAISED HEAD HEX. M 2x 5 A.T.</t>
  </si>
  <si>
    <t>SCREW-CYL.HEAD HEXA. M 3X 50 PART.THR.</t>
  </si>
  <si>
    <t>DIN912 A4</t>
  </si>
  <si>
    <t>SCREW-CYL.HEAD HEXA. M 2X 20 ALL THR.</t>
  </si>
  <si>
    <t>DIN912-BN612 (A2)</t>
  </si>
  <si>
    <t>SCREW-CYL.HEAD HEX. M2.5x25 A.T.</t>
  </si>
  <si>
    <t>1749072</t>
  </si>
  <si>
    <t>SCREW-CYL.HEAD HEX. M 3X18 A.T.</t>
  </si>
  <si>
    <t>BN610 M3x18</t>
  </si>
  <si>
    <t>SCREW-CYL.HEAD HEXA. M 3x 22 ALL THR.</t>
  </si>
  <si>
    <t>SCREW M4X.7 22MM LG SHC SS PLN</t>
  </si>
  <si>
    <t>DIN912 A4 BN612</t>
  </si>
  <si>
    <t>T1120117</t>
  </si>
  <si>
    <t>WASHER-CHAMFERED PLAIN 10.5x20x2</t>
  </si>
  <si>
    <t>WASHER M5</t>
  </si>
  <si>
    <t>T1120182</t>
  </si>
  <si>
    <t xml:space="preserve">WASHER-CHAMFERLESS  2.2x 4.5x0.3 </t>
  </si>
  <si>
    <t>(DIN 433 TEIL 1 A2)</t>
  </si>
  <si>
    <t>T1120112</t>
  </si>
  <si>
    <t>WASHER CHAMFERED PLAIN 6.4X12X1.6</t>
  </si>
  <si>
    <t>WASHER-CHAMFERED PLAIN  8.4x16x1.6</t>
  </si>
  <si>
    <t>SCREW M2 X .4 X 4MM</t>
  </si>
  <si>
    <t>NUT-HEX. 0.8d M 3</t>
  </si>
  <si>
    <t>DIN934 ZP KL.8</t>
  </si>
  <si>
    <t>NUT-HEX. 0.8d M 8</t>
  </si>
  <si>
    <t>NUT HEX. 0.8D M10</t>
  </si>
  <si>
    <t>NUT-HEX. 0.8D M12</t>
  </si>
  <si>
    <t>T1120106</t>
  </si>
  <si>
    <t>WASHER-CHAMFERLESS  2.2X 5X0.3</t>
  </si>
  <si>
    <t>T1120108</t>
  </si>
  <si>
    <t>WASHER-CHAMFERLESS  3.2X 7X0.5</t>
  </si>
  <si>
    <t>WASHER FLAT M4 FE/ZN SFS2041 BN715</t>
  </si>
  <si>
    <t>BN 715 DIN 125 4.3M</t>
  </si>
  <si>
    <t>T1120111</t>
  </si>
  <si>
    <t>PUSHER-SPRING-BALL M 6 SLIT</t>
  </si>
  <si>
    <t>EH 2205.006</t>
  </si>
  <si>
    <t>PUSHER-SPRING-BALL M 8 SLIT</t>
  </si>
  <si>
    <t>EH 2205.008</t>
  </si>
  <si>
    <t>WASHER CHAMFERLESS M2.5</t>
  </si>
  <si>
    <t>DIN125A BN670</t>
  </si>
  <si>
    <t>WASHER FLAT M6 18-8 SS</t>
  </si>
  <si>
    <t>WASHER CHAMFERLESS M8X1.6</t>
  </si>
  <si>
    <t>WASHER M6 - 2065967</t>
  </si>
  <si>
    <t>DIN6796 A2 BN2312</t>
  </si>
  <si>
    <t>HANDWHEEL-KNOB VC 192/30B-M6 *</t>
  </si>
  <si>
    <t>SCREW-CYL.HEAD HEX. M 4X 30 ALL THR.</t>
  </si>
  <si>
    <t>SCREW-CYL.HEAD HEXA. M 3x 60 PART.THR.</t>
  </si>
  <si>
    <t>SCREW-HEADLESS HEX.F.P. M 3X30 A.T.</t>
  </si>
  <si>
    <t>SCREW-HEADLESS HEX.F.P. M 2X 16</t>
  </si>
  <si>
    <t>SCREW-HEADLESS HEX.F.P. M2.5x16</t>
  </si>
  <si>
    <t>SCREW-SELF TAP.LUG WRENCH 3.0x6.0</t>
  </si>
  <si>
    <t>WN1452-BN13265</t>
  </si>
  <si>
    <t>SCREW-SELF TAP.LUG WRENCH 3.0x10.0</t>
  </si>
  <si>
    <t>6604010 - WASHER LOCK #4</t>
  </si>
  <si>
    <t>BN48234 #4</t>
  </si>
  <si>
    <t>WASHER LOCK M6 SS</t>
  </si>
  <si>
    <t>DIN7980 A2 BN5258</t>
  </si>
  <si>
    <t>WASHER LOCK #8 SS</t>
  </si>
  <si>
    <t>BN5258</t>
  </si>
  <si>
    <t>A0000011345</t>
  </si>
  <si>
    <t>WASHER M12 LOCK HLCR SS</t>
  </si>
  <si>
    <t>WASHER-FLAT 2.7X6X0.5 POLYAMIDE</t>
  </si>
  <si>
    <t>BN1074</t>
  </si>
  <si>
    <t>BUSHING-TRHEATED WITH FLANGE M3</t>
  </si>
  <si>
    <t>BN 20003 HSR M3</t>
  </si>
  <si>
    <t>SCREW 8-32 X 3/8'' SS SHC</t>
  </si>
  <si>
    <t>BN48191</t>
  </si>
  <si>
    <t>SCREW 8-32 X 3/16'' SS BHC</t>
  </si>
  <si>
    <t>BN48196</t>
  </si>
  <si>
    <t>WASHER FLAT #10 SS</t>
  </si>
  <si>
    <t>BN48234</t>
  </si>
  <si>
    <t>WASHER  LOCK  1/2''ID SS</t>
  </si>
  <si>
    <t>SCREW 8-32 X 1/2'' FHP SS</t>
  </si>
  <si>
    <t>BN48208</t>
  </si>
  <si>
    <t>CAP-HEX MALE G1/8 6P. CR. WITH SEAL</t>
  </si>
  <si>
    <t>WASHER FLAT 1/4''ID SS</t>
  </si>
  <si>
    <t>BN48346</t>
  </si>
  <si>
    <t>NUT 6-32 SS KEPS</t>
  </si>
  <si>
    <t>6CNKES</t>
  </si>
  <si>
    <t>WASHER FLAT #8 SS</t>
  </si>
  <si>
    <t>HANDLE-BALL M4 x 12</t>
  </si>
  <si>
    <t>SHAFT COLLAR  4x 8x 5 BLUE GALVANIZED</t>
  </si>
  <si>
    <t>DIN705A-BN1631 (ZP)</t>
  </si>
  <si>
    <t>SCREW M6X50MM SHC</t>
  </si>
  <si>
    <t>SCREW-COUNT.HEAD RECESS M 2X 20 ALL THR.</t>
  </si>
  <si>
    <t>Schnorr S 3 SS, SafetyWasher Type S, SS 1.4301</t>
  </si>
  <si>
    <t>Schnorr S 3 SS</t>
  </si>
  <si>
    <t>ARTICLE NO: 6162656</t>
  </si>
  <si>
    <t>WASHER SERRATED BELVILLE M6</t>
  </si>
  <si>
    <t>ARTICLE NO: 6162657</t>
  </si>
  <si>
    <t>WASHER SERRATED BELVILLE M8</t>
  </si>
  <si>
    <t>Schnorr S 8 SS</t>
  </si>
  <si>
    <t>WASHER SERRATED BELVILLE M2</t>
  </si>
  <si>
    <t>Schnorr 404400</t>
  </si>
  <si>
    <t>WASHER SERRATED BELVILLE M2.5</t>
  </si>
  <si>
    <t>WASHER M10 BELLEVILLE SERRATED</t>
  </si>
  <si>
    <t>S-10-SS</t>
  </si>
  <si>
    <t>WASHER SERRATED BELVILLE M12.7</t>
  </si>
  <si>
    <t>Schnorr S 12.7 SS</t>
  </si>
  <si>
    <t xml:space="preserve"> WASHER #8 - 6173110</t>
  </si>
  <si>
    <t>McMaster 93501A009</t>
  </si>
  <si>
    <t>WASHER FLAT</t>
  </si>
  <si>
    <t>BOSSARD / 6173483</t>
  </si>
  <si>
    <t>WASHER FLAT #4 - 6173579</t>
  </si>
  <si>
    <t>Keystone 3359</t>
  </si>
  <si>
    <t>SCREW MACH 4-40 - 6173580</t>
  </si>
  <si>
    <t>NUT LOCKING - 6173581</t>
  </si>
  <si>
    <t>Pneumadyne RLN-40</t>
  </si>
  <si>
    <t>WASHER SHIM - 6173583</t>
  </si>
  <si>
    <t>McMaster 97669A200</t>
  </si>
  <si>
    <t>SCREW M6 X 18MM BUTTON SOC</t>
  </si>
  <si>
    <t>SCREW 1/4-20 X 3/8'' SS PHP</t>
  </si>
  <si>
    <t>NUT-WELDING WN-M6-0-CU</t>
  </si>
  <si>
    <t>WN-M6-0-CU</t>
  </si>
  <si>
    <t>NUT-BLIND M8 HUC/FEKS 5.0</t>
  </si>
  <si>
    <t>M8 HUC/FEKS 5.0</t>
  </si>
  <si>
    <t>SCREW-COUNT.HEAD HEX. M 3x 5 A.T.</t>
  </si>
  <si>
    <t>DIN7991 BN616 A2</t>
  </si>
  <si>
    <t>SCREW-RAISED HEAD HEX. M 5X 6</t>
  </si>
  <si>
    <t>SCREW-HEADLESS HEX.F.P. M 2x 6 A.T.</t>
  </si>
  <si>
    <t>NUT-HEX JAM M03 SS A2</t>
  </si>
  <si>
    <t>DIN439B BN630</t>
  </si>
  <si>
    <t xml:space="preserve">Split spr lock wash flt end mznb </t>
  </si>
  <si>
    <t>D127B - BN762</t>
  </si>
  <si>
    <t>Hx soc hd cp scr ful thrd ST8.8 ZNB</t>
  </si>
  <si>
    <t>D912 - BN3</t>
  </si>
  <si>
    <t>Hex soc set scr flat point ST ZF I4026</t>
  </si>
  <si>
    <t>BN1424</t>
  </si>
  <si>
    <t>Hex socket head cap screws st st #10-32x5/16</t>
  </si>
  <si>
    <t>ARTICLE NO. 6205480</t>
  </si>
  <si>
    <t>Hex soc set scr flat point ST BLACK I4026</t>
  </si>
  <si>
    <t>BN24</t>
  </si>
  <si>
    <t>Screw Cyl head Slot M3x6 All Thr</t>
  </si>
  <si>
    <t>Hex soc hd cap scr sp low hd ~010.9</t>
  </si>
  <si>
    <t>BN1206 M4x8</t>
  </si>
  <si>
    <t>Hx soc hd cp scr ful thrd st st A4 D912</t>
  </si>
  <si>
    <t>BN612 M1.6x6</t>
  </si>
  <si>
    <t>Sltd cheese head mach scr st st A2 D84A</t>
  </si>
  <si>
    <t>BN650 M2x6</t>
  </si>
  <si>
    <t>Circlips bulk st st D6799 Zn Plated</t>
  </si>
  <si>
    <t>BN810 2.3</t>
  </si>
  <si>
    <t>Hx soc hd cp scr ful thrd st st A2 D912</t>
  </si>
  <si>
    <t>BN610 M 2,5 x 16</t>
  </si>
  <si>
    <t>Hex soc set scr cone point ST BLACK I4027</t>
  </si>
  <si>
    <t>BN25 M 4 x 8</t>
  </si>
  <si>
    <t>Hex hd scr ful thrd st st A2 D933</t>
  </si>
  <si>
    <t>BN622 M 6 x 40</t>
  </si>
  <si>
    <t>Adjusting rings w/o set scr st znb D705A</t>
  </si>
  <si>
    <t>BN1631 M8</t>
  </si>
  <si>
    <t>EH 22050 steel ball standard</t>
  </si>
  <si>
    <t>BN13363 M10</t>
  </si>
  <si>
    <t>SHAFT COLLAR 10x20x10 BLUE GALVANIZED</t>
  </si>
  <si>
    <t>BN1631 10</t>
  </si>
  <si>
    <t>PIN-PARALLEL D= 5.00h6x 50</t>
  </si>
  <si>
    <t>BN 858 5x50</t>
  </si>
  <si>
    <t>Parallel pins st hard+ground tol h6 D6325</t>
  </si>
  <si>
    <t>BN858 M10 x 32</t>
  </si>
  <si>
    <t>Hex nuts ~0,8d st 8 znb D934</t>
  </si>
  <si>
    <t>BN117 M4</t>
  </si>
  <si>
    <t>Hex soc set scr flat point st st A2 I4026</t>
  </si>
  <si>
    <t>BN617 M3 x 10</t>
  </si>
  <si>
    <t>BN25 M3 x 5</t>
  </si>
  <si>
    <t>SCREW-CYL.HEAD HEXA. M 4X 60 PART.THR.</t>
  </si>
  <si>
    <t>BN611 M4x60</t>
  </si>
  <si>
    <t>BN622 M6 x 50</t>
  </si>
  <si>
    <t>Sltd spring pins light type st I13337</t>
  </si>
  <si>
    <t>BN878 M5 x 20</t>
  </si>
  <si>
    <t>Hex jam nut st 04 znb D439B</t>
  </si>
  <si>
    <t>BN124 M10</t>
  </si>
  <si>
    <t>T1120105</t>
  </si>
  <si>
    <t>Flat washers w/o chamfer st znb D433</t>
  </si>
  <si>
    <t>BN726 M3</t>
  </si>
  <si>
    <t>Hx scr fine thrd ful thrd 8.8 znb D961</t>
  </si>
  <si>
    <t>BN40072 M12</t>
  </si>
  <si>
    <t>Hex jam nut fine thrd st 04 znb D439B</t>
  </si>
  <si>
    <t>BN1207 M12</t>
  </si>
  <si>
    <t>Hex hd scr ful thrd st 8.8 znb D933</t>
  </si>
  <si>
    <t>BN56 M8 x 30</t>
  </si>
  <si>
    <t>T1120040</t>
  </si>
  <si>
    <t>WASHER-SPRING  4.3x 8x0.5 CONICAL</t>
  </si>
  <si>
    <t>BN797 M4</t>
  </si>
  <si>
    <t>BN858 M6 x100</t>
  </si>
  <si>
    <t>T1120082</t>
  </si>
  <si>
    <t>Shim rings steel 2K50 D988</t>
  </si>
  <si>
    <t>BN1976 M5 x 10</t>
  </si>
  <si>
    <t>BN878 M8 x 20</t>
  </si>
  <si>
    <t>T1120134</t>
  </si>
  <si>
    <t>Ext serrat lock wash type A st znb D6798A</t>
  </si>
  <si>
    <t>BN781 M5</t>
  </si>
  <si>
    <t>SCREW-CYL.HEAD HEXA. M 5X 55 PART.THR.</t>
  </si>
  <si>
    <t>BN611 M5x55</t>
  </si>
  <si>
    <t>Hex socket head cap screws st st</t>
  </si>
  <si>
    <t>BN91110 M5x15</t>
  </si>
  <si>
    <t>Hex soc hd cap scr low head A2 D7984</t>
  </si>
  <si>
    <t>BN2844 M4 x 12</t>
  </si>
  <si>
    <t>SCREW-CYL.HEAD HEXA. M10x 55 PART.THR</t>
  </si>
  <si>
    <t>DIN912 ZP BN4</t>
  </si>
  <si>
    <t>BN858 M2,5 x 16</t>
  </si>
  <si>
    <t>BN91110 #6-32x0.25</t>
  </si>
  <si>
    <t>Sltd set scr flat point brass D551</t>
  </si>
  <si>
    <t>BN1406 M5 x 5</t>
  </si>
  <si>
    <t>Self-clin nut PEM® CLS/CLSS st st</t>
  </si>
  <si>
    <t>SCREW-HEX.HEAD CAP M 4x10 ALL THR.</t>
  </si>
  <si>
    <t>NUT-WELDING M10</t>
  </si>
  <si>
    <t>BN193-M10/ART. 1097407</t>
  </si>
  <si>
    <t>BOLT-WELDING M4X10</t>
  </si>
  <si>
    <t>DIN32501 BN1456</t>
  </si>
  <si>
    <t>BOLT-WELDING M8X25 STAINLESS STEEL</t>
  </si>
  <si>
    <t>BN1457 M8X25/N°1109251</t>
  </si>
  <si>
    <t>SCREW-CYL.HEAD SLOT. M 2x 5 ALL THR</t>
  </si>
  <si>
    <t>BOLT-WELDING M6X12-DIN32501-1</t>
  </si>
  <si>
    <t>DIN32501-1 M6X12</t>
  </si>
  <si>
    <t>SCREW, M10X1.5X80MM, SS, SSHC</t>
  </si>
  <si>
    <t>DIN912-A2 BN611</t>
  </si>
  <si>
    <t>NUT-BLIND M3 HUC FEKS 2.3</t>
  </si>
  <si>
    <t>M3 HUC FEKS 2.3</t>
  </si>
  <si>
    <t>NUT-BLIND  M5  HUC FEKS 3.5</t>
  </si>
  <si>
    <t>KVT M5  HUC FEKS 3.5</t>
  </si>
  <si>
    <t>NUT-BLIND M4 HUC/FEKS 3.0</t>
  </si>
  <si>
    <t>KVT M4 HUC/FEKS3</t>
  </si>
  <si>
    <t>RIVET BLIND MUSHROOM HEAD D=3.2 L=6</t>
  </si>
  <si>
    <t>BN922 TSPD 44 BS</t>
  </si>
  <si>
    <t>SPACER-HEX M4x30 Female</t>
  </si>
  <si>
    <t>BN3319 M4X30 ZP</t>
  </si>
  <si>
    <t>NUT-BLIND M5 UT/FEF 3</t>
  </si>
  <si>
    <t>M5 UT/FEF 3</t>
  </si>
  <si>
    <t>SCREW-HEQADLESS-SLOTTED M5X25 PARTIAL</t>
  </si>
  <si>
    <t>BN433 M5x25</t>
  </si>
  <si>
    <t>SCREW -WITHOUT-HEAD-SLOTTED M10X30 PART</t>
  </si>
  <si>
    <t>BN433 M10x30</t>
  </si>
  <si>
    <t>Hex soc keys f tamp proof sc ST ZNB</t>
  </si>
  <si>
    <t>BN6972 s2.5</t>
  </si>
  <si>
    <t>Hx soc hd cp scr ful thrd ST8.8 ZNB D912</t>
  </si>
  <si>
    <t>BN3 M10 x 45</t>
  </si>
  <si>
    <t>TUBTARA® counters head open st zn</t>
  </si>
  <si>
    <t>BN4577 M8</t>
  </si>
  <si>
    <t>Hx soc hd shd bo ST012.9/12.9 BLACK I7379</t>
  </si>
  <si>
    <t>BN1359 6 x 12</t>
  </si>
  <si>
    <t>Hex standoffs with int thrds st znb</t>
  </si>
  <si>
    <t>BN3319 M5 x 55</t>
  </si>
  <si>
    <t>Flat round head rivets aluminium DIN674 RoHS</t>
  </si>
  <si>
    <t>BN252 2x3</t>
  </si>
  <si>
    <t>PIN-PARALLEL D=3.00H6X 50</t>
  </si>
  <si>
    <t>SCREW-CYL.HEAD-LOW HEX. M 6x10 A.T.</t>
  </si>
  <si>
    <t>BN 617 M8x16</t>
  </si>
  <si>
    <t>BN 522 M5x20</t>
  </si>
  <si>
    <t>BN 3319 M5x70</t>
  </si>
  <si>
    <t>NUT-BLIND M6 HUC/FEKS 3.5</t>
  </si>
  <si>
    <t xml:space="preserve"> M6 HUC FEKS 3.5</t>
  </si>
  <si>
    <t>PLATE MTG ADH 1/2</t>
  </si>
  <si>
    <t>Panduit ABM1M-A-C</t>
  </si>
  <si>
    <t>BN2844 M5 x 8</t>
  </si>
  <si>
    <t>Circlips bulk st znb D6799</t>
  </si>
  <si>
    <t>BN810 M5</t>
  </si>
  <si>
    <t>SCREW-RAISED HEAD HEX. M 8x10 A.T ISO7380</t>
  </si>
  <si>
    <t>BN1593 M8 x 10</t>
  </si>
  <si>
    <t>SCREW HEAD MILLED SLOT M1 X 6 ALL THR</t>
  </si>
  <si>
    <t>BN650 M1x6</t>
  </si>
  <si>
    <t>WASHER LOCK M5</t>
  </si>
  <si>
    <t>Hx soc hd cp scr prt thrd ST8.8 ZNB D912</t>
  </si>
  <si>
    <t>BN4 M6 x55</t>
  </si>
  <si>
    <t>BN2844 M5 x16</t>
  </si>
  <si>
    <t>BN124 M4</t>
  </si>
  <si>
    <t>SCREW-CYL.HEAD-LOW HEX. M 6x16 A.T.</t>
  </si>
  <si>
    <t>BN858 M6 x 45</t>
  </si>
  <si>
    <t>BN858 M8 x 24</t>
  </si>
  <si>
    <t>BN858 M8 x 36</t>
  </si>
  <si>
    <t>Sltd flat hd mach scr st 4.8 znb D963A</t>
  </si>
  <si>
    <t>BN357 M2 x 4</t>
  </si>
  <si>
    <t>Hx soc hd cp scr prt thrd st st A4 D912</t>
  </si>
  <si>
    <t>BN613 M3 x 45</t>
  </si>
  <si>
    <t>PIN-PARALLEL D= 8.00h6x 20</t>
  </si>
  <si>
    <t>BN858 8x20</t>
  </si>
  <si>
    <t>SCREW-HEADLESS HEX.F.P. M 5x25 A.T.</t>
  </si>
  <si>
    <t>BN617 M5x25</t>
  </si>
  <si>
    <t>T1120122</t>
  </si>
  <si>
    <t>Flat washers thick type st znb</t>
  </si>
  <si>
    <t>BN737 M8</t>
  </si>
  <si>
    <t>SCREW M8 X 40MM SS SHC</t>
  </si>
  <si>
    <t>BN611 M 8 x 40</t>
  </si>
  <si>
    <t>SCREW M4-0.7 X 80MM SS SHC</t>
  </si>
  <si>
    <t>SCREW M4 X 0.7 X 45MM SS FHP</t>
  </si>
  <si>
    <t>SCREW-CYL.HEAD HEXA. M 3X 25 PART.THR.</t>
  </si>
  <si>
    <t>Grooved pins type C KS 67 st D1469C</t>
  </si>
  <si>
    <t>BN1385 M2 x 8</t>
  </si>
  <si>
    <t>SCREW-CYL.HEAD HEXA. M 8x 45 PART.THR.</t>
  </si>
  <si>
    <t>BN878  M2 x 4</t>
  </si>
  <si>
    <t>PIN-PARALLEL D=1.50h6X16 DIN 6325 H6</t>
  </si>
  <si>
    <t>BN858 1.5 x 16</t>
  </si>
  <si>
    <t>STAINLESS STEEL RIVET 4X10.2</t>
  </si>
  <si>
    <t>BN1409 SSD 54 SSBS</t>
  </si>
  <si>
    <t>WASHER CHAMFERED PLAIN M10</t>
  </si>
  <si>
    <t>WASHER M10 LOCK, SS A2, DIN127B</t>
  </si>
  <si>
    <t>BN672 M10</t>
  </si>
  <si>
    <t>SCREW-CYL.HEAD SLOT. M 2x 8 ALL THR.</t>
  </si>
  <si>
    <t>CIRCLIP FOR SHAFTS D= 6 DIN6799 ZP EN VRAC</t>
  </si>
  <si>
    <t>BN810 M6</t>
  </si>
  <si>
    <t>WASHER  6.4x18x1.6 DIN9021 PA (POLYAMIDE)</t>
  </si>
  <si>
    <t>BN1075 M6</t>
  </si>
  <si>
    <t>Sltd cheese head machine scr st 4.8 D84A</t>
  </si>
  <si>
    <t>BN328 M2 x 6</t>
  </si>
  <si>
    <t>BN1424 M8 x 40</t>
  </si>
  <si>
    <t>DIN 7346 BN878 M2 x 10</t>
  </si>
  <si>
    <t>Self-clinching nuts st znb</t>
  </si>
  <si>
    <t>BN200 M3</t>
  </si>
  <si>
    <t>BN617 M3 x 6</t>
  </si>
  <si>
    <t>SCREW-HEADLESS HEX.F.P. M 8x35 A.T.</t>
  </si>
  <si>
    <t>BN617 M8x35</t>
  </si>
  <si>
    <t>Pin-Parallel D=12.0h6X20</t>
  </si>
  <si>
    <t>Pin-Parallel D=12.0h6X30</t>
  </si>
  <si>
    <t>Spacer-M8x60 Female-Female</t>
  </si>
  <si>
    <t>SCREW-COUNT.HEAD HEX. M 6x20 A.T.</t>
  </si>
  <si>
    <t>BN616 M6x20</t>
  </si>
  <si>
    <t>Handles Elesa® P.131</t>
  </si>
  <si>
    <t>BN14255 M8</t>
  </si>
  <si>
    <t>SCREW-PAN HEAD SLOT M3x8 ALL THR DIN85A A2</t>
  </si>
  <si>
    <t>BN652 M3x8</t>
  </si>
  <si>
    <t>SCREW-HEADLESS HEX.F.P M6X30 A.T DIN913</t>
  </si>
  <si>
    <t>BN617 M6x30</t>
  </si>
  <si>
    <t>SPACER-HEX M4x25 FEMALE BN3319 ZP</t>
  </si>
  <si>
    <t>BN3319 M4x25</t>
  </si>
  <si>
    <t>PIN-PARELLEL D= 1.00h6x10 DIN6325 h6</t>
  </si>
  <si>
    <t>BN858 1x10</t>
  </si>
  <si>
    <t>Hex standoff int+ext thrds PA black</t>
  </si>
  <si>
    <t>BN7375 M3 x 10</t>
  </si>
  <si>
    <t>BN617 M5 x 4</t>
  </si>
  <si>
    <t>T1120087</t>
  </si>
  <si>
    <t>Flat washers thin type st znb</t>
  </si>
  <si>
    <t>BN735 M 3 / 3,2/13/0,5</t>
  </si>
  <si>
    <t>SCREW-CYL.HEAD-LOW HEX. M 3x10</t>
  </si>
  <si>
    <t>BN2844 M3 x 10</t>
  </si>
  <si>
    <t>SCREW ADJUSTABLE 6X16/M5 ISO7379 NOIRCIE</t>
  </si>
  <si>
    <t>BN1359 6x16</t>
  </si>
  <si>
    <t>SCREW SET  M3x0.5x3mmL  FLAT</t>
  </si>
  <si>
    <t>BN617 M3x3</t>
  </si>
  <si>
    <t>Panduit TTC19Y-2.5</t>
  </si>
  <si>
    <t>Hex standof int+ext thrd bra ni plt</t>
  </si>
  <si>
    <t>BN3321 M3 x 30</t>
  </si>
  <si>
    <t>Ret ring for shaft st st D471</t>
  </si>
  <si>
    <t>BN682 D10</t>
  </si>
  <si>
    <t>Hex standoffs int/ext thrds st znb</t>
  </si>
  <si>
    <t>BN3318 M3x14</t>
  </si>
  <si>
    <t>Self-locking Nut M8 DIN985 CL 6/8</t>
  </si>
  <si>
    <t>BN161 M8</t>
  </si>
  <si>
    <t>BN4 M8 x 10</t>
  </si>
  <si>
    <t>Hexagon weld nuts steel D929</t>
  </si>
  <si>
    <t>BN193 M8</t>
  </si>
  <si>
    <t>Hex soc flt hd scr ful trd A2 D7991</t>
  </si>
  <si>
    <t>BN616 M 4 x 40/40</t>
  </si>
  <si>
    <t>Screw CYL. Head Hexa M8x75 A2</t>
  </si>
  <si>
    <t>BN1359 M5</t>
  </si>
  <si>
    <t>Parallel pins tol h8 st st A1/A2 I2338</t>
  </si>
  <si>
    <t>BN684 M2 x 8</t>
  </si>
  <si>
    <t>Crescent rings f shafts Benzing SS</t>
  </si>
  <si>
    <t>BN831 M3</t>
  </si>
  <si>
    <t>Sltd flat hd mach scr st st A2 D963A</t>
  </si>
  <si>
    <t>BN654 M4 x 12</t>
  </si>
  <si>
    <t>Hx lock nut low type st 6 znb D985</t>
  </si>
  <si>
    <t>BN161 M5</t>
  </si>
  <si>
    <t>BN616 M3 x 14</t>
  </si>
  <si>
    <t>BN328 M2.5 x 5</t>
  </si>
  <si>
    <t>Press-in threaded inse w flan brass</t>
  </si>
  <si>
    <t>BN20003 M2.5</t>
  </si>
  <si>
    <t>BN20003 M2</t>
  </si>
  <si>
    <t>Self-clinching nuts PEM® SP st st</t>
  </si>
  <si>
    <t xml:space="preserve">BN20520 </t>
  </si>
  <si>
    <t>BN810 M7</t>
  </si>
  <si>
    <t>BN1406 M3 x 10</t>
  </si>
  <si>
    <t>Hex nuts ~0,8d brass D934</t>
  </si>
  <si>
    <t>BN504 M3</t>
  </si>
  <si>
    <t>BN617 M10 x 16</t>
  </si>
  <si>
    <t>BN622 M3 x 12</t>
  </si>
  <si>
    <t>BN622 M3 x 6</t>
  </si>
  <si>
    <t>BN3319 M 5 x 25</t>
  </si>
  <si>
    <t>Sltd cheese hd ma scr polyamide 6.6</t>
  </si>
  <si>
    <t>BN1061 M 3 x 8</t>
  </si>
  <si>
    <t>Sltd flat hd mach scr polyamide 6.6</t>
  </si>
  <si>
    <t>BN1066 M 4 x 10</t>
  </si>
  <si>
    <t>Parallel pins w/int thrd m6 hrd gr D7979D</t>
  </si>
  <si>
    <t>BN1970 M 10 X 28</t>
  </si>
  <si>
    <t>BN56 M3 x 8</t>
  </si>
  <si>
    <t>BN3319 M5 x 60</t>
  </si>
  <si>
    <t>BN858 M10 x 30</t>
  </si>
  <si>
    <t>SCREW-COUNT.HEAD HEX. M 6x10 A.T.</t>
  </si>
  <si>
    <t>BN616 M6x10</t>
  </si>
  <si>
    <t>He soc ca sc low hd ST 08.8/8.8 ZNB D7984</t>
  </si>
  <si>
    <t>BN17 M8 x 20</t>
  </si>
  <si>
    <t>BN3 M12 x 25</t>
  </si>
  <si>
    <t>Hex soc flt hd scr ful trd A4 D7991</t>
  </si>
  <si>
    <t>BN4719 M6 x 50</t>
  </si>
  <si>
    <t>BN3 M10 x 25</t>
  </si>
  <si>
    <t>Ret ring for shaft stand design st D471</t>
  </si>
  <si>
    <t>BN819 D10</t>
  </si>
  <si>
    <t>BN810 D9</t>
  </si>
  <si>
    <t>BN117 M 16 a 200</t>
  </si>
  <si>
    <t>SCREW-COUNT.HEAD HEX. M 4x20 A.T.</t>
  </si>
  <si>
    <t>BN616 M4x20</t>
  </si>
  <si>
    <t>BN25 M 4 x 16</t>
  </si>
  <si>
    <t>BN4 M 6 x 60</t>
  </si>
  <si>
    <t>BN617 M 6 x 25</t>
  </si>
  <si>
    <t>Slotted pan head screws st 8.8 znb D85A</t>
  </si>
  <si>
    <t>BN351 M 4 x 8</t>
  </si>
  <si>
    <t>Hex screws UNC st 8.8/Grade 5.2 znb</t>
  </si>
  <si>
    <t>BN67 1/4 x 1 1/2"</t>
  </si>
  <si>
    <t>BN1385 4 x 16</t>
  </si>
  <si>
    <t>BN1385 4 x 30</t>
  </si>
  <si>
    <t>BN858 8 x 50</t>
  </si>
  <si>
    <t xml:space="preserve">BN858 10 x 60 </t>
  </si>
  <si>
    <t>Sltd set scr flat point st znb D551</t>
  </si>
  <si>
    <t>BN427 M6 x 70</t>
  </si>
  <si>
    <t>Cross rec flat hd scr Pozi st st A4 D965A</t>
  </si>
  <si>
    <t>BN3310 M 2 x 4</t>
  </si>
  <si>
    <t>BN858 M8 x 100</t>
  </si>
  <si>
    <t>Sltd cheese hd ma scr polyamide 6.6 D84A</t>
  </si>
  <si>
    <t>BN1061 M4 x 12</t>
  </si>
  <si>
    <t>BN858 M5 x 24</t>
  </si>
  <si>
    <t>SCREW-CYL.HEAD HEXA. M 6x 80 PART.THR</t>
  </si>
  <si>
    <t>PIN-PARALLEL D= 2.00h6x 40</t>
  </si>
  <si>
    <t>Cable ties PAN-TY® M natural</t>
  </si>
  <si>
    <t>Nuts for T-slots steel 8</t>
  </si>
  <si>
    <t>BN20195 M5 x 6</t>
  </si>
  <si>
    <t>80.0000.8743</t>
  </si>
  <si>
    <t>Gewindeeinsatz Trisert, 145M5</t>
  </si>
  <si>
    <t>KVT 145M5</t>
  </si>
  <si>
    <t>SCREW-SLOTTED-CYL.HEAD M 3x10</t>
  </si>
  <si>
    <t>BN1061 M3 x 10</t>
  </si>
  <si>
    <t>SCREW-COUNT.HEAD HEX. M 5x16 A.T.</t>
  </si>
  <si>
    <t>BN616 M5x16</t>
  </si>
  <si>
    <t>PRESS-IN THREADED INSERTS M3</t>
  </si>
  <si>
    <t>BN1048-M3</t>
  </si>
  <si>
    <t>T1120228</t>
  </si>
  <si>
    <t>Disc springs series A spring steel D2093A</t>
  </si>
  <si>
    <t>BN804 M8</t>
  </si>
  <si>
    <t>BN3318 M6 x 50</t>
  </si>
  <si>
    <t>BN3318 M6 x 80</t>
  </si>
  <si>
    <t>BN161 M 6</t>
  </si>
  <si>
    <t>Cross rec hd screws Phil st st A2 D7985A</t>
  </si>
  <si>
    <t>BN660 M5 x 8</t>
  </si>
  <si>
    <t>BN56 M4 x 30</t>
  </si>
  <si>
    <t>BN858 M10 x 45</t>
  </si>
  <si>
    <t>BN1061 M6 x 8</t>
  </si>
  <si>
    <t>BN622 M5 x 30</t>
  </si>
  <si>
    <t>Hx soc hd cp scr prt thrd st st A2 D912</t>
  </si>
  <si>
    <t>BN611 M5 x 80</t>
  </si>
  <si>
    <t>Knurled nuts high type st znb D466</t>
  </si>
  <si>
    <t>BN215 M5</t>
  </si>
  <si>
    <t>BN611 M6 x 55</t>
  </si>
  <si>
    <t>T1120130</t>
  </si>
  <si>
    <t>BN781 M2.5</t>
  </si>
  <si>
    <t>Fork head pins f. fork heads st znb</t>
  </si>
  <si>
    <t>BN484 M5 x 10</t>
  </si>
  <si>
    <t>BN684 M1.5 x 16</t>
  </si>
  <si>
    <t>Flt wash w/o chamfer st znb D125A</t>
  </si>
  <si>
    <t>BN715 M8</t>
  </si>
  <si>
    <t>SCREW-HEADLESS HEXA. PIN M 3x 5 DIN915 BLACK PHOSPHATED STEEL</t>
  </si>
  <si>
    <t>BN26 M3x5</t>
  </si>
  <si>
    <t>SCREW-CYL.HEAD HEXA. M 5x 60 PART.THR. DIN912 A2</t>
  </si>
  <si>
    <t>BN611 M5 x 60</t>
  </si>
  <si>
    <t>BN617 M4 x 40</t>
  </si>
  <si>
    <t>Hex soc set scr cone point st st A2 I4027</t>
  </si>
  <si>
    <t>BN618 M3 x 5</t>
  </si>
  <si>
    <t>BN684 M2 x 4</t>
  </si>
  <si>
    <t>SCREW-CYL.HEAD SLOT. M 3X20 ALL THR. ISO1207</t>
  </si>
  <si>
    <t>BN532 M3 x 20</t>
  </si>
  <si>
    <t>Hexagon nuts, ThinHexNuts, Stl14H,YellowZincPltd, DIN 80705, FineThread</t>
  </si>
  <si>
    <t>SA, M36x2(pitch)</t>
  </si>
  <si>
    <t>Hex soc flt hd scr ful trd A2</t>
  </si>
  <si>
    <t>M 4 x 14</t>
  </si>
  <si>
    <t>Sltd cheese hd machine screw brass D84A</t>
  </si>
  <si>
    <t>BN532 M 3 x 10</t>
  </si>
  <si>
    <t>NUT-HEX. 0.8d M2 DIN934 ZP KL.6</t>
  </si>
  <si>
    <t>BN109 M2</t>
  </si>
  <si>
    <t>Hx so hd cp scr ful thrd ST12.9 ZNB D912</t>
  </si>
  <si>
    <t>BN11 M3 x 12</t>
  </si>
  <si>
    <t>SCREW M8 X 16MM SS BHC</t>
  </si>
  <si>
    <t>WASHER SPRING LOCK M4</t>
  </si>
  <si>
    <t>NUT HEX LOCKING M5-.8-6H SS</t>
  </si>
  <si>
    <t>BN1722 M5</t>
  </si>
  <si>
    <t xml:space="preserve">SCREW  FLANGED  M4  8MM L </t>
  </si>
  <si>
    <t>SCREW M4X6MM SS PHP</t>
  </si>
  <si>
    <t>SCREW M6 X 30MM BHCS</t>
  </si>
  <si>
    <t>Adjustable handle Elesa® MR.A black</t>
  </si>
  <si>
    <t>BN14185 41121 MR.40 A-M4</t>
  </si>
  <si>
    <t>SCREW-CYL.HEAD SLOT. M1.2X 3 ALL THR.</t>
  </si>
  <si>
    <t>BN650 M1.2x3</t>
  </si>
  <si>
    <t>SCREW-HEX.HEAD CAP M 10X60 ALL THR.</t>
  </si>
  <si>
    <t>BN71 M10x60</t>
  </si>
  <si>
    <t>SCREW-HEX.HEAD CAP M6X35 ALL THR. FLANG</t>
  </si>
  <si>
    <t>BN1392 M6x35</t>
  </si>
  <si>
    <t>SCREW-CYL.HEAD HEX. M1.6X 12 A.T.</t>
  </si>
  <si>
    <t>BN612 M1.6x12</t>
  </si>
  <si>
    <t>BN617 M5 X 12</t>
  </si>
  <si>
    <t>Panduit MBMS-S10-MY</t>
  </si>
  <si>
    <t xml:space="preserve">BN91398 </t>
  </si>
  <si>
    <t>STANDOFF, M4X12 MML, M/F AL LYN-TRON</t>
  </si>
  <si>
    <t>AA5174-12.0-25</t>
  </si>
  <si>
    <t>T1120020</t>
  </si>
  <si>
    <t>SCHNORR 000550 SPRING STEEL PHOSPHATIZED</t>
  </si>
  <si>
    <t>BN1375 - 8, 4.2, 0.2</t>
  </si>
  <si>
    <t>SCREW M3 X 8MM SS A2</t>
  </si>
  <si>
    <t>BN661 M3x8</t>
  </si>
  <si>
    <t>BN56 M6 X 30</t>
  </si>
  <si>
    <t>PUSHER-SPRING-COG M 4 HEX.S.</t>
  </si>
  <si>
    <t>BN13367 M4</t>
  </si>
  <si>
    <t>Halder EH 2272.586</t>
  </si>
  <si>
    <t>Halder 22630.0012</t>
  </si>
  <si>
    <t>Halder EH 2272.542</t>
  </si>
  <si>
    <t>Halder EH-2215.110 (22150.0110)</t>
  </si>
  <si>
    <t>PIN-STOP HWN212 FORM NB</t>
  </si>
  <si>
    <t>Halder 2212.605</t>
  </si>
  <si>
    <t>SCREW-STOP-BALL M 5X7.5 HEX SKT STAINL.</t>
  </si>
  <si>
    <t>Halder EH 2272.833</t>
  </si>
  <si>
    <t>BN4719 M2 x 6</t>
  </si>
  <si>
    <t>BN858 2.5 x 20</t>
  </si>
  <si>
    <t>SCREW-CYL.HEAD HEXA. M 3X 35 PART.THR.</t>
  </si>
  <si>
    <t>BN611 M3x35</t>
  </si>
  <si>
    <t>BN858 M8 x 55</t>
  </si>
  <si>
    <t>Fluted grip knobs Elesa® BT.p</t>
  </si>
  <si>
    <t>BN14214 M5 x 16</t>
  </si>
  <si>
    <t>SCREW M6 X 45MM SS SHC</t>
  </si>
  <si>
    <t>BN611 M6 x 45</t>
  </si>
  <si>
    <t>BN858 M8 x 60</t>
  </si>
  <si>
    <t>SCREW-COUNT.HEAD HEX. M 3x20 A.T.</t>
  </si>
  <si>
    <t>BN616 M3x20</t>
  </si>
  <si>
    <t>BN357 M4 x 10</t>
  </si>
  <si>
    <t>WASHER 10.5x20x2</t>
  </si>
  <si>
    <t>DIN125A BN 1074 M10</t>
  </si>
  <si>
    <t>Schnorr S 4 SS (414200)</t>
  </si>
  <si>
    <t>BN858 M5 x 40</t>
  </si>
  <si>
    <t>Blind rivets POP® TAPD..BS, domed head, Rivet: aluminum, Mandrel: steel zinc plated</t>
  </si>
  <si>
    <t>BN924 TAPD 42 BS</t>
  </si>
  <si>
    <t>Knobs black for hex soc hd cap scr</t>
  </si>
  <si>
    <t>BN412 M6K/13/19/7,5</t>
  </si>
  <si>
    <t>Threaded studs PEM FH-M3-10ZI</t>
  </si>
  <si>
    <t xml:space="preserve">BN20523 </t>
  </si>
  <si>
    <t>Southco 93-313</t>
  </si>
  <si>
    <t>BN91550</t>
  </si>
  <si>
    <t>Threaded studs PEM FH-M5-15ZI</t>
  </si>
  <si>
    <t>Clinching nuts PEM CLS-M8-1</t>
  </si>
  <si>
    <t>BN20599</t>
  </si>
  <si>
    <t>Clinching nuts PEM CLS-M6-1</t>
  </si>
  <si>
    <t xml:space="preserve">Threaded standoffs PEM BSOS-M3-10 </t>
  </si>
  <si>
    <t>BN20621</t>
  </si>
  <si>
    <t>BN858 M6 x 22</t>
  </si>
  <si>
    <t>Sltd cheese hd mach scr st 4.8 znb D84A</t>
  </si>
  <si>
    <t>BN330 M2.5 x 35</t>
  </si>
  <si>
    <t>BN328 M2.5 x 12</t>
  </si>
  <si>
    <t>PIN-PARALLEL D= 6.00h6x 80, DIN6325 H6</t>
  </si>
  <si>
    <t>BN858 6x80</t>
  </si>
  <si>
    <t>DIN464 ZP THREADING DIAMETER 3.0mm, THREADING LENGTH 16.00mm</t>
  </si>
  <si>
    <t>BN1452 M3x16</t>
  </si>
  <si>
    <t>BN617 M4 x 14</t>
  </si>
  <si>
    <t>Hex jam nut st st A2 D439B</t>
  </si>
  <si>
    <t>BN630 M8</t>
  </si>
  <si>
    <t>SCREW M2 X 4MM SS QFHP</t>
  </si>
  <si>
    <t>SCR M3 X 35MM SS PHP</t>
  </si>
  <si>
    <t>SCR M1.6 X 4MM SS PHP</t>
  </si>
  <si>
    <t>SCREW M2 X 5MM SS PHP</t>
  </si>
  <si>
    <t>SCREW M2.5 X 4MM SS PHP</t>
  </si>
  <si>
    <t>SCREW M2 X 6MM SS FHP</t>
  </si>
  <si>
    <t>NUT STD HEX 6-32 SS</t>
  </si>
  <si>
    <t>SCREW SET M6-1.0X5MM CUP PT SS</t>
  </si>
  <si>
    <t>PIN-PARALLEL D= 5.00h6x 55 DIN6325 H6</t>
  </si>
  <si>
    <t>BN858 5x55</t>
  </si>
  <si>
    <t>BN858 5 x 30</t>
  </si>
  <si>
    <t>BN858 8 x 70</t>
  </si>
  <si>
    <t>BN1976 M3 x 6</t>
  </si>
  <si>
    <t>BN622 M4 x 16</t>
  </si>
  <si>
    <t>He so fl hd fu td ST010.9/10.9 BLAC D7991</t>
  </si>
  <si>
    <t>BN20 M2 x 8</t>
  </si>
  <si>
    <t>Flt wash w/o chamfer st st A2 D125A</t>
  </si>
  <si>
    <t>BN670 M1.6</t>
  </si>
  <si>
    <t>SCREW-CYL.HEAD-LOW HEX. M 4x25 P.T. DIN7984</t>
  </si>
  <si>
    <t>BN2844 M4x25</t>
  </si>
  <si>
    <t>BN56 M4 X x 12</t>
  </si>
  <si>
    <t>BUSHING THREADED BUSH M2</t>
  </si>
  <si>
    <t>BN1054 M2</t>
  </si>
  <si>
    <t>SCREW-CYL.HEAD SLOT. M 3x 4 ALL THR DIN84A ZP</t>
  </si>
  <si>
    <t>BN330 M3x4</t>
  </si>
  <si>
    <t>Elesa Handle model #50512</t>
  </si>
  <si>
    <t>BN20530</t>
  </si>
  <si>
    <t>BN24 M2.5 x 8</t>
  </si>
  <si>
    <t>NUT-HEX. 0.5d M 8x1</t>
  </si>
  <si>
    <t>BN1207 M8x1</t>
  </si>
  <si>
    <t>BN20 M2.5 x 10</t>
  </si>
  <si>
    <t>BN858 M5 x 22</t>
  </si>
  <si>
    <t>SCREW-HEADLESS-SLOTTED M2X3 BRASS DIN551 ISO4766</t>
  </si>
  <si>
    <t>BN1406 M2x3</t>
  </si>
  <si>
    <t>BN3319 M5 x 18</t>
  </si>
  <si>
    <t>BN858 M5 x 28</t>
  </si>
  <si>
    <t>Round spacers polyamide 6.6</t>
  </si>
  <si>
    <t>BN5281 3,1 x 6 x 3</t>
  </si>
  <si>
    <t>SCHNORR products</t>
  </si>
  <si>
    <t>Schnorr 000 100</t>
  </si>
  <si>
    <t>SCREW-ADJUSTABLE  6X 8/M 5 ISO7379 NOIRCIE BLACK PHOSPHATED STEEL</t>
  </si>
  <si>
    <t>BN1359 6x8 M5</t>
  </si>
  <si>
    <t>SCREW-CYL.HEAD HEX. M 8x65 P.T.</t>
  </si>
  <si>
    <t>BN4, M8x65</t>
  </si>
  <si>
    <t>BN3 M5 x 12</t>
  </si>
  <si>
    <t>PIN-PARALLEL D= 8.00h6x 18</t>
  </si>
  <si>
    <t>V-retaining rings f bores type J st</t>
  </si>
  <si>
    <t>BN830 26</t>
  </si>
  <si>
    <t>BN858 10X70</t>
  </si>
  <si>
    <t>BN617 M5X35</t>
  </si>
  <si>
    <t>BN17 M6X25</t>
  </si>
  <si>
    <t>T1120056</t>
  </si>
  <si>
    <t>Shim washers ~DIN 988 spring st</t>
  </si>
  <si>
    <t>BN748 M10x22x0.5</t>
  </si>
  <si>
    <t>Parallel pins with tolerance h8</t>
  </si>
  <si>
    <t>BN684 M4 x 16</t>
  </si>
  <si>
    <t>PIN-PARALLEL D= 5.00h6x 32</t>
  </si>
  <si>
    <t>BN858 5x32</t>
  </si>
  <si>
    <t>BN650 M2x5</t>
  </si>
  <si>
    <t>BN630 M 5</t>
  </si>
  <si>
    <t>TY-RAP 7 PANDUIT PLT2I-M</t>
  </si>
  <si>
    <t>BN20473 PLT2I-M</t>
  </si>
  <si>
    <t>Tamper proof scr ~ ISO 7380-1 A2</t>
  </si>
  <si>
    <t>BN6971 M4 x 8</t>
  </si>
  <si>
    <t>SCREW-SLOTTED-CYL.HEAD M3X12</t>
  </si>
  <si>
    <t>BN532 M3x12</t>
  </si>
  <si>
    <t>SCREW-SLOTTED-CYL.HEAD M2X12 DIN84A Brass</t>
  </si>
  <si>
    <t>BN532 M2x12</t>
  </si>
  <si>
    <t>SCREW-HEADLESS SLOT.P.P. M 5X16 ALL THR DIN551 Brass</t>
  </si>
  <si>
    <t>BN1406 M5x16</t>
  </si>
  <si>
    <t>BN617 M10 x 20</t>
  </si>
  <si>
    <t>NUT-CAGE-HOUSING M 4 (1.7-2.7)</t>
  </si>
  <si>
    <t>BN3307 M4 (1.7-2.7)</t>
  </si>
  <si>
    <t>Screw Headless Hexa F.P. M10x60 A.T</t>
  </si>
  <si>
    <t>BN617 M10x60</t>
  </si>
  <si>
    <t>BN4 M12 x 120</t>
  </si>
  <si>
    <t>BN3 M10 x 16</t>
  </si>
  <si>
    <t>BN1424 M12 x 60</t>
  </si>
  <si>
    <t>BN617 M10 x 40</t>
  </si>
  <si>
    <t>BN617 M8 x 30</t>
  </si>
  <si>
    <t>BN617 M10 x 10</t>
  </si>
  <si>
    <t>BN3 M10 x 40</t>
  </si>
  <si>
    <t>BN3318 M5 x 10</t>
  </si>
  <si>
    <t>T1120041</t>
  </si>
  <si>
    <t>Wavy spr wash type B st mznb D137B</t>
  </si>
  <si>
    <t>BN798 M3</t>
  </si>
  <si>
    <t>PIN-PARALLEL D= 4.00h6x 36</t>
  </si>
  <si>
    <t>BN858 4x36</t>
  </si>
  <si>
    <t>BN3318 M4 x 45</t>
  </si>
  <si>
    <t>BN618 M4 x 6</t>
  </si>
  <si>
    <t>BN1359 8 x 12 / M 6</t>
  </si>
  <si>
    <t>BN858 M10 x 50</t>
  </si>
  <si>
    <t>T1120007</t>
  </si>
  <si>
    <t>Schnorr 004 500</t>
  </si>
  <si>
    <t>HANDLE ELESA I.281+X M12</t>
  </si>
  <si>
    <t>BN14278 - 22811</t>
  </si>
  <si>
    <t>Halder products</t>
  </si>
  <si>
    <t>Halder 22630.0011</t>
  </si>
  <si>
    <t>Hex soc set scr flat point ST ZNB I4026</t>
  </si>
  <si>
    <t>BN28 M6 x 10</t>
  </si>
  <si>
    <t>BN28 M6 x 6</t>
  </si>
  <si>
    <t>SCREW-COUNT.HEAD HEX. M 8x16 A.T.</t>
  </si>
  <si>
    <t>BN616 M8 x 16</t>
  </si>
  <si>
    <t>Zoro Sealing Washer</t>
  </si>
  <si>
    <t>Zoro G0984767</t>
  </si>
  <si>
    <t>Slotted round nuts poly ins st znt</t>
  </si>
  <si>
    <t>BN1235 M10</t>
  </si>
  <si>
    <t>SCREW RAISED HEAD HEX. M 2X 6 A.T. ISO7380</t>
  </si>
  <si>
    <t>BN8699 M2x6</t>
  </si>
  <si>
    <t>Socket hd cap screw ss 18-8 pln  ft</t>
  </si>
  <si>
    <t>BN48189 10 - 32 x 1/2</t>
  </si>
  <si>
    <t>Reg split lock washer ss 18-8 pln</t>
  </si>
  <si>
    <t>BN48234 1/4</t>
  </si>
  <si>
    <t>Hex nut ss 18-8 pln</t>
  </si>
  <si>
    <t>BN48218 1/4 - 20</t>
  </si>
  <si>
    <t>Socket head cap screw ss 18-8 pln f</t>
  </si>
  <si>
    <t>BN48191 6 - 32 x 1</t>
  </si>
  <si>
    <t>BN48191 6 - 32 x 1/2</t>
  </si>
  <si>
    <t>Phil phms ss 18-8 ft fnt</t>
  </si>
  <si>
    <t>BN48207 10 - 32 x 3/8</t>
  </si>
  <si>
    <t>BN48191 1/4 - 20 x 1/2</t>
  </si>
  <si>
    <t>A0000010655</t>
  </si>
  <si>
    <t>HexNut</t>
  </si>
  <si>
    <t>BN91130 #8-32</t>
  </si>
  <si>
    <t>Socket head cap screw ss 18-8 pln</t>
  </si>
  <si>
    <t>BN48190 8 - 32 x 1 1/2</t>
  </si>
  <si>
    <t>HexSocHdCapScrew</t>
  </si>
  <si>
    <t>BN91110 #10-32 x 1/4</t>
  </si>
  <si>
    <t>BN56 M5 x 16</t>
  </si>
  <si>
    <t>SCREW-HEADLESS 6P CR.B.PT.M 2X3 ENT. FIL</t>
  </si>
  <si>
    <t>BN 618 INOX A2</t>
  </si>
  <si>
    <t>BN56 M3 x 25</t>
  </si>
  <si>
    <t>T1120070</t>
  </si>
  <si>
    <t>BN748 M3 x 15 x 0.5</t>
  </si>
  <si>
    <t>BN858 M3 x 32</t>
  </si>
  <si>
    <t>SCREW-CYL.HEAD HEXA. M 8x 30 PART.THR.</t>
  </si>
  <si>
    <t>BN1057 M8x30 DIN912 PA</t>
  </si>
  <si>
    <t>Ball-EndedThrustScrews - Stl,Heat-Threated</t>
  </si>
  <si>
    <t>Halder 2272.553</t>
  </si>
  <si>
    <t>SCREW M12X20MM SS HEX</t>
  </si>
  <si>
    <t>BN622 M12 x 20</t>
  </si>
  <si>
    <t>SCREW-COUNT.HEAD HEX. M 4x10 A.T.</t>
  </si>
  <si>
    <t>BN616 M4x10</t>
  </si>
  <si>
    <t>SCREW-COUNT.HEAD HEX. M 3x16 A.T.</t>
  </si>
  <si>
    <t>BN616 M3x16</t>
  </si>
  <si>
    <t>SCREW M6 X 35MM SS SHC</t>
  </si>
  <si>
    <t>BN610 M6 x 35</t>
  </si>
  <si>
    <t>SCREW-COUNT.HEAD HEX. M 8x25 A.T.</t>
  </si>
  <si>
    <t>BN616 M8 x 25</t>
  </si>
  <si>
    <t>SCREW-CYL.HEAD HEX. M 3X20 A.T.</t>
  </si>
  <si>
    <t>BN610 M3x20</t>
  </si>
  <si>
    <t>SCREW-COUNT.HEAD HEX. M 3x10 A.T.</t>
  </si>
  <si>
    <t>BN616 M3x10</t>
  </si>
  <si>
    <t>WASHER EXT STAR M6 SS</t>
  </si>
  <si>
    <t>BN2842 M6</t>
  </si>
  <si>
    <t>WASHER EXT STAR M5 SS</t>
  </si>
  <si>
    <t>BN2842 M5</t>
  </si>
  <si>
    <t>Hx so hd cp scr prt td ST12.9 BLACK D912</t>
  </si>
  <si>
    <t>BN8 M4 x 65</t>
  </si>
  <si>
    <t>Parallel pins tol m6 st unhardened I2338</t>
  </si>
  <si>
    <t>BN1208 M1 x 4</t>
  </si>
  <si>
    <t>BN20 M2.5 x 20</t>
  </si>
  <si>
    <t>Socket hd cap scr st alloy ft</t>
  </si>
  <si>
    <t>BN48171 6-32x1/2</t>
  </si>
  <si>
    <t>SPACER-HEX. M5X 30 MALE/FEMALE</t>
  </si>
  <si>
    <t>Hex dom cap nuts (acorn) st st A2 D1587</t>
  </si>
  <si>
    <t>BN635 M6</t>
  </si>
  <si>
    <t>BN610 M10 x 35</t>
  </si>
  <si>
    <t>BN8 M4 x 55</t>
  </si>
  <si>
    <t>Hx lock nut low type st st A2 D985</t>
  </si>
  <si>
    <t>BN637 M4</t>
  </si>
  <si>
    <t>Hex socket set screws</t>
  </si>
  <si>
    <t>BN621 M3x10</t>
  </si>
  <si>
    <t>SCREW-HEX.HEAD CAP M 6x 12 ALL THR.</t>
  </si>
  <si>
    <t>Parallel pins (Material: GCr15 / Hardness: HRC58-62 / Finish: Plain</t>
  </si>
  <si>
    <t>BN90801 4h6x70</t>
  </si>
  <si>
    <t>BN56 M3 x 16</t>
  </si>
  <si>
    <t>Sltd cheese hd mach scr st 8.8 znb D84A</t>
  </si>
  <si>
    <t>BN341 M3 x40</t>
  </si>
  <si>
    <t>PIN-PARALLEL D= 1.50m6x  4</t>
  </si>
  <si>
    <t>BN 857 1.5x4</t>
  </si>
  <si>
    <t>T1120102</t>
  </si>
  <si>
    <t>WASHER-LARGE DIAMETER 10.5X30X2</t>
  </si>
  <si>
    <t>BN732 10(10.5) x 30/2</t>
  </si>
  <si>
    <t>SCREW-COUNT.HEAD HEX M2X12 A.T</t>
  </si>
  <si>
    <t>SCREW-HEX.HEAD CAP M 6X16 ALL THR.</t>
  </si>
  <si>
    <t>BN56 M6 x 16</t>
  </si>
  <si>
    <t>Elesa® products - TubularHandles-M.1043/20-300-SST</t>
  </si>
  <si>
    <t>Elesa 37632</t>
  </si>
  <si>
    <t>PIN-PARALLEL D= 4.00H6X 50</t>
  </si>
  <si>
    <t>BN858 M4 x 50</t>
  </si>
  <si>
    <t>BN617 M3 x 5</t>
  </si>
  <si>
    <t>SCREW-COUNT.HEAD SLOT. M2.5X 8</t>
  </si>
  <si>
    <t>BN357 M2.5 x 8</t>
  </si>
  <si>
    <t>BN24 M3 x 25</t>
  </si>
  <si>
    <t>PIN-PARALLEL D= 1.00H6X 8</t>
  </si>
  <si>
    <t>SCREW-COUNT.HEAD HEX. M 5X25 A.T.</t>
  </si>
  <si>
    <t>BN616 M5x25</t>
  </si>
  <si>
    <t>NUT-CAP HEX. M 8 HIGH</t>
  </si>
  <si>
    <t>BN1721 M8</t>
  </si>
  <si>
    <t>SCREW-PAN HEAD SLOT. M 3X 5 ALL THR.</t>
  </si>
  <si>
    <t>BN351 M3 x 5</t>
  </si>
  <si>
    <t>SCREW-HEADLESS HEXA.C.P. M 4X 5 ALL THR.</t>
  </si>
  <si>
    <t>BN29 M4 x 5</t>
  </si>
  <si>
    <t>PIN-SPRING SPIRAL D= 2X 6</t>
  </si>
  <si>
    <t>BN875 M2 x 6</t>
  </si>
  <si>
    <t>SPACER M5X12 HEX.</t>
  </si>
  <si>
    <t>BN3318 M5 x 12</t>
  </si>
  <si>
    <t>SCREW-CYL HEAD HEXA M6X16 ALL THR</t>
  </si>
  <si>
    <t>DIN 912 BN1419</t>
  </si>
  <si>
    <t>SCREW-CYL HEAD HEXA M5 X16 ALL THR</t>
  </si>
  <si>
    <t>SCREW CYL.HEAD HEXA. M 8X14</t>
  </si>
  <si>
    <t>BN610 M8 x 14</t>
  </si>
  <si>
    <t>SCREW-CYL.HEAD HEX. M2.5X18 A.T.</t>
  </si>
  <si>
    <t>DIN 912 BN612</t>
  </si>
  <si>
    <t>SCREW-CYL.HEAD SLOT. M 3x50 ALL THR.</t>
  </si>
  <si>
    <t>DIN 84A</t>
  </si>
  <si>
    <t>SCREW-HEADLESS HEX.F.P. M 4X12 A.T.</t>
  </si>
  <si>
    <t>BN28 M4 x 12</t>
  </si>
  <si>
    <t>SCREW-HEX.HEAD CAP M10X40 ALL THR.</t>
  </si>
  <si>
    <t>BN622 M10 x 40</t>
  </si>
  <si>
    <t>NUT-SELF-LOCKING M 8 HIGH</t>
  </si>
  <si>
    <t>DIN982 ZP KL.8</t>
  </si>
  <si>
    <t>SCREW SHCS M05X25 ZINC</t>
  </si>
  <si>
    <t>DIN912 8.8 BN3</t>
  </si>
  <si>
    <t>SCREW-HEADLESS-SLOTTED M 2X 2</t>
  </si>
  <si>
    <t>PUSHER-SPRING-BALL M 4X12 HEX.INT SS</t>
  </si>
  <si>
    <t>EH 22030.0204 BN20201</t>
  </si>
  <si>
    <t>Parallel pins tol h8 st unhardened I2338</t>
  </si>
  <si>
    <t>BN855 M8 x 80</t>
  </si>
  <si>
    <t>WASHER SPRING  5.3X10X0.5 CONICAL</t>
  </si>
  <si>
    <t>SOCKET CONICAL  6.4X12X2.3</t>
  </si>
  <si>
    <t>DIN6319C CLAIRE</t>
  </si>
  <si>
    <t>SOCKET CONICAL  7.1X12X2.8</t>
  </si>
  <si>
    <t>DIN6319D CLAIRE</t>
  </si>
  <si>
    <t>SCREW-CYL.HEAD HEXA. M 5x 65 PART.THR.</t>
  </si>
  <si>
    <t>BN3 M10 x 20</t>
  </si>
  <si>
    <t>BN4 M8 x 80</t>
  </si>
  <si>
    <t>T1120224</t>
  </si>
  <si>
    <t>WASHER-SCHNORR  6.2x 12.5x0.35</t>
  </si>
  <si>
    <t>BN1375 6,2</t>
  </si>
  <si>
    <t>80.0000.0077</t>
  </si>
  <si>
    <t>KNURLED NUT M4-DIN 466-BRASS</t>
  </si>
  <si>
    <t>BN 526 M4</t>
  </si>
  <si>
    <t>SCREW DIN 84-M2X4-BRASS</t>
  </si>
  <si>
    <t>BN 532 M2x4</t>
  </si>
  <si>
    <t>80.0000.8405</t>
  </si>
  <si>
    <t>SCREW DIN 84-M2X6-BRASS</t>
  </si>
  <si>
    <t>BN 532 M2x6</t>
  </si>
  <si>
    <t>SCREW DIN 84-M2X8-BRASS</t>
  </si>
  <si>
    <t>BN 532 M2x8</t>
  </si>
  <si>
    <t>80.0000.8417</t>
  </si>
  <si>
    <t>SCREW DIN 963-M2X5-BRASS</t>
  </si>
  <si>
    <t>BN 537 M2x5</t>
  </si>
  <si>
    <t>80.0000.8387</t>
  </si>
  <si>
    <t>SCREW DIN 84-M3X8-BRASS</t>
  </si>
  <si>
    <t>BN 532 M3x8</t>
  </si>
  <si>
    <t>80.0001.1050</t>
  </si>
  <si>
    <t>SCREW DIN 84-M2,5X8-BRASS</t>
  </si>
  <si>
    <t>BN 532 M2.5x8</t>
  </si>
  <si>
    <t>80.0000.8634</t>
  </si>
  <si>
    <t>SCREW DIN 963-M1,6X4-BRASS</t>
  </si>
  <si>
    <t>BN 537 M1.6x4</t>
  </si>
  <si>
    <t>SCREW DIN 84-M2X5-BRASS</t>
  </si>
  <si>
    <t>BN 532 M2x5</t>
  </si>
  <si>
    <t>80.0000.8319</t>
  </si>
  <si>
    <t>SCREW DIN 84-M3X5-BRASS</t>
  </si>
  <si>
    <t>BN 532 M3x5</t>
  </si>
  <si>
    <t>80.0000.8386</t>
  </si>
  <si>
    <t>SCREW DIN 84-M3X6-BRASS</t>
  </si>
  <si>
    <t>BN 532 M3x6</t>
  </si>
  <si>
    <t>80.0000.8379</t>
  </si>
  <si>
    <t>SCREW DIN 84-M2X10-BRASS</t>
  </si>
  <si>
    <t>BN 532 M2x10</t>
  </si>
  <si>
    <t>80.0000.9519</t>
  </si>
  <si>
    <t>SCREW DIN 963-M1,6X3-BRASS</t>
  </si>
  <si>
    <t>BN 537 M1.6x3</t>
  </si>
  <si>
    <t>80.0000.8381</t>
  </si>
  <si>
    <t>SCREW DIN 963-M1,6X5-BRASS</t>
  </si>
  <si>
    <t>BN 537 M1.6x5</t>
  </si>
  <si>
    <t>80.0001.1449</t>
  </si>
  <si>
    <t>SCREW DIN963-M3X16-BRASS</t>
  </si>
  <si>
    <t>BN 537 M3x16</t>
  </si>
  <si>
    <t>80.0000.8611</t>
  </si>
  <si>
    <t>SCREW DIN 963-M2X8-BRASS</t>
  </si>
  <si>
    <t>BN 537 M2x8</t>
  </si>
  <si>
    <t>80.0000.8385</t>
  </si>
  <si>
    <t>SCREW DIN 963-M2X6-BRASS</t>
  </si>
  <si>
    <t>BN 537 M2x6</t>
  </si>
  <si>
    <t>80.0000.8416</t>
  </si>
  <si>
    <t>SCREW DIN 963-M3X6-BRASS</t>
  </si>
  <si>
    <t>BN 537 M3x6</t>
  </si>
  <si>
    <t>80.0000.8431</t>
  </si>
  <si>
    <t>SCREW DIN 963-M3X8-BRASS</t>
  </si>
  <si>
    <t>BN 537 M3x8</t>
  </si>
  <si>
    <t>80.0001.1497</t>
  </si>
  <si>
    <t>PIN 2.5H8X10 ISO2338</t>
  </si>
  <si>
    <t>BN 684 2.5H8X10</t>
  </si>
  <si>
    <t>80.0000.9503</t>
  </si>
  <si>
    <t>SCREW DIN 963-M1,6X6-BRASS</t>
  </si>
  <si>
    <t>BN 537 M1.6x6</t>
  </si>
  <si>
    <t>80.0000.3603</t>
  </si>
  <si>
    <t>SCREW DIN 84  M3X25 BRASS</t>
  </si>
  <si>
    <t>BN 532 M3x25</t>
  </si>
  <si>
    <t>SCREW DIN 963-M2,5X4-BRASS</t>
  </si>
  <si>
    <t>BN 537 M2.5x4</t>
  </si>
  <si>
    <t>SPLIT PIN ISO 8752-1.5X8-A2</t>
  </si>
  <si>
    <t>BN 337 1.5x8</t>
  </si>
  <si>
    <t>80.0001.1999</t>
  </si>
  <si>
    <t>SNAP RING DIN 472-8X0.8-SPRING STEEL</t>
  </si>
  <si>
    <t>BN 822 8</t>
  </si>
  <si>
    <t>SCREW-HEADLESS HEXA.C.P. M 4X10 ALL THR.</t>
  </si>
  <si>
    <t>BN618 M4 x 10</t>
  </si>
  <si>
    <t>SCREW-CYL.HEAD HEXA. M 4X 80</t>
  </si>
  <si>
    <t>BN4 M4 x 80</t>
  </si>
  <si>
    <t>SCREW-COUNT.HEAD HEX. M 5x30 A.T.</t>
  </si>
  <si>
    <t>BN616 M5x30</t>
  </si>
  <si>
    <t>BN612 M5 x 22</t>
  </si>
  <si>
    <t>SCREW M5X30MM SS SHC</t>
  </si>
  <si>
    <t>BN610 M5 x 30</t>
  </si>
  <si>
    <t>SCREW M4X30MM SS SHC</t>
  </si>
  <si>
    <t>BN610 M4 x 30</t>
  </si>
  <si>
    <t>CABLE TIE HOLDER, SCR MNT</t>
  </si>
  <si>
    <t>Richco FTH-24-1-01</t>
  </si>
  <si>
    <t>Phil phms ss 18-8 ft</t>
  </si>
  <si>
    <t>BN48210 4-40x1/4</t>
  </si>
  <si>
    <t>BN328 M2.5 x 4</t>
  </si>
  <si>
    <t>SCREW M6X40MM SS SHC</t>
  </si>
  <si>
    <t>KNCM 4.0.7</t>
  </si>
  <si>
    <t>Keensert</t>
  </si>
  <si>
    <t>SCREW-COUNT.HEAD SLOT. M4 X14</t>
  </si>
  <si>
    <t>BN357 M4 x 14</t>
  </si>
  <si>
    <t>SCREW-PAN HEAD SLOT. M 4X 6 ALL THR.</t>
  </si>
  <si>
    <t>BN344 M4 x 6</t>
  </si>
  <si>
    <t>SCREW M10X16MM SS SHC</t>
  </si>
  <si>
    <t>BN610 M10x16</t>
  </si>
  <si>
    <t>SPACER M3X20 HEX.</t>
  </si>
  <si>
    <t>BN3320 M3 x 20</t>
  </si>
  <si>
    <t>NUT-HEX. 0.5D M 5</t>
  </si>
  <si>
    <t>BN124 M5</t>
  </si>
  <si>
    <t>SCREW-HEX.HEAD CAP M 8X16 ALL THR.</t>
  </si>
  <si>
    <t>BN56 M8 x 16</t>
  </si>
  <si>
    <t>M3 X 5MM BLK OX BHC</t>
  </si>
  <si>
    <t>M4 X 16MM BLK OX BHC</t>
  </si>
  <si>
    <t>RING-STOP FOR SHAFTS D= 5</t>
  </si>
  <si>
    <t>BN 825 D=5</t>
  </si>
  <si>
    <t>SCREW-ADJUSTABLE  6X25/M 5</t>
  </si>
  <si>
    <t>BN1359 M6 x 25</t>
  </si>
  <si>
    <t>PIN-PARALLEL D= 6.00M6X 32  TAPPED M4</t>
  </si>
  <si>
    <t>BN1970 M6 x 32</t>
  </si>
  <si>
    <t>SCREW  SET  CONE M2.5X3  SS</t>
  </si>
  <si>
    <t>BN618 M2.5x 3</t>
  </si>
  <si>
    <t>SCREW  SET  CONE M2.5X8  SS</t>
  </si>
  <si>
    <t>BN618 M2.5x 8</t>
  </si>
  <si>
    <t>BN3321 M3 x 15</t>
  </si>
  <si>
    <t>NUT-CRIMPING-HEX. M 5X2.2</t>
  </si>
  <si>
    <t>BN201 M5 1,8</t>
  </si>
  <si>
    <t>SCREW-CYL.HEAD HEXA. M10X 60 PART.THR.</t>
  </si>
  <si>
    <t>BN7 M10 x 60</t>
  </si>
  <si>
    <t>NUT-RIVET M 5 BLIND OPENED</t>
  </si>
  <si>
    <t>BN4575 M5UT/FEF 5,5</t>
  </si>
  <si>
    <t>PIN-SPRING SLIT D= 2X12</t>
  </si>
  <si>
    <t>BN878</t>
  </si>
  <si>
    <t>PIN PARALLEL DIA 6 X 20 TAPPED M4</t>
  </si>
  <si>
    <t>DIN 7979 / BN 1970</t>
  </si>
  <si>
    <t>LEVER FORK 5X10</t>
  </si>
  <si>
    <t>BN482 5 x 10</t>
  </si>
  <si>
    <t>NUT-HEX. 0.5d M 8</t>
  </si>
  <si>
    <t>BN124 M8</t>
  </si>
  <si>
    <t>SCREW-HEADLESS HEX.F.P. M 3X16 A.T.</t>
  </si>
  <si>
    <t>BN617 DIN913</t>
  </si>
  <si>
    <t>BN617 M6 x 50</t>
  </si>
  <si>
    <t>T1120103</t>
  </si>
  <si>
    <t>WASHER-LARGE DIAMETER 10.5X35X2.5</t>
  </si>
  <si>
    <t>BN732 10(10.5)x35x2.5</t>
  </si>
  <si>
    <t>SCREW-CYL.HEAD HEXA M 6X 8 ALL THR.</t>
  </si>
  <si>
    <t>BN610 M6x8</t>
  </si>
  <si>
    <t>BN622 M6x20</t>
  </si>
  <si>
    <t>He so hd s~ISO 7380-1 ST08.8/8.8ZNB</t>
  </si>
  <si>
    <t>BN6404 M3 x 8</t>
  </si>
  <si>
    <t>PANDUIT products</t>
  </si>
  <si>
    <t>LPMM-S5-M20</t>
  </si>
  <si>
    <t>Hex soc set scr cup point st st A4 I4029</t>
  </si>
  <si>
    <t>BN4721 M 4 x 4</t>
  </si>
  <si>
    <t>T1120089</t>
  </si>
  <si>
    <t>WASHER-MEDIUM STRONG 17X40X1.6</t>
  </si>
  <si>
    <t>BN 735</t>
  </si>
  <si>
    <t>RICHCO Product</t>
  </si>
  <si>
    <t>TC-30-1</t>
  </si>
  <si>
    <t>SCREW M2 X 3MM SS PHP</t>
  </si>
  <si>
    <t>BN660 M2x3</t>
  </si>
  <si>
    <t>SCREW,M2 X 6MM,SS,PHP</t>
  </si>
  <si>
    <t>BN660 M2x6</t>
  </si>
  <si>
    <t>SCREW,M3 X 6MM,SS,PHP</t>
  </si>
  <si>
    <t>BN660 M3x6</t>
  </si>
  <si>
    <t>SCREW,6-32 X 3/8" SS BHC</t>
  </si>
  <si>
    <t>BN48196 #6-32x3/8</t>
  </si>
  <si>
    <t>BN 1046 M2</t>
  </si>
  <si>
    <t>STANDOFF,PCB,NYLON,M4X3/8 LG</t>
  </si>
  <si>
    <t>RICOH MSCBS-6-19</t>
  </si>
  <si>
    <t>HANDLE-DISENGAGEABLE BLACK</t>
  </si>
  <si>
    <t>Elesa 41311</t>
  </si>
  <si>
    <t>KEY-PARALLEL ROUND ENDED  3X3X16</t>
  </si>
  <si>
    <t>BN870 3 x 3 x 16</t>
  </si>
  <si>
    <t>WASHER-SAFETY  4.1X10X1.4</t>
  </si>
  <si>
    <t>BN84530 M4</t>
  </si>
  <si>
    <t>BN1206 M2 x 4</t>
  </si>
  <si>
    <t>BN1206 M2 x 10</t>
  </si>
  <si>
    <t>SCREW-HEADLESS HEXA.C.P. M 3X10 ALL THR. DIN914 A2</t>
  </si>
  <si>
    <t>BN618 M3x10</t>
  </si>
  <si>
    <t>PIN SPRING SLIT TOOT D=5X10</t>
  </si>
  <si>
    <t>BN879 5x10</t>
  </si>
  <si>
    <t>SPACER M3X 8 HEX</t>
  </si>
  <si>
    <t>BN3320 M3 x 8</t>
  </si>
  <si>
    <t>SCREW CYL.HEAD HEXA. M 6X60</t>
  </si>
  <si>
    <t>BN611 M6 x 60</t>
  </si>
  <si>
    <t>BN654 M2 x 6</t>
  </si>
  <si>
    <t>BUSHING DRILL 1.5F7 x 4n6 x6</t>
  </si>
  <si>
    <t>DIN 179 A</t>
  </si>
  <si>
    <t>SPACER M5X80 HEX.</t>
  </si>
  <si>
    <t>SCREW-HEADLESS HEXA.C.P. M 4X20 ALL THR</t>
  </si>
  <si>
    <t>DIN 914 A2</t>
  </si>
  <si>
    <t>Ext serrat lock wash type A st znb D6798 A</t>
  </si>
  <si>
    <t>M 8a / 8,2 / 14  DIN6798A ZP</t>
  </si>
  <si>
    <t>SCREW-CYL.HEAD HEXA. M5X25 ALL THR</t>
  </si>
  <si>
    <t>SCREW-COUNT-HEAD M1.6 X 5</t>
  </si>
  <si>
    <t>BN357 M1.6 x 5</t>
  </si>
  <si>
    <t>NUT-CAP HEX. M 5 HIGH</t>
  </si>
  <si>
    <t>DIN1587 BN 635 A2 M5</t>
  </si>
  <si>
    <t>NUT-KNURLED M 4 HIGH</t>
  </si>
  <si>
    <t>DIN466 ZP</t>
  </si>
  <si>
    <t>SCREW-HEADLESS HEXA.C.P. M 3x 4 ALL THR.</t>
  </si>
  <si>
    <t>BN 29</t>
  </si>
  <si>
    <t>Heavy duty spring pins serr slot st</t>
  </si>
  <si>
    <t>BN879 2.5 x 6</t>
  </si>
  <si>
    <t>BN622 M5 x 35</t>
  </si>
  <si>
    <t>NUT-CAP HEX. M4 HIGH</t>
  </si>
  <si>
    <t>DIN1587 BN 635 A2 M4</t>
  </si>
  <si>
    <t>BN4 M8 x 90</t>
  </si>
  <si>
    <t>SCREW-CYL.HEAD HEXA. M10X 80 PART.THR.</t>
  </si>
  <si>
    <t>BN622 M3 x 10</t>
  </si>
  <si>
    <t>BN4577 M4UT/FES 3,5 x 11.5 (L)</t>
  </si>
  <si>
    <t>ADAX products</t>
  </si>
  <si>
    <t>ADAX 8.00 x 12.00 MM</t>
  </si>
  <si>
    <t xml:space="preserve">Hex Socket Flat  Countersunk Head screws fully threaded SS A2 </t>
  </si>
  <si>
    <t>DIN7991 M4x18</t>
  </si>
  <si>
    <t>Parallel pins tolerance h6</t>
  </si>
  <si>
    <t>DIN 6325 M8 X 90</t>
  </si>
  <si>
    <t xml:space="preserve">Hexagon Standoffs WITH INTERNAL THREADS STEEL ZINC PLATED BLUE </t>
  </si>
  <si>
    <t>BN3318 M5x40</t>
  </si>
  <si>
    <t>BN 25 M4x20</t>
  </si>
  <si>
    <t>PIN-PARALLEL D= 6.00H6X 50</t>
  </si>
  <si>
    <t>SCREW,M4X0.7X45, STBO</t>
  </si>
  <si>
    <t>BN 7</t>
  </si>
  <si>
    <t>SCREW-COUNT.HEAD HEX. M 4x 6 A.T.</t>
  </si>
  <si>
    <t>BN 616 M4x6</t>
  </si>
  <si>
    <t>Curved spr wash type A st zp D137 A</t>
  </si>
  <si>
    <t>BN797 M6</t>
  </si>
  <si>
    <t>Hex Socket Head Cap Screws  M2,5 x 14</t>
  </si>
  <si>
    <t>BN612 M2,5x14 (DIN 912)</t>
  </si>
  <si>
    <t>80.0000.0633</t>
  </si>
  <si>
    <t>BN3318, M3x12</t>
  </si>
  <si>
    <t>SCREW PAN HEAD SLOT. M 4X10</t>
  </si>
  <si>
    <t>BN652 M4x10</t>
  </si>
  <si>
    <t>SCREW-COUNT.HEAD SLOT.M 2X10 ALL THR.</t>
  </si>
  <si>
    <t>BN357 M2x10</t>
  </si>
  <si>
    <t>SCREW-HEADLESS HEXA.C.P. M 5X10 ALL THR.</t>
  </si>
  <si>
    <t>BN618 M5x10</t>
  </si>
  <si>
    <t>SCREW-HEADLESS HEXA.C.P. M 6X20 ALL THR.</t>
  </si>
  <si>
    <t>BN618 M6x20</t>
  </si>
  <si>
    <t>SCREW PAN HEAD SLOT. M 5X10</t>
  </si>
  <si>
    <t>BN652 M5x10</t>
  </si>
  <si>
    <t>SCREW HEADLESS HEXA.C.P. M 3X4</t>
  </si>
  <si>
    <t>BN618 M3x4</t>
  </si>
  <si>
    <t>SPACER M4X50 HEX.</t>
  </si>
  <si>
    <t>ADAX 0.70 x 4.00MM</t>
  </si>
  <si>
    <t>BN4 M8 x 150</t>
  </si>
  <si>
    <t>BN621 M3x3</t>
  </si>
  <si>
    <t>Hex socket head cap screws, fully threaded, Steel 12.9, zinc flake coated</t>
  </si>
  <si>
    <t>BN 1419, M5x20</t>
  </si>
  <si>
    <t>PIN-PARALLEL D= 8.00H6X 45</t>
  </si>
  <si>
    <t>BN 858 8 h6 x 45</t>
  </si>
  <si>
    <t>External tooth lock washer ss 410 p</t>
  </si>
  <si>
    <t>BN48238 M10</t>
  </si>
  <si>
    <t>Hx soc hd cp scr ful thrd ST12.9 ZF D912</t>
  </si>
  <si>
    <t>BN1419 M5 x 14</t>
  </si>
  <si>
    <t>PIN- GROOVED D= 2X6</t>
  </si>
  <si>
    <t>BN1385 2x6</t>
  </si>
  <si>
    <t>SCREW-RAISED HEAD HEX. M 3X20 P.T.</t>
  </si>
  <si>
    <t>SCREW-KNURLED-HEAD HIGH M 4X16</t>
  </si>
  <si>
    <t>BN1452 M4x16</t>
  </si>
  <si>
    <t>Split spr lock wash flt end st mzny D127 B</t>
  </si>
  <si>
    <t>BN763 M10</t>
  </si>
  <si>
    <t>BN4 M10 x 50</t>
  </si>
  <si>
    <t>Hx so hd cp sc fu td ST12.9 BLACK D912</t>
  </si>
  <si>
    <t>BN7 M8 x 70</t>
  </si>
  <si>
    <t>PIN-PARALLEL D= 1.00M6X2</t>
  </si>
  <si>
    <t>BN1208 1 x 2</t>
  </si>
  <si>
    <t>BN3319 M5 x 20</t>
  </si>
  <si>
    <t>SCREW-STOP-BALL M 4X 6 HEX SKT</t>
  </si>
  <si>
    <t>BN20214 M4x6 / 22720 0042</t>
  </si>
  <si>
    <t>SCREW-CYL.HEAD HEXA. M 4X 80 PART.THR.</t>
  </si>
  <si>
    <t>BN2 M4x80</t>
  </si>
  <si>
    <t>SCREW-COUNT.HEAD HEX. M 6x12 A.T.</t>
  </si>
  <si>
    <t>BN616, M6x12</t>
  </si>
  <si>
    <t>SCREW-COUNT.HEAD HEX. M 5x10 A.T.</t>
  </si>
  <si>
    <t>BN616, M5x10</t>
  </si>
  <si>
    <t>SCREW-CYL.HEAD HEX. M 3X14 A.T.</t>
  </si>
  <si>
    <t>BN610, M3x14</t>
  </si>
  <si>
    <t>SCREW-CYL.HEAD HEX. M2.5X 8 A.T.</t>
  </si>
  <si>
    <t>BN610, M2.5x8</t>
  </si>
  <si>
    <t>SCREW-COUNT.HEAD HEX. M 6x16 A.T.</t>
  </si>
  <si>
    <t>BN616, M6x16</t>
  </si>
  <si>
    <t>SCREW-COUNT.HEAD HEX. M 8x20 A.T.</t>
  </si>
  <si>
    <t>BN616, M8x20</t>
  </si>
  <si>
    <t>80.0000.0483</t>
  </si>
  <si>
    <t>Spacer (M4x5)</t>
  </si>
  <si>
    <t>BN3318 M4x5</t>
  </si>
  <si>
    <t>SCREW-COUNT.HEAD HEX. M 5x40 A.T.</t>
  </si>
  <si>
    <t>BN616 - 1000268</t>
  </si>
  <si>
    <t>SCREW-RAISED HEAD HEX. M 3x16 A.T.</t>
  </si>
  <si>
    <t>BN1593 - 1348779</t>
  </si>
  <si>
    <t>SCREW-COUNT.HEAD HEX. M 6x14 A.T.</t>
  </si>
  <si>
    <t>BN616 - 3146466</t>
  </si>
  <si>
    <t>SCREW-HEADLESS HEX.F.P. M 8x10 A.T.</t>
  </si>
  <si>
    <t>BN617 - 1235982</t>
  </si>
  <si>
    <t>SCREW-HEADLESS HEX.F.P. M10x12 A.T.</t>
  </si>
  <si>
    <t>BN617 - 1406663</t>
  </si>
  <si>
    <t>SCREW-COUNT.HEAD HEX. M 8x55 A.T.</t>
  </si>
  <si>
    <t>BN616 - 5505746</t>
  </si>
  <si>
    <t>SCREW-COUNT.HEAD HEX. M  8x70 A.T.</t>
  </si>
  <si>
    <t>BN616 - 1115642</t>
  </si>
  <si>
    <t>SCREW-CYL.HEAD HEXA. M 5X 90 PART.THR.</t>
  </si>
  <si>
    <t>BN611 - 3143347</t>
  </si>
  <si>
    <t>SCREW-COUNT.HEAD HEX. M 6x25 A.T.</t>
  </si>
  <si>
    <t>BN616 - 1235389</t>
  </si>
  <si>
    <t>SCREW-COUNT.HEAD HEX. M 6x30 A.T.</t>
  </si>
  <si>
    <t>BN616 - 1235397</t>
  </si>
  <si>
    <t>SCREW-COUNT.HEAD HEX. M 8x30 A.T.</t>
  </si>
  <si>
    <t>BN616 - 1235435</t>
  </si>
  <si>
    <t>SCREW-COUNT.HEAD HEX. M 8x40 A.T.</t>
  </si>
  <si>
    <t>BN616 - 1235443</t>
  </si>
  <si>
    <t>SCREW-COUNT.HEAD HEX. M10x16 A.T.</t>
  </si>
  <si>
    <t>BN2104 - 3807192</t>
  </si>
  <si>
    <t>SCREW-COUNT.HEAD HEX. M10x25 A.T.</t>
  </si>
  <si>
    <t>BN2104 - 3807196</t>
  </si>
  <si>
    <t>SCREW-COUNT.HEAD HEX. M10x30 A.T.</t>
  </si>
  <si>
    <t>BN2104 - 3807197</t>
  </si>
  <si>
    <t>SCREW-COUNT.HEAD HEX. M10x40 A.T.</t>
  </si>
  <si>
    <t>BN2104 - 3807199</t>
  </si>
  <si>
    <t>SCREW-HEADLESS HEX.F.P. M 2x 2 A.T.</t>
  </si>
  <si>
    <t xml:space="preserve">BN617 - 1406345 </t>
  </si>
  <si>
    <t>BN3318 M3 x 60</t>
  </si>
  <si>
    <t>SCREW SLOTTED CHEESE HEAD M2x4 ISO1207</t>
  </si>
  <si>
    <t>BN1061 M2x4</t>
  </si>
  <si>
    <t>SCREW-HEADLESS SLOT.F.P. M 2X 2 ALL THR</t>
  </si>
  <si>
    <t>BN664 M2x2</t>
  </si>
  <si>
    <t>Set scews uncon. slot polyamide 6.6</t>
  </si>
  <si>
    <t>BN1073 M5 x 10</t>
  </si>
  <si>
    <t>SCREW-CYL.HEAD SLOT. M 2X 8 ALL THR. ISO1207</t>
  </si>
  <si>
    <t>BN330 M2x8</t>
  </si>
  <si>
    <t>SCREW-HEADLESS HEX.F.P. M 6X 60 ALL THR ISO4026</t>
  </si>
  <si>
    <t>BN617 M6x60</t>
  </si>
  <si>
    <t>PIN-PARALLEL D= 3.00M6X 10</t>
  </si>
  <si>
    <t>BN857 3x10</t>
  </si>
  <si>
    <t>SCREW-HEX.HEAD CAP M 5X 10 ALL THR. ISO4017</t>
  </si>
  <si>
    <t>BN622 M5x10</t>
  </si>
  <si>
    <t>SPACER-HEX. M4X 20 FEMALE</t>
  </si>
  <si>
    <t>BN3319 M4x20</t>
  </si>
  <si>
    <t>SCREW-CYL.HEAD HEX. M1.6x 4 A.T. ISO 4762</t>
  </si>
  <si>
    <t>BN612 M1.6x4</t>
  </si>
  <si>
    <t>SCREW-RAISED HEAD HEX. M 6X8</t>
  </si>
  <si>
    <t>BN1593 M6x8</t>
  </si>
  <si>
    <t>BN3319 M3 x 18</t>
  </si>
  <si>
    <t>Threaded inserts, type B open, short, Brass, Plain</t>
  </si>
  <si>
    <t>BN1036, M5</t>
  </si>
  <si>
    <t>Hex stand-offs, with internal and external thread, Steel, zinc plated blue</t>
  </si>
  <si>
    <t>BN3318, M4x16</t>
  </si>
  <si>
    <t>Adjustable handles Elesa®MR.p black</t>
  </si>
  <si>
    <t>BN14189 41441 MR.63 p-M6x16</t>
  </si>
  <si>
    <t>SCREW-HEX.HEAD CAP M 4X16 ALL THR. ISO4017</t>
  </si>
  <si>
    <t>BN56 4x16</t>
  </si>
  <si>
    <t>PIN-PARALLEL D=10.00H6X 80</t>
  </si>
  <si>
    <t>BN858 10x80</t>
  </si>
  <si>
    <t>SCREW-CYL.HEAD-LOW HEX. M 5X20 A.T. DIN7984</t>
  </si>
  <si>
    <t>BN2844 M5x20</t>
  </si>
  <si>
    <t>EH 22050 stainl st ball increased</t>
  </si>
  <si>
    <t>BN3371 M5</t>
  </si>
  <si>
    <t>SCREW-CYL.HEAD HEX.M2.0X 14 ALL THR. ISO4762</t>
  </si>
  <si>
    <t>BN612 M2x14</t>
  </si>
  <si>
    <t>Hexagon socket set screws</t>
  </si>
  <si>
    <t>Halder 2270.584</t>
  </si>
  <si>
    <t>Clinching nuts PEM®SP ST ST</t>
  </si>
  <si>
    <t>SCREW-CYL.HEAD HEX.M10X 70 PART THR. ISO4762</t>
  </si>
  <si>
    <t>BN4 M10x70</t>
  </si>
  <si>
    <t>Protection plugs TL-4-000, polyethylene PE-LD white</t>
  </si>
  <si>
    <t>BN1095, TL-4-405</t>
  </si>
  <si>
    <t>SCREW,M3 X 6MM,BLK OX,FHS</t>
  </si>
  <si>
    <t>BN20 M3x6</t>
  </si>
  <si>
    <t>SCREW,M3 X 6MM,SS,FHP</t>
  </si>
  <si>
    <t>BN661 M3x6</t>
  </si>
  <si>
    <t>Fluted grip knobs</t>
  </si>
  <si>
    <t>BN 14214 6641 25 M6</t>
  </si>
  <si>
    <t>Parallel pins st hard+ground tol h6</t>
  </si>
  <si>
    <t>BN 858 M2 X 28</t>
  </si>
  <si>
    <t>BN 3319 M4 x 14</t>
  </si>
  <si>
    <t>BN 3318 M5 x 14</t>
  </si>
  <si>
    <t>Pozi flat countersunk head machine screws, form Z, stainless steel A2</t>
  </si>
  <si>
    <t>BN 82213, M2.5x5</t>
  </si>
  <si>
    <t>SCREW-CYL. HEAD HEX. M5X30 ALL THR. ISO4762</t>
  </si>
  <si>
    <t>BN 1419 M5x30</t>
  </si>
  <si>
    <t>Circlip DIN6799-1.9x0.5 Edelstahl</t>
  </si>
  <si>
    <t>DIN6799 BN679 1,9</t>
  </si>
  <si>
    <t>WASHER-FLAT 5.3X10X1 (M5) ISO7089</t>
  </si>
  <si>
    <t>SCREW-COUNT.HEAD HEX. M 3x10 A.T. A4</t>
  </si>
  <si>
    <t>BN4719 M3x10</t>
  </si>
  <si>
    <t>SCREW-COUNT.HEAD HEX. M 3x16 A.T. A4</t>
  </si>
  <si>
    <t>BN4719 M3x16</t>
  </si>
  <si>
    <t>SCREW-COUNT.HEAD HEX. M 4x10 A.T. A4</t>
  </si>
  <si>
    <t>BN4719 M4x10</t>
  </si>
  <si>
    <t>SCREW-COUNT.HEAD HEX. M 4x16 A.T. A4</t>
  </si>
  <si>
    <t>BN4719 M4x16</t>
  </si>
  <si>
    <t>SCREW-COUNT.HEAD HEX. M 5x16 A.T. A4</t>
  </si>
  <si>
    <t>BN4719 M5x16</t>
  </si>
  <si>
    <t>SCREW-COUNT.HEAD HEX. M 5x30 A.T. A4</t>
  </si>
  <si>
    <t>BN4719 M5x30</t>
  </si>
  <si>
    <t>SCREW-CYL.HEAD HEX. M 3X16 A.T. A4</t>
  </si>
  <si>
    <t>BN612 M3x16</t>
  </si>
  <si>
    <t>SCREW-CYL.HEAD HEX. M 3X20 A.T. A4</t>
  </si>
  <si>
    <t>BN612 M3x20</t>
  </si>
  <si>
    <t>SCREW-CYL.HEAD HEX. M 3X 5 A.T. A4</t>
  </si>
  <si>
    <t>BN612 M3x5</t>
  </si>
  <si>
    <t>SCREW-CYL.HEAD HEX. M 3X 6 A.T. A4</t>
  </si>
  <si>
    <t>BN612 M3x6</t>
  </si>
  <si>
    <t>SCREW-CYL.HEAD HEX. M 3X 8 A.T. A4</t>
  </si>
  <si>
    <t>BN612 M3x8</t>
  </si>
  <si>
    <t>SCREW-CYL.HEAD HEX. M 3X14 A.T. A4</t>
  </si>
  <si>
    <t>BN612 M3x14</t>
  </si>
  <si>
    <t>SCREW-CYL.HEAD HEXA. M 3X 25 PART.THR. A4</t>
  </si>
  <si>
    <t>BN613 M3x25</t>
  </si>
  <si>
    <t>SCREW-COUNT.HEAD HEX. M 8x16 A.T. A4</t>
  </si>
  <si>
    <t>BN4719 M8x16</t>
  </si>
  <si>
    <t>SCREW-COUNT.HEAD HEX. M 8x25 A.T. A4</t>
  </si>
  <si>
    <t>BN4719 M8x25</t>
  </si>
  <si>
    <t>SCREW-COUNT.HEAD HEX. M10x20 A.T. A4</t>
  </si>
  <si>
    <t>BN2105 M10x20</t>
  </si>
  <si>
    <t>SCREW-COUNT.HEAD HEX. M 4x 6 A.T. A4</t>
  </si>
  <si>
    <t>BN4719 M4x6</t>
  </si>
  <si>
    <t>SCREW-CYL.HEAD HEX. M 2X 8 A.T. A4</t>
  </si>
  <si>
    <t>BN612 M2x8</t>
  </si>
  <si>
    <t>SCREW,M5 X 8MM,LG BUTTONHEAD A4</t>
  </si>
  <si>
    <t>BN8699 M5x8</t>
  </si>
  <si>
    <t>SCREW-RAISED HEAD HEX. M 3x10 A.T. A4</t>
  </si>
  <si>
    <t>BN8699 M3x10</t>
  </si>
  <si>
    <t>Bushing Threaded M3</t>
  </si>
  <si>
    <t>BN 1936 M3</t>
  </si>
  <si>
    <t>SCREW-COUNT.HEAD SLOT. M1x3 BRASS ISO2009 A</t>
  </si>
  <si>
    <t>BN 537 M1x3</t>
  </si>
  <si>
    <t>BN1074 M2</t>
  </si>
  <si>
    <t>WASHER-SPRING-LOCK 4.1X7.6X0.9 (M4) DIN127A</t>
  </si>
  <si>
    <t>BN 759 M4</t>
  </si>
  <si>
    <t>SCREW-HEADLESS HEX.F.P. M 8X60 A.T. ISO4026</t>
  </si>
  <si>
    <t>BN 617 M8x60</t>
  </si>
  <si>
    <t>BN 427 M5 x 50</t>
  </si>
  <si>
    <t>Blind rivets Standard, dome head, Stainless steel A2</t>
  </si>
  <si>
    <t>BN 1409, SSD 43 SSBS</t>
  </si>
  <si>
    <t>SCREW-CYL.HEAD SLOT. M 2x10 ALL THR. ISO1207</t>
  </si>
  <si>
    <t>BN 1061 M2 x 10</t>
  </si>
  <si>
    <t>BN 613 M4 x 70</t>
  </si>
  <si>
    <t>SCREW-HEADLESS SLOT.F.P. M 2X 10 ALL THR</t>
  </si>
  <si>
    <t>BN427 M2 x 10</t>
  </si>
  <si>
    <t>SCREW-CYL.HEAD SLOT. M 3x10 ALL THR.</t>
  </si>
  <si>
    <t>BN 330 M3 x 10</t>
  </si>
  <si>
    <t>WASHER LOCK M3 SST</t>
  </si>
  <si>
    <t>BN 5258 M3</t>
  </si>
  <si>
    <t>SCREW M3 X 6MM SS FHS A2</t>
  </si>
  <si>
    <t>BN616 M 3 x 6</t>
  </si>
  <si>
    <t>WASHER LOCK #2 SS</t>
  </si>
  <si>
    <t>BN 672 M2</t>
  </si>
  <si>
    <t>Retaining Rings for Shafts ; 6</t>
  </si>
  <si>
    <t>BN858 M8 x 32</t>
  </si>
  <si>
    <t>BN1074 M6</t>
  </si>
  <si>
    <t>BN1073 M6 x 5</t>
  </si>
  <si>
    <t>SCREW COUNT.HEAD SLOT. M 2X8 ALL THR. ISO2009</t>
  </si>
  <si>
    <t>BN654 M2 x 8</t>
  </si>
  <si>
    <t>SCREW-CYL.HEAD HEX. M 6X 70 PART.THR. ISO4762 A</t>
  </si>
  <si>
    <t>BN4 M6 x 70</t>
  </si>
  <si>
    <t>E-RING,EXTERNAL,SS</t>
  </si>
  <si>
    <t>SETSCR,M4X6MML,18-8 SS,CUP PT</t>
  </si>
  <si>
    <t>SCREW,M10X1.5X50MM,SS,SHC</t>
  </si>
  <si>
    <t>SCREW,M2 X 4MM,FHS,SS</t>
  </si>
  <si>
    <t>SCREW,M2.5X10MM,SS,SHC</t>
  </si>
  <si>
    <t>SPACER,NYLON,M3X4MM</t>
  </si>
  <si>
    <t>SCREW,M2 X 8MM,SS,FHP</t>
  </si>
  <si>
    <t>SCREW,M6 X 14MM,FHS,SS</t>
  </si>
  <si>
    <t>SCREW,NYLON, FH440 X .4375</t>
  </si>
  <si>
    <t>SCREW,NYLON, FH440 X 0.25</t>
  </si>
  <si>
    <t>CIRCLIP FOR SHAFTS D= 8 DIN471</t>
  </si>
  <si>
    <t>BN820 8</t>
  </si>
  <si>
    <t>Weld studs ext thrd cop plt D32501-1</t>
  </si>
  <si>
    <t>BN1456 M6 x 16</t>
  </si>
  <si>
    <t>Pozi cheese hd thrd form screws znb D7500</t>
  </si>
  <si>
    <t>BN2723 M3 x 6</t>
  </si>
  <si>
    <t>BN14214 M4 x 16</t>
  </si>
  <si>
    <t>Split spr lock wash flt end mznb D127 B</t>
  </si>
  <si>
    <t>BN762 M3</t>
  </si>
  <si>
    <t>Schnorr 038600</t>
  </si>
  <si>
    <t>Disk Spring DIN 2093-14x7.2x0.8-A2</t>
  </si>
  <si>
    <t>Schnorr 039040</t>
  </si>
  <si>
    <t>SCREW-COUNT.HEAD RECESS M 2.5X 6 ALL THR ISO7046-2</t>
  </si>
  <si>
    <t>BN661 M2.5x6</t>
  </si>
  <si>
    <t>BN661 M3x5</t>
  </si>
  <si>
    <t>Sltd set scr flat point st st A1 D551</t>
  </si>
  <si>
    <t>BN664 M5 x 25</t>
  </si>
  <si>
    <t>80.0000.8461</t>
  </si>
  <si>
    <t>Special parts brass , TrisertThreadInserts, brass, plain</t>
  </si>
  <si>
    <t>KVT 145M2</t>
  </si>
  <si>
    <t>T1120055</t>
  </si>
  <si>
    <t>WASHER-SHIM-RING 10X22X0.2 DIN988</t>
  </si>
  <si>
    <t>BN748 10x22x0.2</t>
  </si>
  <si>
    <t>Cross rec flat screws Phil st st A2 D965 A M3 x 4</t>
  </si>
  <si>
    <t>BN661 M3 x 4</t>
  </si>
  <si>
    <t>Ripped lock washer type S st st A2</t>
  </si>
  <si>
    <t>BN20041 M12</t>
  </si>
  <si>
    <t>NUT-HEX 0.5D M4 ISO4035</t>
  </si>
  <si>
    <t>BN630 M4</t>
  </si>
  <si>
    <t>CIRCLIP FOR SHAFTS D= 8 DIN6799</t>
  </si>
  <si>
    <t>80.0000.0175</t>
  </si>
  <si>
    <t>Spacer (M4 x50)</t>
  </si>
  <si>
    <t>SCREW-CYL.HEAD-LOW HEX. M 8 X 25 A.T. DIN7984</t>
  </si>
  <si>
    <t>BN17 M8x25</t>
  </si>
  <si>
    <t>SSK43SSBS -  Stainless Countersunk Head POP® rivets</t>
  </si>
  <si>
    <t xml:space="preserve">SSK 43 SSBS </t>
  </si>
  <si>
    <t>Ret ring for bore stand design st D472</t>
  </si>
  <si>
    <t>BN 822 28</t>
  </si>
  <si>
    <t>SS Ø 1.0 X 4</t>
  </si>
  <si>
    <t>BN684 1 x 4</t>
  </si>
  <si>
    <t>Slott pan hd mach screws st 4.8 znb D85 A</t>
  </si>
  <si>
    <t>BN344 M3 x 5</t>
  </si>
  <si>
    <t>Sltd flat hd mach scr st 4.8 znb D963 A</t>
  </si>
  <si>
    <t>BN357 M3 X 6</t>
  </si>
  <si>
    <t>80.0001.1423</t>
  </si>
  <si>
    <t>snap ring DIN 471-12x1-A2</t>
  </si>
  <si>
    <t>BN682 12</t>
  </si>
  <si>
    <t>80.0000.8612</t>
  </si>
  <si>
    <t>countersunk screw DIN 963-M2x10-brass</t>
  </si>
  <si>
    <t>BN537 M2 x 10</t>
  </si>
  <si>
    <t>80.0000.2653</t>
  </si>
  <si>
    <t>SCREW-CYL.HEAD SLOT. M 2.5X16 ALL THR. ISO1207</t>
  </si>
  <si>
    <t>BN532 M2.5 x 16</t>
  </si>
  <si>
    <t>80.0001.0294</t>
  </si>
  <si>
    <t>Handle (OPI Unit)</t>
  </si>
  <si>
    <t>Elesa GN 300-63-M6-SW</t>
  </si>
  <si>
    <t>80.0001.0463</t>
  </si>
  <si>
    <t>spring pin DIN 1481-6 x16 A2</t>
  </si>
  <si>
    <t>BN337 6x16</t>
  </si>
  <si>
    <t>BN223, 12x25x3</t>
  </si>
  <si>
    <t>SCREW-CYL.HEAD HEX.M12X 30 ALL.THR. ISO4762</t>
  </si>
  <si>
    <t>BN7 M12x30</t>
  </si>
  <si>
    <t>SCREW-HEADLESS HEX.F.P. M10x25 A.T. ISO4026</t>
  </si>
  <si>
    <t>BN617 M10X25</t>
  </si>
  <si>
    <t>80.0001.2681</t>
  </si>
  <si>
    <t>Screw DIN 84  M1X8 BRASS</t>
  </si>
  <si>
    <t>BN532 M1x8</t>
  </si>
  <si>
    <t>Hex nuts ~0,8d st st A2 D934</t>
  </si>
  <si>
    <t>BN628, M2.5</t>
  </si>
  <si>
    <t>RIBBED LOCK WASHER TYPE S M3</t>
  </si>
  <si>
    <t>BN20041 M3</t>
  </si>
  <si>
    <t>Spacer M4x50</t>
  </si>
  <si>
    <t>BN 3318 M4x50</t>
  </si>
  <si>
    <t>Threaded Insert M4x6</t>
  </si>
  <si>
    <t>Kerb Konus 307 000 040.160 (BN905)</t>
  </si>
  <si>
    <t>SCREW-RAISED HEAD HEX. M2X5 ALL THR. ISO7380-1</t>
  </si>
  <si>
    <t>BN19 M2x5</t>
  </si>
  <si>
    <t>BN19 M3x4</t>
  </si>
  <si>
    <t>WASHER-COUNT.HEAD 8.4X25X4.8</t>
  </si>
  <si>
    <t>BN1277 M8</t>
  </si>
  <si>
    <t>PEM CLS-M4-2</t>
  </si>
  <si>
    <t>PEM CLS-M3-1</t>
  </si>
  <si>
    <t>Hoffman 20110-105</t>
  </si>
  <si>
    <t>SCREW SOCKET HEAD CAP HEX.T.P.M5X25 A.T</t>
  </si>
  <si>
    <t>BN1350 M5x25</t>
  </si>
  <si>
    <t>SCREW SOCKET HEAD CAP HEX.T.P.M5X30 P.T</t>
  </si>
  <si>
    <t>BN1350 M5x30</t>
  </si>
  <si>
    <t>TAMPER PROOF HEX SOCKET KEYS S4</t>
  </si>
  <si>
    <t>BN6972, 4</t>
  </si>
  <si>
    <t>80.0001.1510</t>
  </si>
  <si>
    <t>Kerb Konus Mubux-A M5</t>
  </si>
  <si>
    <t>Kerb Konus 850 000 050.800</t>
  </si>
  <si>
    <t>Serrated lock washers, type A, external serrations, Spring steel 350-425 HV, zinc plated blue</t>
  </si>
  <si>
    <t>BN781 M10</t>
  </si>
  <si>
    <t>Hex socket button head cap screws, partially / fully threaded, Steel 010.9 Black</t>
  </si>
  <si>
    <t>BN19 M4x6</t>
  </si>
  <si>
    <t>NUT-HEX. 0.8D M 2 ISO4032</t>
  </si>
  <si>
    <t>SCREW-COUNT.HEAD RECESS M 2.5X 20 ALL THR ISO7046-</t>
  </si>
  <si>
    <t>BN661 M2.5x20</t>
  </si>
  <si>
    <t>SCREW-COUNT.HEAD RECESS M 2.5X 16 ALL THR ISO7046-</t>
  </si>
  <si>
    <t>BN661 M2.5x16</t>
  </si>
  <si>
    <t>SCREW-COUNT.HEAD RECESS M1,6x 3 ALL THR ISO7046-2</t>
  </si>
  <si>
    <t>BN661 M1.6x3</t>
  </si>
  <si>
    <t>BN661 M3x35</t>
  </si>
  <si>
    <t>SCREW-COUNT.HEAD RECESS M1,6x 4 ALL THR ISO7046-2</t>
  </si>
  <si>
    <t>BN661 M1.6x4</t>
  </si>
  <si>
    <t>SCREW-COUNT.HEAD RECESS M1,6x 5 ALL THR ISO7046-2</t>
  </si>
  <si>
    <t>BN661 M1.6x5</t>
  </si>
  <si>
    <t>SCREW-COUNT.HEAD RECESS M2x10 ALL THR ISO7046-2</t>
  </si>
  <si>
    <t>BN661 M2x10</t>
  </si>
  <si>
    <t>SCREW-COUNT.HEAD RECESS M1,6x 6 ALL THR ISO7046-2</t>
  </si>
  <si>
    <t>BN661 M1.6x6</t>
  </si>
  <si>
    <t>SCREW-COUNT.HEAD RECESS M1,6x10 ALL THR ISO7046-2</t>
  </si>
  <si>
    <t>BN661 M1.6x10</t>
  </si>
  <si>
    <t>SCREW-COUNT.HEAD RECESS M2x16 ALL THR ISO7046-2</t>
  </si>
  <si>
    <t>BN661 M2x16</t>
  </si>
  <si>
    <t>SCREW-COUNT.HEAD RECESS M 2X 3 ALL THR. ISO7046-2</t>
  </si>
  <si>
    <t>BN661 M2x3</t>
  </si>
  <si>
    <t>SCREW-COUNT.HEAD RECESS M 3X 16 ALL THR ISO7046-2</t>
  </si>
  <si>
    <t>BN661 M3x16</t>
  </si>
  <si>
    <t>SCREW-COUNT.HEAD RECESS M 3X 20 ALL THR ISO7046-2</t>
  </si>
  <si>
    <t>BN661 M3x20</t>
  </si>
  <si>
    <t>SCREW-COUNT.HEAD RECESS M 2.5X 4 ALL THR ISO7046-2</t>
  </si>
  <si>
    <t>BN661 M2.5x4</t>
  </si>
  <si>
    <t>SCREW-COUNT.HEAD RECESS M 3X 12 ALL THR ISO7046-2</t>
  </si>
  <si>
    <t>BN661 M3x12</t>
  </si>
  <si>
    <t>SCREW-COUNT.HEAD RECESS M 3X 25 ALL THR ISO7046-2</t>
  </si>
  <si>
    <t>BN661 M3x25</t>
  </si>
  <si>
    <t>SCREW-COUNT.HEAD RECESS M 2.5X 12 ALL THR ISO7046-</t>
  </si>
  <si>
    <t>BN661 M2.5x12</t>
  </si>
  <si>
    <t>SCREW-COUNT.HEAD RECESS M2x12 ALL THR ISO7046-2</t>
  </si>
  <si>
    <t>BN661 M2x12</t>
  </si>
  <si>
    <t>SCREW-COUNT.HEAD RECESS M1,6x 8 ALL THR ISO7046-2</t>
  </si>
  <si>
    <t>BN661 M1.6x8</t>
  </si>
  <si>
    <t>SCREW-COUNT.HEAD RECESS M1,6x12 ALL THR ISO7046-2</t>
  </si>
  <si>
    <t>BN661 M1.6x12</t>
  </si>
  <si>
    <t>SCREW-COUNT.HEAD RECESS M2x 5 ALL THR ISO7046-2</t>
  </si>
  <si>
    <t>BN661 M2x5</t>
  </si>
  <si>
    <t>SCREW-COUNT.HEAD RECESS M1,6x16 ALL THR ISO7046-2</t>
  </si>
  <si>
    <t>BN661 M1.6x16</t>
  </si>
  <si>
    <t>SCREW-COUNT.HEAD RECESS M 2.5X 5 ALL THR ISO7046-2</t>
  </si>
  <si>
    <t>BN661 M2.5x5</t>
  </si>
  <si>
    <t>SCREW-COUNT.HEAD RECESS M1,6x 2 ALL THR ISO7046-2</t>
  </si>
  <si>
    <t>BN661 M1.6x2</t>
  </si>
  <si>
    <t>Insert nut KALEI M4</t>
  </si>
  <si>
    <t>BN640 M4</t>
  </si>
  <si>
    <t>CLS M3-2</t>
  </si>
  <si>
    <t>80.0000.3022</t>
  </si>
  <si>
    <t>Hex self clinching bushes st st A1</t>
  </si>
  <si>
    <t>BN 640 M 3 h1 = 0,9</t>
  </si>
  <si>
    <t>T1120018</t>
  </si>
  <si>
    <t>WASHER SCHNORR 3.2X8X0.2 DIN2093</t>
  </si>
  <si>
    <t>SCHNORR DIN2093 3.2X8X0.2</t>
  </si>
  <si>
    <t>SCREW-HEADLESS HEX.C.P. M 3X 8 ALL THR. ISO4027</t>
  </si>
  <si>
    <t>BN618 M3x8</t>
  </si>
  <si>
    <t>SCREW-HEADLESS HEX.C.P. M 8X16 ALL THR. ISO4027</t>
  </si>
  <si>
    <t>BN618 M8x16</t>
  </si>
  <si>
    <t>SCREW-HEADLESS HEX.C.P. M 4X 5 ALL THR. ISO4027</t>
  </si>
  <si>
    <t>BN618 M4x5</t>
  </si>
  <si>
    <t>SCREW-HEADLESS HEX.C.P. M 4X16 ALL THR. ISO4027</t>
  </si>
  <si>
    <t>BN618 M4x16</t>
  </si>
  <si>
    <t>SCREW-HEADLESS HEX.C.P. M 4X 8 ALL THR. ISO4027</t>
  </si>
  <si>
    <t>BN618 M4x8</t>
  </si>
  <si>
    <t>80.0000.8593</t>
  </si>
  <si>
    <t>SCREW-CYL.HEAD SLOT. M1.6X 6 ALL THR</t>
  </si>
  <si>
    <t>BN532 M1.6x6</t>
  </si>
  <si>
    <t>80.0000.8322</t>
  </si>
  <si>
    <t>Countersunk screw DIN 963-M2,5x10-brass</t>
  </si>
  <si>
    <t>BN537 M2.5 x 10</t>
  </si>
  <si>
    <t>80.0000.8324</t>
  </si>
  <si>
    <t>Countersunk screw DIN 963-M3x14-brass</t>
  </si>
  <si>
    <t>BN537 M3 x 14</t>
  </si>
  <si>
    <t>80.0000.9004</t>
  </si>
  <si>
    <t>SCREW-CYL.HEAD SLOT. M 2.5X10 ALL THR. ISO1207</t>
  </si>
  <si>
    <t>BN532 M2.5x10</t>
  </si>
  <si>
    <t>SCREW-HEADLESS HEX.C.P. M 3X 6 ALL THR. ISO4027</t>
  </si>
  <si>
    <t>BN618 M3x6</t>
  </si>
  <si>
    <t>Kerbkonus 308 000 030.160</t>
  </si>
  <si>
    <t>Nut DIN 439-M16x1,5-A2</t>
  </si>
  <si>
    <t>BN20015 M16x1,5</t>
  </si>
  <si>
    <t>SPACER-HEX. M4X 45 FEMALE</t>
  </si>
  <si>
    <t>BN3319 M4x45</t>
  </si>
  <si>
    <t>BN661 M2.5x8</t>
  </si>
  <si>
    <t>80.0001.0156</t>
  </si>
  <si>
    <t>Cable Fixing</t>
  </si>
  <si>
    <t>Panduit FCC-A-C8</t>
  </si>
  <si>
    <t>SCREW-COUNT.HEAD RECESS M 4X 25 ALL THR ISO7046-2</t>
  </si>
  <si>
    <t>BN661 M4x25</t>
  </si>
  <si>
    <t>SCREW-COUNT.HEAD RECESS M 4X 12 ALL THR ISO7046-2</t>
  </si>
  <si>
    <t>BN661 M4x12</t>
  </si>
  <si>
    <t>BN661 M4 x 8</t>
  </si>
  <si>
    <t>SCREW-COUNT.HEAD RECESS M 4X 6 ALL THR ISO7046-2</t>
  </si>
  <si>
    <t>BN661 M4x6</t>
  </si>
  <si>
    <t>Hex stand-offs with internal thread on both sides, brass nickel</t>
  </si>
  <si>
    <t>BN3320 M4x8</t>
  </si>
  <si>
    <t>SCREW-COUNT.HEAD RECESS M 5X 20 ALL THR ISO7046-2</t>
  </si>
  <si>
    <t>BN661 M5x20</t>
  </si>
  <si>
    <t>BN1356 M8 / 8, 4/24/2</t>
  </si>
  <si>
    <t>BN2844 M3x16</t>
  </si>
  <si>
    <t>Handle SO 3000 S8 comp</t>
  </si>
  <si>
    <t>Threaded Insert M2.5 x 3.75</t>
  </si>
  <si>
    <t>KVT 103 497</t>
  </si>
  <si>
    <t>PIN-PARELLEL D = 8.00M6X 28</t>
  </si>
  <si>
    <t>BN857 8x28</t>
  </si>
  <si>
    <t>BN618 2X4</t>
  </si>
  <si>
    <t>80.0000.2015</t>
  </si>
  <si>
    <t>Snap Ring DIN 471-20x1.2-spring steel</t>
  </si>
  <si>
    <t>BN20013 20</t>
  </si>
  <si>
    <t>SCR,8-32 X 1.0" SS SHC</t>
  </si>
  <si>
    <t>BN48191 #8-32 x 1</t>
  </si>
  <si>
    <t>SCREW,8-32 X 5/8" SS SHC</t>
  </si>
  <si>
    <t>BN48191 #8-32 x 5/8</t>
  </si>
  <si>
    <t>SCREW,10-32 X ¼” SS PHP</t>
  </si>
  <si>
    <t>BN48207 #10-32 x 1/4</t>
  </si>
  <si>
    <t>80.0001.1047</t>
  </si>
  <si>
    <t>SCREW-CYL.HEAD SLOT. M 2.5X 4 ALL THR. ISO1207</t>
  </si>
  <si>
    <t>BN532 2.5x4</t>
  </si>
  <si>
    <t>SCREW-CYL.HEAD SLOT. M 2.5X 6 ALL THR. ISO1207</t>
  </si>
  <si>
    <t>BN532 2.5x6</t>
  </si>
  <si>
    <t>SCREW-HEADLESS HEX F.P. M 8X12 A.T. ISO4026</t>
  </si>
  <si>
    <t>BN617 M8x12</t>
  </si>
  <si>
    <t>80.0001.1462</t>
  </si>
  <si>
    <t>Ensat SB M3x4 (MS)</t>
  </si>
  <si>
    <t>KKV 307.000.030.800</t>
  </si>
  <si>
    <t>MVD6325.047</t>
  </si>
  <si>
    <t>MVD6325.050</t>
  </si>
  <si>
    <t>MVD6799.001</t>
  </si>
  <si>
    <t>MVD912.052</t>
  </si>
  <si>
    <t>MVG.131</t>
  </si>
  <si>
    <t>KVT 300113407 073-M3</t>
  </si>
  <si>
    <t>MVD965.016</t>
  </si>
  <si>
    <t>SPACER-HEX. M6X 30 FEMALE</t>
  </si>
  <si>
    <t>BN3319 M6x30</t>
  </si>
  <si>
    <t>CAPS-COVER-HEX-M6 BLACK</t>
  </si>
  <si>
    <t>BN1094 M6</t>
  </si>
  <si>
    <t>BOLT-THREADED M6x50 ZP</t>
  </si>
  <si>
    <t>BN1391 M6x50</t>
  </si>
  <si>
    <t>80.0001.1973</t>
  </si>
  <si>
    <t>Sealing Ring Copper DIN 7603 A - 10x13,5</t>
  </si>
  <si>
    <t>BN447 10x13,5</t>
  </si>
  <si>
    <t>SCREW-COUNT.HEAD RECESS M 4X 14 ALL THR ISO7046-2</t>
  </si>
  <si>
    <t>NUT-HEX. 0.5D M 2 ISO4035</t>
  </si>
  <si>
    <t>Cover-protect. hex.sock. S 5</t>
  </si>
  <si>
    <t>BN1064 S5</t>
  </si>
  <si>
    <t>Circlip for bores d=12 ss</t>
  </si>
  <si>
    <t>DIN472 Inox</t>
  </si>
  <si>
    <t>Screw-h.l. hex.sock. M 2.5x  3 all thr. ss A2</t>
  </si>
  <si>
    <t>DIN913 Inox A2</t>
  </si>
  <si>
    <t>Pin-parallel d= 3.00h8x  8 ss A1</t>
  </si>
  <si>
    <t>~DIN7 Inox A1</t>
  </si>
  <si>
    <t>4-40 x 3/8 SS PAN HD PHILLIPS</t>
  </si>
  <si>
    <t>BN48210 4-40x3/8</t>
  </si>
  <si>
    <t>6-32 x 3/8 SS SHC</t>
  </si>
  <si>
    <t>BN48191 6-32x3/8</t>
  </si>
  <si>
    <t>SCREW-CYL.HEAD HEX. M 8X18 ALL THR. ISO4762</t>
  </si>
  <si>
    <t>BN3 M8x18</t>
  </si>
  <si>
    <t>80.0001.1528</t>
  </si>
  <si>
    <t>SCREW-CYL.HEAD SLOT. M 1.6X 3 ALL THR. ISO1207</t>
  </si>
  <si>
    <t>BN532 M1.6x3</t>
  </si>
  <si>
    <t>80.0000.8619</t>
  </si>
  <si>
    <t>SCREW-CYL.HEAD SLOT. M 1.6X 4 ALL THR. ISO1207</t>
  </si>
  <si>
    <t>BN532 M1.6x4</t>
  </si>
  <si>
    <t>80.0000.8380</t>
  </si>
  <si>
    <t>SCREW-CYL.HEAD SLOT. M 1.6X 8 ALL THR. ISO1207</t>
  </si>
  <si>
    <t>BN532 M1.6x8</t>
  </si>
  <si>
    <t>80.0000.8568</t>
  </si>
  <si>
    <t>SCREW-CYL.HEAD SLOT. M 2X 3 ALL THR. ISO1207</t>
  </si>
  <si>
    <t>BN532 M2x3</t>
  </si>
  <si>
    <t>80.0000.8599</t>
  </si>
  <si>
    <t>screw DIN 84-M2x14-brass</t>
  </si>
  <si>
    <t>BN532 M2x14</t>
  </si>
  <si>
    <t>Screw DIN84 - M2x16 brass</t>
  </si>
  <si>
    <t>BN532 M2x16</t>
  </si>
  <si>
    <t>80.0001.0957</t>
  </si>
  <si>
    <t>SCREW-CYL.HEAD SLOT. M 2.5X12ALL THR. ISO1207</t>
  </si>
  <si>
    <t>BN532 M2.5x12</t>
  </si>
  <si>
    <t>80.0000.8316</t>
  </si>
  <si>
    <t>screw DIN 84-M2,5x14-brass</t>
  </si>
  <si>
    <t>BN532 M2.5x14</t>
  </si>
  <si>
    <t>80.0000.8610</t>
  </si>
  <si>
    <t>SCREW-CYL.HEAD SLOT. M 3X 4 ALL THR. ISO1207</t>
  </si>
  <si>
    <t>BN532 M3x4</t>
  </si>
  <si>
    <t>80.0000.8603</t>
  </si>
  <si>
    <t>screw DIN 84-M3x14-brass</t>
  </si>
  <si>
    <t>BN532 M3x14</t>
  </si>
  <si>
    <t>80.0001.1531</t>
  </si>
  <si>
    <t>SCREW-CYL.HEAD SLOT. M 3X16 ALL THR. ISO1207</t>
  </si>
  <si>
    <t>BN532 M3x16</t>
  </si>
  <si>
    <t>80.0001.1055</t>
  </si>
  <si>
    <t>SCREW-CYL.HEAD SLOT. M 1.6X 10 ALL THR. ISO1207</t>
  </si>
  <si>
    <t>BN532 M1.6x10</t>
  </si>
  <si>
    <t>BUTTON HEAD CAP SCREW WITH CENTER PIN M4 x 8</t>
  </si>
  <si>
    <t>BN33021 M4x8</t>
  </si>
  <si>
    <t>BUTTON HEAD CAP SCREW WITH CENTER PIN M4 x 10</t>
  </si>
  <si>
    <t>BN33021 M4x10</t>
  </si>
  <si>
    <t>SCREW DRIVER BITS 1/4" WITH HOLE T20 x 25</t>
  </si>
  <si>
    <t>BN33062 TX20</t>
  </si>
  <si>
    <t>BUTTON HEAD CAP SCREW WITH CENTER PIN M4 x 12</t>
  </si>
  <si>
    <t>BN33021 M4x12</t>
  </si>
  <si>
    <t>ADAX DIN 1.3505</t>
  </si>
  <si>
    <t xml:space="preserve">PIN-PARALLEL D= 2.00X5 </t>
  </si>
  <si>
    <t xml:space="preserve">BN684 </t>
  </si>
  <si>
    <t>80.0000.8313</t>
  </si>
  <si>
    <t>SCREW-COUNT.HEAD SLOT. M2.5x8 BRASS ISO2009</t>
  </si>
  <si>
    <t>BN537</t>
  </si>
  <si>
    <t>BN650 M2x3</t>
  </si>
  <si>
    <t>80.0001.2484</t>
  </si>
  <si>
    <t>Self-tapping screw DIN 7981 A2 4.8x9.5</t>
  </si>
  <si>
    <t>BN695 ST 4,8 x 9,5</t>
  </si>
  <si>
    <t>80.0000.0870</t>
  </si>
  <si>
    <t>Parallel key DIN 6885-A3x3x12-1.4571</t>
  </si>
  <si>
    <t>BN 870 3x3x12</t>
  </si>
  <si>
    <t>80.0000.8742</t>
  </si>
  <si>
    <t>Spacer (M4x8)</t>
  </si>
  <si>
    <t>BN3318 M4x8</t>
  </si>
  <si>
    <t>PIN-PARALLEL ISO8734-C1 2m6 X 5</t>
  </si>
  <si>
    <t>BN857 M2m6x5</t>
  </si>
  <si>
    <t>SCREW-CYL.HEAD HEX. M 12X 35 ALL THR. ISO4762</t>
  </si>
  <si>
    <t>BN3 M12x35</t>
  </si>
  <si>
    <t>T1120184</t>
  </si>
  <si>
    <t>WASHER-SCHNORR  4.2x 10x0.4</t>
  </si>
  <si>
    <t>Schnorr 001 100</t>
  </si>
  <si>
    <t>KERBKONUS 709.000.030.500</t>
  </si>
  <si>
    <t>80.0000.8309</t>
  </si>
  <si>
    <t>slotted head screw DIN 84-M1x6-brass</t>
  </si>
  <si>
    <t>Bossard 1159739</t>
  </si>
  <si>
    <t>80.0000.8529</t>
  </si>
  <si>
    <t>Screw DIN 963- M1x4-brass</t>
  </si>
  <si>
    <t>Bossard 1160516</t>
  </si>
  <si>
    <t>BN 3 M8x12</t>
  </si>
  <si>
    <t>BN 63 M5x25</t>
  </si>
  <si>
    <t>PIN-PARALLEL D= 6.00H8X 50 ISO2338</t>
  </si>
  <si>
    <t>BN684 6x50</t>
  </si>
  <si>
    <t>PIN-PARALLEL D= 5.00H8X 30</t>
  </si>
  <si>
    <t>BN684 5x30</t>
  </si>
  <si>
    <t>SCREW-ULTRA-LOW HEAD HEX. M 5X 10 A.T. BN1206</t>
  </si>
  <si>
    <t>PENN ENGINEERING , SO4-M3-6</t>
  </si>
  <si>
    <t>SO4-M3-6</t>
  </si>
  <si>
    <t>PENN ENGINEERING , CLSS-M5-1</t>
  </si>
  <si>
    <t>Hex stand-offs int/ext thrd st znb, M5x50</t>
  </si>
  <si>
    <t>BN 3318, M5x50</t>
  </si>
  <si>
    <t>Hex stand-offs int/ext thrd st znb, M5x25</t>
  </si>
  <si>
    <t>BN3318, M5x25</t>
  </si>
  <si>
    <t>80.0000.8213</t>
  </si>
  <si>
    <t>KVT Tappex Trisert 136-M2</t>
  </si>
  <si>
    <t>136-M2</t>
  </si>
  <si>
    <t>80.0000.8217</t>
  </si>
  <si>
    <t>Tappex - Thread insert Trisert 145M2,5</t>
  </si>
  <si>
    <t>KVT 145M2.5</t>
  </si>
  <si>
    <t>SCREW-COUNT.HEAD SLOT. M1.6x8 BRASS ISO2009</t>
  </si>
  <si>
    <t>BN 537 M1.6x8</t>
  </si>
  <si>
    <t>80.0000.9136</t>
  </si>
  <si>
    <t>SCREW-CYL.HEAD SLOT. M 2.5X20 ALL THR. ISO1207</t>
  </si>
  <si>
    <t>BN 532 M2.5x20</t>
  </si>
  <si>
    <t>WASHER SERRATED DIN6798A</t>
  </si>
  <si>
    <t>BN 675 M4</t>
  </si>
  <si>
    <t>BUTTON HEAD CAP SCREW WITH CENTER PIN M4 x 25</t>
  </si>
  <si>
    <t>BN 6971 M4x25</t>
  </si>
  <si>
    <t>80.0000.8692</t>
  </si>
  <si>
    <t>SCREW-CYL.HEAD SLOT. M 2X25 ALL THR. ISO1207</t>
  </si>
  <si>
    <t>BN 532 M2x25</t>
  </si>
  <si>
    <t>Screw DIN84 - M4x12 brass</t>
  </si>
  <si>
    <t>BN 532 M4x12</t>
  </si>
  <si>
    <t>80.0000.0218</t>
  </si>
  <si>
    <t>SCREW-CYL.HEAD SLOT. M 2.5X25 ALL THR. ISO1207</t>
  </si>
  <si>
    <t>BN 532 M2.5x25</t>
  </si>
  <si>
    <t>80.0000.8430</t>
  </si>
  <si>
    <t>SCREW-CYL.HEAD SLOT. M 4X 6 ALL THR. ISO1207</t>
  </si>
  <si>
    <t>BN 532 M4x6</t>
  </si>
  <si>
    <t>80.0000.9326</t>
  </si>
  <si>
    <t>SCREW-CYL.HEAD SLOT. M 2X20 ALL THR. ISO1207</t>
  </si>
  <si>
    <t>BN 532 M2x20</t>
  </si>
  <si>
    <t>80.0000.8596</t>
  </si>
  <si>
    <t>screw DIN 84-M3x30-brass</t>
  </si>
  <si>
    <t>BN 532 M3x30</t>
  </si>
  <si>
    <t>80.0000.8646</t>
  </si>
  <si>
    <t>slotted head screw DIN 84-M4x8-brass</t>
  </si>
  <si>
    <t>BN 532 M4x8</t>
  </si>
  <si>
    <t>80.0000.9513</t>
  </si>
  <si>
    <t>slotted head screw DIN 84-M4x25-brass</t>
  </si>
  <si>
    <t>BN 532 M4x25</t>
  </si>
  <si>
    <t>SCREW-HEADLESS HEX .F.P. M8x70 A.T. ISO4026</t>
  </si>
  <si>
    <t>BN 617 M8x70</t>
  </si>
  <si>
    <t>SCREW-KNURLED-HEAD HIGH M 3X12</t>
  </si>
  <si>
    <t>BN1452 M3x12</t>
  </si>
  <si>
    <t>80.0000.8602</t>
  </si>
  <si>
    <t>SCREW-CYL.HEAD SLOT. M 2.5X 3 ALL THR. ISO1207</t>
  </si>
  <si>
    <t>BN 532 M2.5x3</t>
  </si>
  <si>
    <t>80.0000.8648</t>
  </si>
  <si>
    <t>SCREW-CYL.HEAD SLOT. M 6X 16 ALL THR. ISO1207</t>
  </si>
  <si>
    <t>BN 532 M6x16</t>
  </si>
  <si>
    <t>80.0000.2557</t>
  </si>
  <si>
    <t>SCREW-CYL.HEAD SLOT. M 6X 50 ALL THR. ISO1207</t>
  </si>
  <si>
    <t>BN 532 M6x50</t>
  </si>
  <si>
    <t>80.0000.2562</t>
  </si>
  <si>
    <t>SCREW-CYL.HEAD SLOT. M 6X 25 ALL THR. ISO1207</t>
  </si>
  <si>
    <t>BN 532 M6x25</t>
  </si>
  <si>
    <t>80.0000.2568</t>
  </si>
  <si>
    <t>SCREW-CYL.HEAD SLOT. M 5X 12 ALL THR. ISO1207</t>
  </si>
  <si>
    <t>BN 532 M5x12</t>
  </si>
  <si>
    <t>80.0000.8647</t>
  </si>
  <si>
    <t>SCREW-CYL.HEAD SLOT. M 6X 10 ALL THR. ISO1207</t>
  </si>
  <si>
    <t>BN 532 M6x10</t>
  </si>
  <si>
    <t>80.0000.2563</t>
  </si>
  <si>
    <t>SCREW-CYL.HEAD SLOT. M 4X 16 ALL THR. ISO1207</t>
  </si>
  <si>
    <t>BN 532 M4x16</t>
  </si>
  <si>
    <t>BUTTON HEAD CAP SCREW WITH CENTER PIN M5 X 10</t>
  </si>
  <si>
    <t>BN 33021 M5x10</t>
  </si>
  <si>
    <t>BUTTON HEAD CAP SCREW WITH CENTER PIN M5 X 16</t>
  </si>
  <si>
    <t>BN 33021 M5x16</t>
  </si>
  <si>
    <t>LUG,RING,UNINS,26-22AWG,#4</t>
  </si>
  <si>
    <t>Panduit P22-4R-C</t>
  </si>
  <si>
    <t>Comptec Case 4U 500D</t>
  </si>
  <si>
    <t>Hoffman 19" 4U Grey</t>
  </si>
  <si>
    <t>SCREW-ULTRA-LOW HEAD HEX. M 2X 8 A.T. BN1206</t>
  </si>
  <si>
    <t>BN1206 M2x8</t>
  </si>
  <si>
    <t>20-60517-1</t>
  </si>
  <si>
    <t>SOC HD CAP SCREW M4X12 ALLOY STEEL[09B5]</t>
  </si>
  <si>
    <t>BN7 M4x12</t>
  </si>
  <si>
    <t>HOLE PLUG PLASTIC D=8</t>
  </si>
  <si>
    <t>HEYCO SP 312 1678</t>
  </si>
  <si>
    <t>HOLE PLUG PLASTIC D=10</t>
  </si>
  <si>
    <t>HEYCO SP 390 1708</t>
  </si>
  <si>
    <t>SCREW-HEADLESS HEX.F.P. M 3X 4 A.T. ISO4026</t>
  </si>
  <si>
    <t>80.0000.8173</t>
  </si>
  <si>
    <t>countersunk screw DIN 963-M2x12-brass</t>
  </si>
  <si>
    <t>BN 14137 66471</t>
  </si>
  <si>
    <t>WASHER-DISC-SPRING 5.2X10X0.25 (M5) DIN2093</t>
  </si>
  <si>
    <t>BN 1375 5.2x10x0.25</t>
  </si>
  <si>
    <t>RING-STOP FOR SHAFTS D= 4 DIN7993A</t>
  </si>
  <si>
    <t>BN825 4</t>
  </si>
  <si>
    <t>Southco P/N: D3-336-400-190</t>
  </si>
  <si>
    <t>MVP.198</t>
  </si>
  <si>
    <t>PANEX SIDE MOUNT</t>
  </si>
  <si>
    <t>Southco P/N: D8-336-310-121</t>
  </si>
  <si>
    <t>SCREW-CYL.HEAD HEX. M 6X 35 PART.THR. ISO4762</t>
  </si>
  <si>
    <t>80.0001.1305</t>
  </si>
  <si>
    <t>Nut DIN 934-M24-A2</t>
  </si>
  <si>
    <t>MBG.061</t>
  </si>
  <si>
    <t>Bow Grip</t>
  </si>
  <si>
    <t>Elesa GN 427-12-88-EL</t>
  </si>
  <si>
    <t>SPACER-HEX. M2.5X8 M/F</t>
  </si>
  <si>
    <t>BN3318 M2.5x8</t>
  </si>
  <si>
    <t>SPACER-HEX M2.5X6 F/F</t>
  </si>
  <si>
    <t>BN3319 M2.5x6</t>
  </si>
  <si>
    <t>80.0001.1990</t>
  </si>
  <si>
    <t>SPACER M5X8</t>
  </si>
  <si>
    <t>BN3319 M5x8</t>
  </si>
  <si>
    <t>SCREW-HEADLESS HEX.F.P. M 4X35 A.T. ISO4026</t>
  </si>
  <si>
    <t>BN617 M4x35</t>
  </si>
  <si>
    <t>SCREW-HEADLESS HEX.F.P. M 8X25 A.T. ISO4026</t>
  </si>
  <si>
    <t>BN617 M8x25</t>
  </si>
  <si>
    <t>CLS-M5-2</t>
  </si>
  <si>
    <t>WASHER-FLAT 3.2X9X0.8 (M3) ISO7093</t>
  </si>
  <si>
    <t>BN1075 M3</t>
  </si>
  <si>
    <t>80.0000.9021</t>
  </si>
  <si>
    <t>PEM CLS-M2,5-1</t>
  </si>
  <si>
    <t>CLS-M2,5-1</t>
  </si>
  <si>
    <t>SCREW-RAISED HEAD HEX. M 2,5X 6 A.T. ISO7380-1</t>
  </si>
  <si>
    <t>BN8699 M2,5x6</t>
  </si>
  <si>
    <t>TYRAP 12" STD</t>
  </si>
  <si>
    <t>Panduit PLT3s-C</t>
  </si>
  <si>
    <t>80.0000.9020</t>
  </si>
  <si>
    <t>BN3319 M3x8</t>
  </si>
  <si>
    <t>IONIZER FAN &amp; CONTROLLER</t>
  </si>
  <si>
    <t>135F020  SJ-F020</t>
  </si>
  <si>
    <t>AMPLIFIER-PHOTO-ELECTRIC PNP MASTER M8</t>
  </si>
  <si>
    <t>AMPLIFIER-PHOTO-ELECT. NEO SLAVE M8</t>
  </si>
  <si>
    <t>FS-N12CP</t>
  </si>
  <si>
    <t>AMPLIFIER-PHOTO-ELECT. NEO SLAVE</t>
  </si>
  <si>
    <t>AMPLIFIER-PHOTO-ELECT. NEO MASTER</t>
  </si>
  <si>
    <t>AMPLIFIER-PHOTO 12-24VDC</t>
  </si>
  <si>
    <t>SENSOR-PHOTO WITH FIBER FU-65X</t>
  </si>
  <si>
    <t>FU-65X</t>
  </si>
  <si>
    <t>HEAD-SENSOR GV-H130</t>
  </si>
  <si>
    <t>GV-H130</t>
  </si>
  <si>
    <t>AMPLIFIER GV-21P</t>
  </si>
  <si>
    <t>GV-21P</t>
  </si>
  <si>
    <t>SENSOR-PHOTO WITH FIBER FU-35FG</t>
  </si>
  <si>
    <t>SIDE VIEW SENSOR FIBER HEAD</t>
  </si>
  <si>
    <t>FU-18M</t>
  </si>
  <si>
    <t>AMPLIFIER-FIBER-OPTIC PNP</t>
  </si>
  <si>
    <t>FS-V31P</t>
  </si>
  <si>
    <t>AMPLIFIER FOR FIBER-OPTIC PNP</t>
  </si>
  <si>
    <t>FS-V11P</t>
  </si>
  <si>
    <t>PS-T2P</t>
  </si>
  <si>
    <t>IONIZER 24VDC POWER SUPPLY</t>
  </si>
  <si>
    <t>KV-U3</t>
  </si>
  <si>
    <t>IONIZER-KEYENCE SJ-F036</t>
  </si>
  <si>
    <t>SJ-F036</t>
  </si>
  <si>
    <t>AMPLIFIER-PHOTO-ELECT. NEO MASTER M8F</t>
  </si>
  <si>
    <t>FS-N11CP</t>
  </si>
  <si>
    <t>SENSOR-PHOTO BARRIER PS-55C</t>
  </si>
  <si>
    <t>PS-55C</t>
  </si>
  <si>
    <t>FS-V1P</t>
  </si>
  <si>
    <t>IONIZER SJ-MO20G (0.6M) HEAD</t>
  </si>
  <si>
    <t>SJ-MO20G (0.6M)</t>
  </si>
  <si>
    <t>LENS FOR FIBER-OPTIC D=5 L=30MM</t>
  </si>
  <si>
    <t>F-5HA</t>
  </si>
  <si>
    <t>THERMOMETER-INFRARED (FT-H10)</t>
  </si>
  <si>
    <t>FT-H10</t>
  </si>
  <si>
    <t>FIBER-OPTIC FU-46</t>
  </si>
  <si>
    <t>AMPLIFIER-PHOTO-ELECTRIC PNP MASTER</t>
  </si>
  <si>
    <t>FS-V21RP</t>
  </si>
  <si>
    <t>SENSOR-FIBER OPTIC DIFF-REFLECT SIDE</t>
  </si>
  <si>
    <t>FU-31</t>
  </si>
  <si>
    <t>FS-T2P</t>
  </si>
  <si>
    <t>AMPLIFIER-PHOTO-ELECTRIC PNP SLAVE</t>
  </si>
  <si>
    <t>FS-V22RP</t>
  </si>
  <si>
    <t>SENSOR-FIBER OPTIC</t>
  </si>
  <si>
    <t>FU-35TZ</t>
  </si>
  <si>
    <t>AMPLIFIER-DISPLAY-DIGITAL</t>
  </si>
  <si>
    <t>FS-V32P</t>
  </si>
  <si>
    <t>CHECKER CV-2100</t>
  </si>
  <si>
    <t>CV-2100</t>
  </si>
  <si>
    <t>AMPLI-THERMOMETER-INFRARED (FT-50AWP)</t>
  </si>
  <si>
    <t>FT-50AWP</t>
  </si>
  <si>
    <t>SENSOR-FIBER OPTIC REF FU-35TG</t>
  </si>
  <si>
    <t>FU-35TG</t>
  </si>
  <si>
    <t>SENSOR-INDUCTIVE D= 3 PNP</t>
  </si>
  <si>
    <t>EM-030P</t>
  </si>
  <si>
    <t>SELF-CONTAINED CMOS LASER SENSOR W/CABLE</t>
  </si>
  <si>
    <t>CABLE IONIZER KEYENCE SJ-FC5</t>
  </si>
  <si>
    <t>SJ-FC5</t>
  </si>
  <si>
    <t>FU-10</t>
  </si>
  <si>
    <t>CAMERA CV-020</t>
  </si>
  <si>
    <t>CV-020</t>
  </si>
  <si>
    <t>LENS FOR OPTIC. FIBER F-3HA</t>
  </si>
  <si>
    <t>FS 2-60-P</t>
  </si>
  <si>
    <t>SENSOR-INDUCTIVE D= 2.8 NPN</t>
  </si>
  <si>
    <t>EH-302</t>
  </si>
  <si>
    <t>HEAD-SENSOR GV-H45</t>
  </si>
  <si>
    <t>AMPLIFIER-INDUCTIVE 10-24 NPN</t>
  </si>
  <si>
    <t>ES-X38</t>
  </si>
  <si>
    <t>FU-58U</t>
  </si>
  <si>
    <t>FU-35FZ</t>
  </si>
  <si>
    <t>SENSOR-PHOTO WITH FIBER FU-20</t>
  </si>
  <si>
    <t>FU-20</t>
  </si>
  <si>
    <t>SENSOR-FIBER-HEAD</t>
  </si>
  <si>
    <t>FU-58</t>
  </si>
  <si>
    <t>SENSOR-FIBER OPTIC THRUBEAM 10MM</t>
  </si>
  <si>
    <t>FIBER-OPTIC-BARRIER 13x7x2</t>
  </si>
  <si>
    <t>FU-53TZ</t>
  </si>
  <si>
    <t>SENSOR-AMP NPN DIGITAL RED</t>
  </si>
  <si>
    <t>FS-V1</t>
  </si>
  <si>
    <t>I/O CONNECTOR CABLE FOR CV-2100/2600</t>
  </si>
  <si>
    <t>OP-42341</t>
  </si>
  <si>
    <t>LENS-FOR-FIBER-OPTIC D=10.6 L=26MM</t>
  </si>
  <si>
    <t>F-6HA</t>
  </si>
  <si>
    <t>ADAPTER-FIBER-OPTIC-SERIES FSV</t>
  </si>
  <si>
    <t>OP-26500</t>
  </si>
  <si>
    <t>SENSOR-PHOTOELEC DIFF-RF 2.5CM</t>
  </si>
  <si>
    <t>CAMERA CABLE CV-C3</t>
  </si>
  <si>
    <t>CV-C3</t>
  </si>
  <si>
    <t>FIBER ADAPTER D=1.0 P=4.0</t>
  </si>
  <si>
    <t>SENSOR-FIBER OPTIC DIFF-REFLECTIVE M4</t>
  </si>
  <si>
    <t>FU-66TZ</t>
  </si>
  <si>
    <t>FU-45X</t>
  </si>
  <si>
    <t>SENSOR PHOTO WITH FIBER FU-49X</t>
  </si>
  <si>
    <t>SENSOR-PHOTOELEC THRUBEAM THIN</t>
  </si>
  <si>
    <t>TRACK-GUIDING L=  55 1 CARRIAGE T=9</t>
  </si>
  <si>
    <t>MN9-55-G3-V1+MNN9-G3</t>
  </si>
  <si>
    <t>TABLE-MICRO ON BEARING-BALL STROKE=10MM</t>
  </si>
  <si>
    <t>NDN 1-20.10</t>
  </si>
  <si>
    <t>TABLE MICRO ON BEARING-BALL STROKE=25MM</t>
  </si>
  <si>
    <t>NDN 1-40.30</t>
  </si>
  <si>
    <t>TRACK-GUIDING L=  75 1 CARRIAGE</t>
  </si>
  <si>
    <t>MN9-75-G3-V1+MNN9-G3</t>
  </si>
  <si>
    <t>TRACK-GUIDING L= 110 1 CARRIAGE T=24</t>
  </si>
  <si>
    <t>MN24-110-G3-V1+MNN24-G3</t>
  </si>
  <si>
    <t>TRACK-GUIDING L=  70 1 CARRIAGE T=14</t>
  </si>
  <si>
    <t>MN14-70-5-5-G3-V1+MNN14-G3</t>
  </si>
  <si>
    <t>TRACK-GUIDING L=  44 1 CARRIAGE T= 9</t>
  </si>
  <si>
    <t>MNN9-44-8-16-G3-V1+MNN9-G3</t>
  </si>
  <si>
    <t>TRACK-GUIDING L=  70 1 CARRAIGE T=15</t>
  </si>
  <si>
    <t>MNN15-70-G3-V1 + MNN15-G3</t>
  </si>
  <si>
    <t>TRACK-GUIDING L= 150 1 CARRIAGE</t>
  </si>
  <si>
    <t>MN42-150-G3-V1-MNN42-G3</t>
  </si>
  <si>
    <t>TRACK-GUIDING L= 260 2 CARRIAGE</t>
  </si>
  <si>
    <t>MN14-260-10-10-G3-V1+2MN14-G3</t>
  </si>
  <si>
    <t>CARRIAGE MNN7-G3</t>
  </si>
  <si>
    <t>MNN7-G3</t>
  </si>
  <si>
    <t>TRACK-GUIDING L=400</t>
  </si>
  <si>
    <t>MN7-400-5-5-G3-V0</t>
  </si>
  <si>
    <t>MN9-55-G3-V0+MNN9-G3</t>
  </si>
  <si>
    <t>TRACK-GUIDING L= 350 LG15 1 CARRIAGE</t>
  </si>
  <si>
    <t>MN15-350.G3.V1+MNN15-G3</t>
  </si>
  <si>
    <t>TRACK-GUIDING L= 430 LG15 1 CARRIAGE</t>
  </si>
  <si>
    <t>MN15-430.G3.V0+MNN15-G3</t>
  </si>
  <si>
    <t>TRACK-GUIDING L=  40 1 CARRIAGE T= 7</t>
  </si>
  <si>
    <t>TRACK-GUIDING L=  45 1 CARRIAGE T=9</t>
  </si>
  <si>
    <t>CARRIAGE-GUIDING MNNS7</t>
  </si>
  <si>
    <t>MNNS7-G3</t>
  </si>
  <si>
    <t>CARRIAGE-GUIDING MNNS9</t>
  </si>
  <si>
    <t>MNNS9-G3</t>
  </si>
  <si>
    <t>TRACK-GUIDING-L=100</t>
  </si>
  <si>
    <t>MN7-100-G3-V0</t>
  </si>
  <si>
    <t>TRACK GUIDING MN9 L= 455 T=9</t>
  </si>
  <si>
    <t>MN9-455-G1-V1</t>
  </si>
  <si>
    <t>TRACK GUIDING MN24 L= 650 T=24</t>
  </si>
  <si>
    <t>MN24-650-15-35-G1-V1</t>
  </si>
  <si>
    <t>TRACK-GUIDING MN9 L= 682 T=9</t>
  </si>
  <si>
    <t>MN9-682-7.5-14.5-G3-V0</t>
  </si>
  <si>
    <t>CARRIAGE BALL MNN T=24 LUBE-S</t>
  </si>
  <si>
    <t>MNN-LS-24-G1</t>
  </si>
  <si>
    <t>CARRIAGE GUIDING MNNS9 PRELOADED LUBE-S</t>
  </si>
  <si>
    <t>MNNS-LS-09-G1</t>
  </si>
  <si>
    <t>TRACK GUIDING L=235 1 CARRIAGE T=9</t>
  </si>
  <si>
    <t>MN9-235-G3-V1 + MNN9-G3</t>
  </si>
  <si>
    <t>MOTOR-LINEAR-AUM C=900 33N 170V</t>
  </si>
  <si>
    <t>2 MNN 14-920-10-10-G1-V1</t>
  </si>
  <si>
    <t>SCREW-BALL-MODIFIED</t>
  </si>
  <si>
    <t>KGT-Z-08-02-36-32.5-O-IT5</t>
  </si>
  <si>
    <t>Currency</t>
  </si>
  <si>
    <t xml:space="preserve">Purchasing Price </t>
  </si>
  <si>
    <t>Unit</t>
  </si>
  <si>
    <t xml:space="preserve">USD </t>
  </si>
  <si>
    <t>SGD</t>
  </si>
  <si>
    <t>m</t>
  </si>
  <si>
    <t xml:space="preserve">100
</t>
  </si>
  <si>
    <t>ft</t>
  </si>
  <si>
    <t>Tin</t>
  </si>
  <si>
    <t>mm</t>
  </si>
  <si>
    <t>CHF</t>
  </si>
  <si>
    <t>Reduction D 4.3/2.0 *21
fiber optics</t>
  </si>
  <si>
    <t>IR06.P02F-
F40.PO1Z.7SCV</t>
  </si>
  <si>
    <t>BHK 1D.05A20480/1060162
3</t>
  </si>
  <si>
    <t>BHK 1D.05A20480/1072018
3</t>
  </si>
  <si>
    <t>Baumer</t>
  </si>
  <si>
    <t>Bossard</t>
  </si>
  <si>
    <t>VSM 12771B BN 684</t>
  </si>
  <si>
    <t>Schneeberger</t>
  </si>
  <si>
    <t>NDN05.25-20 SP (1 - 100 pcs)</t>
  </si>
  <si>
    <t>USD</t>
  </si>
  <si>
    <t>Markup Percentage</t>
  </si>
  <si>
    <t>MOQ</t>
  </si>
  <si>
    <t xml:space="preserve">Standard Items List </t>
  </si>
  <si>
    <t>N/A</t>
  </si>
  <si>
    <t>MYR</t>
  </si>
  <si>
    <r>
      <rPr>
        <strike/>
        <sz val="11"/>
        <rFont val="Calibri"/>
        <family val="2"/>
        <scheme val="minor"/>
      </rPr>
      <t>MCSM5</t>
    </r>
    <r>
      <rPr>
        <sz val="11"/>
        <rFont val="Calibri"/>
        <family val="2"/>
        <scheme val="minor"/>
      </rPr>
      <t xml:space="preserve">
(NMCSM5)</t>
    </r>
  </si>
  <si>
    <r>
      <rPr>
        <strike/>
        <sz val="11"/>
        <rFont val="Calibri"/>
        <family val="2"/>
        <scheme val="minor"/>
      </rPr>
      <t>MSV615</t>
    </r>
    <r>
      <rPr>
        <sz val="11"/>
        <rFont val="Calibri"/>
        <family val="2"/>
        <scheme val="minor"/>
      </rPr>
      <t xml:space="preserve">
(MSV6-15)</t>
    </r>
  </si>
  <si>
    <r>
      <rPr>
        <strike/>
        <sz val="11"/>
        <rFont val="Calibri"/>
        <family val="2"/>
        <scheme val="minor"/>
      </rPr>
      <t>SLSBG-15-M4-M3</t>
    </r>
    <r>
      <rPr>
        <sz val="11"/>
        <rFont val="Calibri"/>
        <family val="2"/>
        <scheme val="minor"/>
      </rPr>
      <t xml:space="preserve">
(SLSBG6-15-M4-N3)</t>
    </r>
  </si>
  <si>
    <t>80.0000.9638</t>
  </si>
  <si>
    <t>80.0001.2608</t>
  </si>
  <si>
    <t>80.0000.0679</t>
  </si>
  <si>
    <t>SPACER-HEX. +R[1]C[-1]+RC:RC[7]+RC:RC[7]</t>
  </si>
  <si>
    <t>80.0000.8654</t>
  </si>
  <si>
    <t xml:space="preserve"> T1120213</t>
  </si>
  <si>
    <t>A0000011339</t>
  </si>
  <si>
    <t>A0000011340</t>
  </si>
  <si>
    <t>T1120231</t>
  </si>
  <si>
    <t>T1120042</t>
  </si>
  <si>
    <t>T1120199</t>
  </si>
  <si>
    <t>80.0000.0223</t>
  </si>
  <si>
    <t>T1120114</t>
  </si>
  <si>
    <t>80.0000.0234</t>
  </si>
  <si>
    <t>80.0000.8172</t>
  </si>
  <si>
    <t xml:space="preserve"> MVG.254</t>
  </si>
  <si>
    <t xml:space="preserve">80.0000.8437 </t>
  </si>
  <si>
    <t>80.0000.8598</t>
  </si>
  <si>
    <t>80.0000.8600</t>
  </si>
  <si>
    <t xml:space="preserve">80.0000.9006 </t>
  </si>
  <si>
    <t xml:space="preserve">80.0000.9473 </t>
  </si>
  <si>
    <t xml:space="preserve">80.0000.9609 </t>
  </si>
  <si>
    <t xml:space="preserve">A0000011331 </t>
  </si>
  <si>
    <t>T1120133</t>
  </si>
  <si>
    <t>T1120071</t>
  </si>
  <si>
    <t>T1120135</t>
  </si>
  <si>
    <t>80.0001.0958</t>
  </si>
  <si>
    <t>80.0001.0415</t>
  </si>
  <si>
    <t>80.0000.8589</t>
  </si>
  <si>
    <t>80.0000.0899</t>
  </si>
  <si>
    <t>80.0001.1277</t>
  </si>
  <si>
    <t>80.0000.6040</t>
  </si>
  <si>
    <t>80.0000.9941</t>
  </si>
  <si>
    <t>80.0001.1371</t>
  </si>
  <si>
    <t>80.0000.7507</t>
  </si>
  <si>
    <t>80.0000.0763</t>
  </si>
  <si>
    <t>MPS.560</t>
  </si>
  <si>
    <t>80.0001.0312</t>
  </si>
  <si>
    <t>80.0001.1174</t>
  </si>
  <si>
    <t>80.0001.1545</t>
  </si>
  <si>
    <t>MPV.559</t>
  </si>
  <si>
    <t>80.0001.0851</t>
  </si>
  <si>
    <t>80.0000.7506</t>
  </si>
  <si>
    <t>MPG.048</t>
  </si>
  <si>
    <t>MPG.095</t>
  </si>
  <si>
    <t>80.0000.7503</t>
  </si>
  <si>
    <t>MPG.301(New)</t>
  </si>
  <si>
    <t>A0000016451</t>
  </si>
  <si>
    <t>MPV.194</t>
  </si>
  <si>
    <t>80.0000.7963</t>
  </si>
  <si>
    <t>80.0000.1723</t>
  </si>
  <si>
    <t>80.0001.0980</t>
  </si>
  <si>
    <t>80.0000.1720</t>
  </si>
  <si>
    <t>80.0000.1721</t>
  </si>
  <si>
    <t>80.0000.1898</t>
  </si>
  <si>
    <t>80.0001.1985</t>
  </si>
  <si>
    <t>80.0001.1374</t>
  </si>
  <si>
    <t>MPS.801</t>
  </si>
  <si>
    <t>80.0001.1023</t>
  </si>
  <si>
    <t>80.0001.1024</t>
  </si>
  <si>
    <t>80.0001.1036</t>
  </si>
  <si>
    <t>80.0001.1349</t>
  </si>
  <si>
    <t>80.0001.1410</t>
  </si>
  <si>
    <t>MPS.135</t>
  </si>
  <si>
    <t>80.0001.1021</t>
  </si>
  <si>
    <t>80.0001.1022</t>
  </si>
  <si>
    <t>80.0001.1983</t>
  </si>
  <si>
    <t>80.0001.0943</t>
  </si>
  <si>
    <t>80.0001.1551</t>
  </si>
  <si>
    <t>80.0001.1330</t>
  </si>
  <si>
    <t> 80.0001.1331</t>
  </si>
  <si>
    <t>80.0001.1348</t>
  </si>
  <si>
    <t>80.0001.0293</t>
  </si>
  <si>
    <t>80.0001.2440</t>
  </si>
  <si>
    <t>80.0000.3773</t>
  </si>
  <si>
    <t>MPV.489</t>
  </si>
  <si>
    <t>80.0001.1020</t>
  </si>
  <si>
    <t>80.0000.0347</t>
  </si>
  <si>
    <t>80.0001.0295</t>
  </si>
  <si>
    <t>80.0001.0966</t>
  </si>
  <si>
    <t>80.0001.0011</t>
  </si>
  <si>
    <t>80.0000.0312</t>
  </si>
  <si>
    <t>80.0001.0199</t>
  </si>
  <si>
    <t>A0000016187</t>
  </si>
  <si>
    <t>80.0001.2055</t>
  </si>
  <si>
    <t>MPS.707</t>
  </si>
  <si>
    <t>80.0000.3995</t>
  </si>
  <si>
    <t>MPS.470</t>
  </si>
  <si>
    <t>80.0001.1961</t>
  </si>
  <si>
    <t>80.0001.1962</t>
  </si>
  <si>
    <t>80.0001.1442</t>
  </si>
  <si>
    <t>MPS.1021</t>
  </si>
  <si>
    <t>MPV.059</t>
  </si>
  <si>
    <t>MPG.505</t>
  </si>
  <si>
    <t>80.0000.0349</t>
  </si>
  <si>
    <t>80.0000.0341</t>
  </si>
  <si>
    <t>80.0000.9317</t>
  </si>
  <si>
    <t>80.0001.0854</t>
  </si>
  <si>
    <t>80.0001.1091</t>
  </si>
  <si>
    <t>A0000017636</t>
  </si>
  <si>
    <t>A0000017186</t>
  </si>
  <si>
    <t>80.0000.0765</t>
  </si>
  <si>
    <t>80.0000.8699</t>
  </si>
  <si>
    <t>80.0000.0362</t>
  </si>
  <si>
    <t>80.0000.8803</t>
  </si>
  <si>
    <t>80.0001.2483</t>
  </si>
  <si>
    <t>80.0000.1129</t>
  </si>
  <si>
    <t>80.0000.0406</t>
  </si>
  <si>
    <t>MPZ.213</t>
  </si>
  <si>
    <t>MPZ.387</t>
  </si>
  <si>
    <t>80.0000.9365</t>
  </si>
  <si>
    <t>80.0000.0367</t>
  </si>
  <si>
    <t>80.0000.0337</t>
  </si>
  <si>
    <t>80.0000.8709</t>
  </si>
  <si>
    <t>80.0000.7139</t>
  </si>
  <si>
    <t>80.0000.7990</t>
  </si>
  <si>
    <t>80.0000.0376</t>
  </si>
  <si>
    <t>80.0001.0266</t>
  </si>
  <si>
    <t>MPZ.273</t>
  </si>
  <si>
    <t>80.0000.2639</t>
  </si>
  <si>
    <t>80.0000.0374</t>
  </si>
  <si>
    <t>80.0000.2640</t>
  </si>
  <si>
    <t>80.0000.0369</t>
  </si>
  <si>
    <t>80.0000.7897</t>
  </si>
  <si>
    <t>80.0000.8802</t>
  </si>
  <si>
    <t>80.0000.8804</t>
  </si>
  <si>
    <t>80.0001.2166</t>
  </si>
  <si>
    <t>80.0000.0882</t>
  </si>
  <si>
    <t>80.0000.0087</t>
  </si>
  <si>
    <t>MPZ.375</t>
  </si>
  <si>
    <t>80.0000.8700</t>
  </si>
  <si>
    <t>MPZ.385</t>
  </si>
  <si>
    <t>80.0000.0714</t>
  </si>
  <si>
    <t>MPZ.436</t>
  </si>
  <si>
    <t>80.0000.0260</t>
  </si>
  <si>
    <t>MPZ.301</t>
  </si>
  <si>
    <t>80.0001.0141</t>
  </si>
  <si>
    <t>80.0001.0562</t>
  </si>
  <si>
    <t>80.0000.0203</t>
  </si>
  <si>
    <t>80.0001.1572</t>
  </si>
  <si>
    <t>80.0001.0459</t>
  </si>
  <si>
    <t>80.0000.7931</t>
  </si>
  <si>
    <t>MPZ.105</t>
  </si>
  <si>
    <t>80.0001.0181</t>
  </si>
  <si>
    <t>80.0001.0519</t>
  </si>
  <si>
    <t>80.0000.9469</t>
  </si>
  <si>
    <t>80.0000.0642</t>
  </si>
  <si>
    <t>80.0000.0641</t>
  </si>
  <si>
    <t>80.0000.0084</t>
  </si>
  <si>
    <t>80.0001.1398</t>
  </si>
  <si>
    <t>MPZ.106</t>
  </si>
  <si>
    <t>80.0000.0088</t>
  </si>
  <si>
    <t>80.0000.6805</t>
  </si>
  <si>
    <t>MPZ.267</t>
  </si>
  <si>
    <t>MPZ.299</t>
  </si>
  <si>
    <t>80.0001.0289</t>
  </si>
  <si>
    <t>MPZ.275</t>
  </si>
  <si>
    <t>80.0001.1448</t>
  </si>
  <si>
    <t>80.0001.0288</t>
  </si>
  <si>
    <t>80.0000.8346</t>
  </si>
  <si>
    <t>80.0000.9454</t>
  </si>
  <si>
    <t>MPZ.365</t>
  </si>
  <si>
    <t>80.0000.1025</t>
  </si>
  <si>
    <t>80.0000.0578</t>
  </si>
  <si>
    <t>80.0001.0624</t>
  </si>
  <si>
    <t>80.0000.0629</t>
  </si>
  <si>
    <t>80.0000.0636</t>
  </si>
  <si>
    <t>80.0000.7110</t>
  </si>
  <si>
    <t>80.0000.0112</t>
  </si>
  <si>
    <t>80.0000.7925</t>
  </si>
  <si>
    <t>MPZ.379</t>
  </si>
  <si>
    <t>80.0000.0161</t>
  </si>
  <si>
    <t>80.0000.8353</t>
  </si>
  <si>
    <t>MPZ.380</t>
  </si>
  <si>
    <t>80.0000.0160</t>
  </si>
  <si>
    <t>80.0000.7965</t>
  </si>
  <si>
    <t>80.0000.0540</t>
  </si>
  <si>
    <t>80.0000.0080</t>
  </si>
  <si>
    <t>80.0001.0516</t>
  </si>
  <si>
    <t>A0000012517</t>
  </si>
  <si>
    <t>80.0000.9470</t>
  </si>
  <si>
    <t>80.0001.0010</t>
  </si>
  <si>
    <t>MPZ.381</t>
  </si>
  <si>
    <t>80.0001.0347</t>
  </si>
  <si>
    <t>80.0001.0166</t>
  </si>
  <si>
    <t>80.0000.1070</t>
  </si>
  <si>
    <t>MPZ.082</t>
  </si>
  <si>
    <t>MPZ.077</t>
  </si>
  <si>
    <t>MPZ.305</t>
  </si>
  <si>
    <t>MPZ.437</t>
  </si>
  <si>
    <t>80.0000.0370</t>
  </si>
  <si>
    <t>80.0000.0536</t>
  </si>
  <si>
    <t>MPZ.160</t>
  </si>
  <si>
    <t>MPZ.321</t>
  </si>
  <si>
    <t>80.0001.0871</t>
  </si>
  <si>
    <t>MPZ.420</t>
  </si>
  <si>
    <t>A0000017240</t>
  </si>
  <si>
    <t>80.0000.3997</t>
  </si>
  <si>
    <t>80.0000.0271</t>
  </si>
  <si>
    <t>80.0000.3998</t>
  </si>
  <si>
    <t>MPZ.251</t>
  </si>
  <si>
    <t>MPZ.425</t>
  </si>
  <si>
    <t>80.0001.1594</t>
  </si>
  <si>
    <t>80.0000.0621</t>
  </si>
  <si>
    <t>MPZ.210</t>
  </si>
  <si>
    <t>MPZ.358</t>
  </si>
  <si>
    <t>80.0001.0136</t>
  </si>
  <si>
    <t>80.0000.8270</t>
  </si>
  <si>
    <t>80.0001.0307</t>
  </si>
  <si>
    <t>80.0000.0378</t>
  </si>
  <si>
    <t>80.0001.0586</t>
  </si>
  <si>
    <t>80.0000.9968</t>
  </si>
  <si>
    <t>80.0001.0254</t>
  </si>
  <si>
    <t>80.0001.0128</t>
  </si>
  <si>
    <t>80.0001.0784</t>
  </si>
  <si>
    <t>80.0000.4003</t>
  </si>
  <si>
    <t>80.0000.0070</t>
  </si>
  <si>
    <t>80.0000.0544</t>
  </si>
  <si>
    <t>80.0000.0155</t>
  </si>
  <si>
    <t>80.0001.0151</t>
  </si>
  <si>
    <t>80.0000.0481</t>
  </si>
  <si>
    <t>80.0000.9677</t>
  </si>
  <si>
    <t>80.0001.0133</t>
  </si>
  <si>
    <t>80.0000.9436</t>
  </si>
  <si>
    <t>80.0000.8613</t>
  </si>
  <si>
    <t>80.0000.0132</t>
  </si>
  <si>
    <t>80.0000.0685</t>
  </si>
  <si>
    <t>80.0000.1012</t>
  </si>
  <si>
    <t>80.0001.0290</t>
  </si>
  <si>
    <t>80.0000.1020</t>
  </si>
  <si>
    <t>80.0000.4020</t>
  </si>
  <si>
    <t>80.0000.8296</t>
  </si>
  <si>
    <t>80.0000.0164</t>
  </si>
  <si>
    <t>MPG.281</t>
  </si>
  <si>
    <t>A0000014139</t>
  </si>
  <si>
    <t>80.0000.7924</t>
  </si>
  <si>
    <t>MPS.718</t>
  </si>
  <si>
    <t>80.0000.0109</t>
  </si>
  <si>
    <t>MPG.219</t>
  </si>
  <si>
    <t>EBB.9713</t>
  </si>
  <si>
    <t>80.0000.6821</t>
  </si>
  <si>
    <t>MPS.539</t>
  </si>
  <si>
    <t>MPS.540</t>
  </si>
  <si>
    <t>80.0001.0813</t>
  </si>
  <si>
    <t>80.0001.2173</t>
  </si>
  <si>
    <t>80.0000.8423</t>
  </si>
  <si>
    <t>80.0001.0009</t>
  </si>
  <si>
    <t>80.0000.0368</t>
  </si>
  <si>
    <t>80.0000.8412</t>
  </si>
  <si>
    <t>80.0000.7689</t>
  </si>
  <si>
    <t>80.0001.0008</t>
  </si>
  <si>
    <t>MPG.504</t>
  </si>
  <si>
    <t>80.0000.0343</t>
  </si>
  <si>
    <t>80.0000.0344</t>
  </si>
  <si>
    <t>80.0000.0815</t>
  </si>
  <si>
    <t>MPG.283</t>
  </si>
  <si>
    <t>80.0000.8393</t>
  </si>
  <si>
    <t>80.0001.0887</t>
  </si>
  <si>
    <t>38430492-000</t>
  </si>
  <si>
    <t>80.0000.8399</t>
  </si>
  <si>
    <t>80.0001.0563</t>
  </si>
  <si>
    <t>80.0001.2763</t>
  </si>
  <si>
    <t>80.0000.0061</t>
  </si>
  <si>
    <t>EBB.9665</t>
  </si>
  <si>
    <t>80.0000.2039</t>
  </si>
  <si>
    <t>MPZ.076</t>
  </si>
  <si>
    <t>MPZ.422</t>
  </si>
  <si>
    <t>MPZ.157</t>
  </si>
  <si>
    <t>MPZ.421</t>
  </si>
  <si>
    <t>MPG.177</t>
  </si>
  <si>
    <t>80.0000.7841</t>
  </si>
  <si>
    <t>80.0000.0262</t>
  </si>
  <si>
    <t>80.0000.0263</t>
  </si>
  <si>
    <t>80.0000.2804</t>
  </si>
  <si>
    <t>80.0001.1579</t>
  </si>
  <si>
    <t>80.0001.2138</t>
  </si>
  <si>
    <t>80.0001.1580</t>
  </si>
  <si>
    <t>80.0001.1581</t>
  </si>
  <si>
    <t>80.0000.2800</t>
  </si>
  <si>
    <t>80.0000.2801</t>
  </si>
  <si>
    <t>80.0000.2803</t>
  </si>
  <si>
    <t>80.0000.7532</t>
  </si>
  <si>
    <t>80.0000.8732</t>
  </si>
  <si>
    <t>80.0000.1053</t>
  </si>
  <si>
    <t>655-611</t>
  </si>
  <si>
    <t>80.0000.2984</t>
  </si>
  <si>
    <t>80.0000.6109</t>
  </si>
  <si>
    <t>80.0000.2983</t>
  </si>
  <si>
    <t>80.0000.2985</t>
  </si>
  <si>
    <t>80.0001.1445</t>
  </si>
  <si>
    <t>A0000015328</t>
  </si>
  <si>
    <t>A0000017156</t>
  </si>
  <si>
    <t>MPS.1043</t>
  </si>
  <si>
    <t>80.0000.1812</t>
  </si>
  <si>
    <t>80.0000.0110</t>
  </si>
  <si>
    <t>80.0001.0003</t>
  </si>
  <si>
    <t>80.0000.1813</t>
  </si>
  <si>
    <t>80.0000.9309</t>
  </si>
  <si>
    <t>80.0000.6016</t>
  </si>
  <si>
    <t>80.0001.1125</t>
  </si>
  <si>
    <t>80.0001.1137</t>
  </si>
  <si>
    <t>80.0000.6056</t>
  </si>
  <si>
    <t>A0000016196</t>
  </si>
  <si>
    <t>80.0000.0351</t>
  </si>
  <si>
    <t>MPS.3075</t>
  </si>
  <si>
    <t>MPS.3137</t>
  </si>
  <si>
    <t>MPS.3077</t>
  </si>
  <si>
    <t>MPS.3079</t>
  </si>
  <si>
    <t>A0000016197</t>
  </si>
  <si>
    <t>MPS.826</t>
  </si>
  <si>
    <t>80.0001.0304</t>
  </si>
  <si>
    <t>655-530</t>
  </si>
  <si>
    <t>A0000016211</t>
  </si>
  <si>
    <t>A0000016201</t>
  </si>
  <si>
    <t>A0000016203</t>
  </si>
  <si>
    <t>80.0000.9306</t>
  </si>
  <si>
    <t>MPS.3082</t>
  </si>
  <si>
    <t>80.0001.2108</t>
  </si>
  <si>
    <t>MPS.580</t>
  </si>
  <si>
    <t>80.0000.6058</t>
  </si>
  <si>
    <t>80.0001.2213</t>
  </si>
  <si>
    <t>80.0001.0967</t>
  </si>
  <si>
    <t>80.0001.0123</t>
  </si>
  <si>
    <t>80.0001.0144</t>
  </si>
  <si>
    <t>80.0001.0014</t>
  </si>
  <si>
    <t>80.0000.1042</t>
  </si>
  <si>
    <t>MPS.788</t>
  </si>
  <si>
    <t>80.0000.0733</t>
  </si>
  <si>
    <t>80.0000.0501</t>
  </si>
  <si>
    <t>80.0000.7691</t>
  </si>
  <si>
    <t>80.0000.0059</t>
  </si>
  <si>
    <t>MPS.655</t>
  </si>
  <si>
    <t>MPS.3095</t>
  </si>
  <si>
    <t>MPS.3096</t>
  </si>
  <si>
    <t>80.0001.0140</t>
  </si>
  <si>
    <t>MPS.3148</t>
  </si>
  <si>
    <t>80.0000.8402</t>
  </si>
  <si>
    <t>A0000016233</t>
  </si>
  <si>
    <t>MPS.1009</t>
  </si>
  <si>
    <t>MPS.3097</t>
  </si>
  <si>
    <t>80.0000.1055</t>
  </si>
  <si>
    <t>MPS.827</t>
  </si>
  <si>
    <t>80.0001.1318</t>
  </si>
  <si>
    <t>80.0000.8401</t>
  </si>
  <si>
    <t>80.0001.1543</t>
  </si>
  <si>
    <t>A0000016086</t>
  </si>
  <si>
    <t>MPS.3169</t>
  </si>
  <si>
    <t>80.0001.1124</t>
  </si>
  <si>
    <t>A0000016239</t>
  </si>
  <si>
    <t>A0000016240</t>
  </si>
  <si>
    <t>80.0000.2182</t>
  </si>
  <si>
    <t>A0000017286</t>
  </si>
  <si>
    <t>MPS.3151</t>
  </si>
  <si>
    <t>80.0001.2243</t>
  </si>
  <si>
    <t>80.0000.6057</t>
  </si>
  <si>
    <t>80.0001.0416</t>
  </si>
  <si>
    <t>80.0000.0116</t>
  </si>
  <si>
    <t>80.0001.0013</t>
  </si>
  <si>
    <t>80.0000.8749</t>
  </si>
  <si>
    <t>A0000016617</t>
  </si>
  <si>
    <t>80.0000.1900</t>
  </si>
  <si>
    <t>80.0000.0496</t>
  </si>
  <si>
    <t>80.0001.2111</t>
  </si>
  <si>
    <t>80.0000.6345</t>
  </si>
  <si>
    <t>80.0001.2110</t>
  </si>
  <si>
    <t>80.0000.7508</t>
  </si>
  <si>
    <t>A0000014902</t>
  </si>
  <si>
    <t>80.0001.1566</t>
  </si>
  <si>
    <t>80.0001.0124</t>
  </si>
  <si>
    <t>A0000017085</t>
  </si>
  <si>
    <t>A0000016216</t>
  </si>
  <si>
    <t>A0000016446</t>
  </si>
  <si>
    <t>A0000015331</t>
  </si>
  <si>
    <t>A0000016218</t>
  </si>
  <si>
    <t>80.0001.1452</t>
  </si>
  <si>
    <t>80.0001.0126</t>
  </si>
  <si>
    <t>MPS.3053</t>
  </si>
  <si>
    <t>A0000015322</t>
  </si>
  <si>
    <t>80.0000.8702</t>
  </si>
  <si>
    <t>A0000016219</t>
  </si>
  <si>
    <t>MPS.659</t>
  </si>
  <si>
    <t>MPS.1065</t>
  </si>
  <si>
    <t>A0000015982</t>
  </si>
  <si>
    <t>MPS.1061</t>
  </si>
  <si>
    <t>A0000015983</t>
  </si>
  <si>
    <t>80.0000.0829</t>
  </si>
  <si>
    <t>80.0001.2695</t>
  </si>
  <si>
    <t>80.0001.1110</t>
  </si>
  <si>
    <t>80.0001.1523</t>
  </si>
  <si>
    <t>80.0000.6028</t>
  </si>
  <si>
    <t>A0000016126</t>
  </si>
  <si>
    <t>MPS.3158</t>
  </si>
  <si>
    <t>80.0001.0179</t>
  </si>
  <si>
    <t>80.0001.0208</t>
  </si>
  <si>
    <t>80.0000.2032</t>
  </si>
  <si>
    <t>MPS.3016</t>
  </si>
  <si>
    <t>80.0000.0500</t>
  </si>
  <si>
    <t>80.0000.6015</t>
  </si>
  <si>
    <t>80.0000.7504</t>
  </si>
  <si>
    <t>80.0001.2109</t>
  </si>
  <si>
    <t>80.0000.0192</t>
  </si>
  <si>
    <t>80.0001.1301</t>
  </si>
  <si>
    <t>80.0000.8703</t>
  </si>
  <si>
    <t>80.0000.0503</t>
  </si>
  <si>
    <t>A0000014747</t>
  </si>
  <si>
    <t>80.0000.0744</t>
  </si>
  <si>
    <t>80.0000.2181</t>
  </si>
  <si>
    <t>A0000016139</t>
  </si>
  <si>
    <t>80.0000.3611</t>
  </si>
  <si>
    <t>80.0001.1444</t>
  </si>
  <si>
    <t>80.0000.1977</t>
  </si>
  <si>
    <t>80.0000.7505</t>
  </si>
  <si>
    <t>80.0000.9991</t>
  </si>
  <si>
    <t>80.0000.2037</t>
  </si>
  <si>
    <t>MPS.1017</t>
  </si>
  <si>
    <t>80.0001.1981</t>
  </si>
  <si>
    <t>80.0001.1635</t>
  </si>
  <si>
    <t>80.0001.1578</t>
  </si>
  <si>
    <t>80.0001.1602</t>
  </si>
  <si>
    <t>80.0001.1571</t>
  </si>
  <si>
    <t>80.0000.0688</t>
  </si>
  <si>
    <t>80.0001.1538</t>
  </si>
  <si>
    <t>80.0001.1947</t>
  </si>
  <si>
    <t>A0000014424</t>
  </si>
  <si>
    <t>80.0000.8403</t>
  </si>
  <si>
    <t>A0000015324</t>
  </si>
  <si>
    <t>A0000016107</t>
  </si>
  <si>
    <t>A0000012611</t>
  </si>
  <si>
    <t>A0000015985</t>
  </si>
  <si>
    <t>80.0000.7502</t>
  </si>
  <si>
    <t>MPS.588</t>
  </si>
  <si>
    <t>MPS.543</t>
  </si>
  <si>
    <t>80.0001.0905</t>
  </si>
  <si>
    <t>80.0001.1634</t>
  </si>
  <si>
    <t>80.0001.1435</t>
  </si>
  <si>
    <t>80.0000.2168</t>
  </si>
  <si>
    <t>80.0000.1034</t>
  </si>
  <si>
    <t>80.0001.0195</t>
  </si>
  <si>
    <t>80.0000.1023</t>
  </si>
  <si>
    <t>80.0000.0348</t>
  </si>
  <si>
    <t>MPS.429</t>
  </si>
  <si>
    <t>MPS.461</t>
  </si>
  <si>
    <t>80.0001.0196</t>
  </si>
  <si>
    <t>80.0001.0187</t>
  </si>
  <si>
    <t>80.0000.1897</t>
  </si>
  <si>
    <t>80.0000.1815</t>
  </si>
  <si>
    <t>80.0000.9662</t>
  </si>
  <si>
    <t>80.0001.1405</t>
  </si>
  <si>
    <t>MPS.1734</t>
  </si>
  <si>
    <t>80.0000.2965</t>
  </si>
  <si>
    <t>MPZ.229</t>
  </si>
  <si>
    <t>80.0001.0919</t>
  </si>
  <si>
    <t>80.0000.9439</t>
  </si>
  <si>
    <t>80.0001.1546</t>
  </si>
  <si>
    <t>80.0001.0968</t>
  </si>
  <si>
    <t>MPZ.361</t>
  </si>
  <si>
    <t>MPZ.3611</t>
  </si>
  <si>
    <t>80.0000.8730</t>
  </si>
  <si>
    <t>MPZ.424</t>
  </si>
  <si>
    <t>80.0001.1035</t>
  </si>
  <si>
    <t>80.0001.0695</t>
  </si>
  <si>
    <t>80.0000.8354</t>
  </si>
  <si>
    <t>80.0001.0594</t>
  </si>
  <si>
    <t>80.0001.0176</t>
  </si>
  <si>
    <t>80.0000.8292</t>
  </si>
  <si>
    <t>80.0000.8294</t>
  </si>
  <si>
    <t>80.0000.8293</t>
  </si>
  <si>
    <t>80.0000.8295</t>
  </si>
  <si>
    <t>80.0001.0520</t>
  </si>
  <si>
    <t>80.0000.8290</t>
  </si>
  <si>
    <t>80.0000.8291</t>
  </si>
  <si>
    <t>MPZ.362</t>
  </si>
  <si>
    <t>80.0000.8466</t>
  </si>
  <si>
    <t>A0000014016</t>
  </si>
  <si>
    <t>68738988-000</t>
  </si>
  <si>
    <t>68739226-000</t>
  </si>
  <si>
    <t>EK.9959</t>
  </si>
  <si>
    <t>80.0000.8398</t>
  </si>
  <si>
    <t>80.0001.1644</t>
  </si>
  <si>
    <t>80.0000.8591</t>
  </si>
  <si>
    <t>80.0001.2040</t>
  </si>
  <si>
    <t>80.0000.2121</t>
  </si>
  <si>
    <t>80.0000.0844</t>
  </si>
  <si>
    <t>PK10.01.00.03</t>
  </si>
  <si>
    <t>PK10.43.00.03</t>
  </si>
  <si>
    <t>MPG.529</t>
  </si>
  <si>
    <t>MPG.541</t>
  </si>
  <si>
    <t>MPZ.212</t>
  </si>
  <si>
    <t>80.0000.0409</t>
  </si>
  <si>
    <t>80.0001.2410</t>
  </si>
  <si>
    <t>80.0001.2411</t>
  </si>
  <si>
    <t>MFG.075</t>
  </si>
  <si>
    <t>MFG.077</t>
  </si>
  <si>
    <t>MFG.084</t>
  </si>
  <si>
    <t>MFG.074</t>
  </si>
  <si>
    <t>MFG.085</t>
  </si>
  <si>
    <t>80.0000.0759</t>
  </si>
  <si>
    <t>80.0000.8505</t>
  </si>
  <si>
    <t>80.0001.0533</t>
  </si>
  <si>
    <t>80.0001.0886</t>
  </si>
  <si>
    <t>80.0000.7518</t>
  </si>
  <si>
    <t>80.0000.8724</t>
  </si>
  <si>
    <t>A0000017022</t>
  </si>
  <si>
    <t>MPV.283</t>
  </si>
  <si>
    <t>80.0001.0236</t>
  </si>
  <si>
    <t>MPV.282</t>
  </si>
  <si>
    <t>80.0001.1595</t>
  </si>
  <si>
    <t>MPV.501</t>
  </si>
  <si>
    <t>80.0001.0865</t>
  </si>
  <si>
    <t>80.0001.1084</t>
  </si>
  <si>
    <t>MPV.575</t>
  </si>
  <si>
    <t>80.0000.2805</t>
  </si>
  <si>
    <t>80.0001.1640</t>
  </si>
  <si>
    <t>MPS.521</t>
  </si>
  <si>
    <t>MPS.986</t>
  </si>
  <si>
    <t>MPS.681</t>
  </si>
  <si>
    <t>80.0000.6352</t>
  </si>
  <si>
    <t>80.0000.7215</t>
  </si>
  <si>
    <t>80.0001.1972</t>
  </si>
  <si>
    <t>80.0000.0118</t>
  </si>
  <si>
    <t>80.0000.7162</t>
  </si>
  <si>
    <t>80.0000.1417</t>
  </si>
  <si>
    <t>MPG.436</t>
  </si>
  <si>
    <t>80.0001.2237</t>
  </si>
  <si>
    <t>A0000016978</t>
  </si>
  <si>
    <t>A0000017138</t>
  </si>
  <si>
    <t>A0000015325</t>
  </si>
  <si>
    <t>80.0000.6063</t>
  </si>
  <si>
    <t>80.0000.7529</t>
  </si>
  <si>
    <t>68710425-000</t>
  </si>
  <si>
    <t>80.0000.7530</t>
  </si>
  <si>
    <t>68702869-000</t>
  </si>
  <si>
    <t>MPS.4006</t>
  </si>
  <si>
    <t>MPS.4008</t>
  </si>
  <si>
    <t>MPV.595</t>
  </si>
  <si>
    <t>80.0001.0850</t>
  </si>
  <si>
    <t>80.0001.0764</t>
  </si>
  <si>
    <t>80.0001.1521</t>
  </si>
  <si>
    <t>80.0001.2041</t>
  </si>
  <si>
    <t>80.0000.6999</t>
  </si>
  <si>
    <t>68745348-000</t>
  </si>
  <si>
    <t>MPV.227</t>
  </si>
  <si>
    <t>MPV.197</t>
  </si>
  <si>
    <t>ES.0806</t>
  </si>
  <si>
    <t>80.0000.0700</t>
  </si>
  <si>
    <t>80.0000.0701</t>
  </si>
  <si>
    <t>80.0000.2829</t>
  </si>
  <si>
    <t>80.0000.0356</t>
  </si>
  <si>
    <t>80.0000.0539</t>
  </si>
  <si>
    <t>80.0000.1253</t>
  </si>
  <si>
    <t>80.0000.0537</t>
  </si>
  <si>
    <t>80.0001.1093</t>
  </si>
  <si>
    <t>80.0001.0902</t>
  </si>
  <si>
    <t>80.0001.1094</t>
  </si>
  <si>
    <t>80.0001.0137</t>
  </si>
  <si>
    <t>80.0001.0132</t>
  </si>
  <si>
    <t>80.0001.0582</t>
  </si>
  <si>
    <t>80.0001.0822</t>
  </si>
  <si>
    <t>80.0001.1066</t>
  </si>
  <si>
    <t>80.0000.9448</t>
  </si>
  <si>
    <t>80.0001.1257</t>
  </si>
  <si>
    <t>80.0001.1259</t>
  </si>
  <si>
    <t>80.0001.1258</t>
  </si>
  <si>
    <t>80.0000.7840</t>
  </si>
  <si>
    <t>80.0000.1041</t>
  </si>
  <si>
    <t>80.0000.1054</t>
  </si>
  <si>
    <t>650-413</t>
  </si>
  <si>
    <t>80.0001.0964</t>
  </si>
  <si>
    <t>80.0001.0174</t>
  </si>
  <si>
    <t>80.0000.0355</t>
  </si>
  <si>
    <t>MPV.596</t>
  </si>
  <si>
    <t>80.0000.4111</t>
  </si>
  <si>
    <t>80.0000.4107</t>
  </si>
  <si>
    <t>80.0000.8305</t>
  </si>
  <si>
    <t>80.0000.4100</t>
  </si>
  <si>
    <t>80.0000.4119</t>
  </si>
  <si>
    <t>MPV.331</t>
  </si>
  <si>
    <t>80.0000.4113</t>
  </si>
  <si>
    <t>80.0000.4109</t>
  </si>
  <si>
    <t>80.0000.4103</t>
  </si>
  <si>
    <t>80.0000.4104</t>
  </si>
  <si>
    <t>80.0000.4102</t>
  </si>
  <si>
    <t>80.0000.4112</t>
  </si>
  <si>
    <t>80.0000.4101</t>
  </si>
  <si>
    <t>A0000014022</t>
  </si>
  <si>
    <t>80.0001.1245</t>
  </si>
  <si>
    <t>80.0001.0975</t>
  </si>
  <si>
    <t>80.0001.0994</t>
  </si>
  <si>
    <t>MPV.308</t>
  </si>
  <si>
    <t>80.0001.1921</t>
  </si>
  <si>
    <t>650-433</t>
  </si>
  <si>
    <t>80.0000.2657</t>
  </si>
  <si>
    <t>MPS.851</t>
  </si>
  <si>
    <t>MPS.8631</t>
  </si>
  <si>
    <t>80.0000.2287</t>
  </si>
  <si>
    <t>80.0001.0372</t>
  </si>
  <si>
    <t>80.0001.0607</t>
  </si>
  <si>
    <t>80.0001.2633</t>
  </si>
  <si>
    <t>80.0001.1278</t>
  </si>
  <si>
    <t>80.0000.3992</t>
  </si>
  <si>
    <t>80.0001.2009</t>
  </si>
  <si>
    <t>80.0001.1606</t>
  </si>
  <si>
    <t>80.0001.2183</t>
  </si>
  <si>
    <t>68731421-000</t>
  </si>
  <si>
    <t>68751205-000</t>
  </si>
  <si>
    <t>MFR.366</t>
  </si>
  <si>
    <t>80.0001.2421</t>
  </si>
  <si>
    <t>80.0000.1238</t>
  </si>
  <si>
    <t>80.0001.0006</t>
  </si>
  <si>
    <t>80.0000.2046</t>
  </si>
  <si>
    <t>68731546-000</t>
  </si>
  <si>
    <t>80.0001.2409</t>
  </si>
  <si>
    <t>80.0001.0414</t>
  </si>
  <si>
    <t>PLUG, HEX SKT, 1/8, STEEL</t>
  </si>
  <si>
    <t>VALVE, 3 PORT, NC, 3.1W, VAC</t>
  </si>
  <si>
    <t>AIR-TREATMENT-MOTOR-TORQUE</t>
  </si>
  <si>
    <t>Pressure Regulator</t>
  </si>
  <si>
    <t>FILTER,REGULATOR,LUBRICATOR</t>
  </si>
  <si>
    <t>REGULATOR,FILTER MIST SEPORATR</t>
  </si>
  <si>
    <t>FILTER REGULATOR ASSY,SMC</t>
  </si>
  <si>
    <t>REGULATOR, FLTR/MIST SEP.</t>
  </si>
  <si>
    <t>Air Filter</t>
  </si>
  <si>
    <t>FILTER-AIR AF2000-01</t>
  </si>
  <si>
    <t>CDA FILTER</t>
  </si>
  <si>
    <t>AIR FILTER</t>
  </si>
  <si>
    <t>Air Filter Insert for 80.0000.1799</t>
  </si>
  <si>
    <t>ANGLE-BRACKET-FIXING-FILTER</t>
  </si>
  <si>
    <t>FILTER-PNEUMATIC G3/8 + BRACKET</t>
  </si>
  <si>
    <t>Mounting Angle (AF30)</t>
  </si>
  <si>
    <t>Filter</t>
  </si>
  <si>
    <t>FILTER ELEMENT,FILTER-RGLTR</t>
  </si>
  <si>
    <t>FILTER-PNEUMATIC SUBMICRONICAL</t>
  </si>
  <si>
    <t>SEPARATOR MIST AFM2000-01</t>
  </si>
  <si>
    <t>MIST SEPERATOR</t>
  </si>
  <si>
    <t>FILTER PNEUMATIC AFM20P-060AS</t>
  </si>
  <si>
    <t>SEPARATOR,MIST</t>
  </si>
  <si>
    <t>FILTER ELEMENT,MIST SEPARATOR</t>
  </si>
  <si>
    <t>VALVE,BUSHING CHECK 1/8"M-F FF</t>
  </si>
  <si>
    <t>VALVE-NONRETURN AKB04B-04S</t>
  </si>
  <si>
    <t>Rⁿckschlagventil</t>
  </si>
  <si>
    <t>VALVE-RETAINER 1/8</t>
  </si>
  <si>
    <t>CHECK VALVE</t>
  </si>
  <si>
    <t>Pneumatic Fitting</t>
  </si>
  <si>
    <t>Non-return valve</t>
  </si>
  <si>
    <t>Return valve</t>
  </si>
  <si>
    <t>Rⁿckschlagventil 1/2"</t>
  </si>
  <si>
    <t>FILTER PNEUMATIC AME-EL150</t>
  </si>
  <si>
    <t>MUFFLER, 1/8NPT, 16</t>
  </si>
  <si>
    <t>FITTING,SILENCER</t>
  </si>
  <si>
    <t>SILENCER,COMPACT,1/8 PORT</t>
  </si>
  <si>
    <t>SILENCER</t>
  </si>
  <si>
    <t>SOUND ABSORBER</t>
  </si>
  <si>
    <t>Silencer 1/4"</t>
  </si>
  <si>
    <t>SILENCER,10MM,ONE-TOUCH</t>
  </si>
  <si>
    <t>SILENCER-MALE ON SHAFT D=10</t>
  </si>
  <si>
    <t>SILENCER-MALE G3/8</t>
  </si>
  <si>
    <t>SILENCER-1/2NPT 30DB 92X30MM</t>
  </si>
  <si>
    <t>SILENCER-MALE ON SHAFT D=12</t>
  </si>
  <si>
    <t>QUICK EXHAUST VALVE</t>
  </si>
  <si>
    <t>valve (fast exhausting)</t>
  </si>
  <si>
    <t>VALVE,QUICK EXH,1/4X1/4X1/4</t>
  </si>
  <si>
    <t>VALVE-PRESSURE REDUCER M5  2BARS</t>
  </si>
  <si>
    <t>VALVE-PRESSURE-REDUCER  7BARS + BRACKET</t>
  </si>
  <si>
    <t>REGULATOR-PRESSURE M5 W/GAUGE 10-32</t>
  </si>
  <si>
    <t>REGULATOR/GAUGE, SMC</t>
  </si>
  <si>
    <t>REGULATOR,MODULAR,1/8 PORT</t>
  </si>
  <si>
    <t>REGULATOR-AIR AR20-01GH</t>
  </si>
  <si>
    <t>REGULATOR-AIR AR20-02BG</t>
  </si>
  <si>
    <t>REG,MODULAR,1/4BSPT,GAUGE MPA</t>
  </si>
  <si>
    <t>PRESSURE REGULATOR</t>
  </si>
  <si>
    <t>PRESSURE REGULATOR (MAIN AIR)</t>
  </si>
  <si>
    <t>REGULATOR,1/4NPT F-F,7-125PSI</t>
  </si>
  <si>
    <t>REGULATOR WITH GAUGE &amp; BRACKET</t>
  </si>
  <si>
    <t>REGULATOR, PNL MNT, 1/4"NPT</t>
  </si>
  <si>
    <t>Pressure regulator clamping</t>
  </si>
  <si>
    <t>BRACKET ASSY,REGULATOR</t>
  </si>
  <si>
    <t>Pressure Regulator Adapter</t>
  </si>
  <si>
    <t>BRACKET-FASTENER FOR REDUCER-PRES AR22P</t>
  </si>
  <si>
    <t>REGULATOR,AIR</t>
  </si>
  <si>
    <t>REGULATOR, 58 PSI, 3/8 BSPT</t>
  </si>
  <si>
    <t>REGULATOR, AIR 3/8 NPT 0-30PSI</t>
  </si>
  <si>
    <t>REGULATOR,AIR 3/8 NPT 0-125PS1</t>
  </si>
  <si>
    <t>BRACKET-FIXATION-REGULATOR + NUT</t>
  </si>
  <si>
    <t>Pressure Regulator with Gauge</t>
  </si>
  <si>
    <t>REGULATOR,MINI,30-100PSI</t>
  </si>
  <si>
    <t>REGUL-PRESSURE ARM10F W/GAUGE DIA 4</t>
  </si>
  <si>
    <t>REGULATOR X2 MAN, ARM11</t>
  </si>
  <si>
    <t>PRESSURE REGULATOR + BRACKET</t>
  </si>
  <si>
    <t>Fixed Throttle 1.0 Tube 4</t>
  </si>
  <si>
    <t>Fixed Throttle (0.1mm)</t>
  </si>
  <si>
    <t>ONE WAY RESTRICTOR</t>
  </si>
  <si>
    <t>Fixed throttle (0.4mm)</t>
  </si>
  <si>
    <t>Fixed throttle (0.5mm)</t>
  </si>
  <si>
    <t>Fixed throttle (0.6mm)</t>
  </si>
  <si>
    <t>Fixed Throttle 0.2 Tube3.2</t>
  </si>
  <si>
    <t>Fixed Throttle 0.5 Tube3.2</t>
  </si>
  <si>
    <t>VALVE, FLOW CONTROL,1/8" TUBE</t>
  </si>
  <si>
    <t>SPEED CONTROLLER</t>
  </si>
  <si>
    <t>FIXED THROTTLE (0.2MM)</t>
  </si>
  <si>
    <t>FIXED THROTTLE (0.3MM)</t>
  </si>
  <si>
    <t>Fixed Throttle 0.8 Tube 4</t>
  </si>
  <si>
    <t>STOPPER-SCREW-KNURLED 6-6</t>
  </si>
  <si>
    <t>FLOW CONTROLLER, 6MM TUBE</t>
  </si>
  <si>
    <t>STOPPER-SCREW-KNURLED 3.2-3.2</t>
  </si>
  <si>
    <t>Fixed Throttle 0.1 Tube3.2</t>
  </si>
  <si>
    <t>Fixed Throttle 0.3 Tube3.2</t>
  </si>
  <si>
    <t>Fixed Throttle 0.4 Tube3.2</t>
  </si>
  <si>
    <t>Fixed Throttle 0.6 Tube3.2</t>
  </si>
  <si>
    <t>Pressure Regulator (3mm Hose)</t>
  </si>
  <si>
    <t>L-Bracket for flow reducer</t>
  </si>
  <si>
    <t>RESTRICTOR-TUBE REVER.-LOCK M3-M3</t>
  </si>
  <si>
    <t>FLOW CONTROL, METER OUT, M3 X 4MM TUBING</t>
  </si>
  <si>
    <t>Pneumatic throttle</t>
  </si>
  <si>
    <t>RESTRICTOR-SCREW-KNURLED M5 D=2</t>
  </si>
  <si>
    <t>Fixed throttle,meter out,M5,4mm tube,0.3mm</t>
  </si>
  <si>
    <t>FIX THROTTLE</t>
  </si>
  <si>
    <t>Pressure Regulator (silver) out</t>
  </si>
  <si>
    <t>RESTRICTOR-SCREW-KNURLED M5 D=6 CYLINDER</t>
  </si>
  <si>
    <t>FLOWCTRL,6MM OD,M5  METEROUT</t>
  </si>
  <si>
    <t>Throttle (Slow Motion)</t>
  </si>
  <si>
    <t>FLOWMETER WITH LABEL / ELBOWED DIAM=2</t>
  </si>
  <si>
    <t>FLOWMETER WITH LABEL / ELBOWED DIAM=4</t>
  </si>
  <si>
    <t>Pressure Regulator (black) in</t>
  </si>
  <si>
    <t>RESTRICTOR-SCREW-KNURLED M5 D=6 BLOWING</t>
  </si>
  <si>
    <t>FLOWMETER WITH LABEL/ELBOWED D=2 VACUUM  </t>
  </si>
  <si>
    <t>FLOWMETER WITH LABEL/ELBOWED D=4 VACUUM</t>
  </si>
  <si>
    <t>VALVE, FLOW_CONTROL  C</t>
  </si>
  <si>
    <t>FLOWMETER</t>
  </si>
  <si>
    <t>Choke Valve</t>
  </si>
  <si>
    <t>VALVE,FLOW CONTROL</t>
  </si>
  <si>
    <t>VALVE  FLOW CONTROL/4MM TUBE</t>
  </si>
  <si>
    <t>SPEED CONTROLLER-6MM</t>
  </si>
  <si>
    <t>FLOW CONTROL-INLINE 1/4X6MM</t>
  </si>
  <si>
    <t>STOPPER WITH SCREW-KNURLED 8-8</t>
  </si>
  <si>
    <t>RESTRICTOR D=6</t>
  </si>
  <si>
    <t>THROTTLE VALVE TAMPER PROOF</t>
  </si>
  <si>
    <t>STOPPER-SCREW-KNURLED G1/8 D=4</t>
  </si>
  <si>
    <t>RESTRICTOR 1/8-06</t>
  </si>
  <si>
    <t>ONE WAY FLOW JOINING CTL VALVE</t>
  </si>
  <si>
    <t>ELBOW,ONE-TOUCH CONTROLLER</t>
  </si>
  <si>
    <t>CONTROLLER,SPEED,G1/8,U01,4MM</t>
  </si>
  <si>
    <t>RESTRICTOR 1/8-06 METER-IN</t>
  </si>
  <si>
    <t>FLOW CONTROLLER</t>
  </si>
  <si>
    <t>RESTRICTOR-FOR-EXHAUST RAPID M3</t>
  </si>
  <si>
    <t>ELECTROVALVE 3/2 NC PROGRESSIVE</t>
  </si>
  <si>
    <t>FILTER REGULATOR</t>
  </si>
  <si>
    <t>Air Filter with Regulator</t>
  </si>
  <si>
    <t>REGULATOR / FILTER, AIR, AW20</t>
  </si>
  <si>
    <t>Air Filter Holder for 80.0000.0349</t>
  </si>
  <si>
    <t>FILTER-REGULATOR G3/8</t>
  </si>
  <si>
    <t>FILTER-REGULATOR</t>
  </si>
  <si>
    <t>Anschlusskabel Valve Plunger-Arm 1000mm</t>
  </si>
  <si>
    <t>CONN ASSY,PLUG 300MM VQ100 SER</t>
  </si>
  <si>
    <t>Connector Cable Valve</t>
  </si>
  <si>
    <t>Cable with Plug</t>
  </si>
  <si>
    <t>LEAD WIRE, NEG. COM, 600MM LG.</t>
  </si>
  <si>
    <t>BRACKET-AN. FASTENING AW/AR B1</t>
  </si>
  <si>
    <t>BRACKET REGULATOR</t>
  </si>
  <si>
    <t>BEFESTIGUNGSWINKEL (MIKROFILTER)</t>
  </si>
  <si>
    <t>Sensor Fitting</t>
  </si>
  <si>
    <t>Sensor Fiting</t>
  </si>
  <si>
    <t>SWITCH, HOLDER, BRACKET</t>
  </si>
  <si>
    <t>Sensor Fixing</t>
  </si>
  <si>
    <t>COLLAR-FIXING-SENSOR 25</t>
  </si>
  <si>
    <t>SWITCH MNT ASSY-20MM BORE</t>
  </si>
  <si>
    <t>BRACKET SENSOR SMC M9P</t>
  </si>
  <si>
    <t>SWITCH SPACER</t>
  </si>
  <si>
    <t>AUTO SWITCH MOUNTING BRACKET BQ4-012</t>
  </si>
  <si>
    <t>AUTO SWITCH MOUNTING BRACKET BQ5-032</t>
  </si>
  <si>
    <t>FITTING-REDUCING G1/2M G1/4F</t>
  </si>
  <si>
    <t>Cylinder Bracket</t>
  </si>
  <si>
    <t>FORK-REAR CYLINDER 20-25MM</t>
  </si>
  <si>
    <t>CYLINDER DOUBLE ACTING</t>
  </si>
  <si>
    <t>BRACKET-ANGLE-CYLINDER 12-16</t>
  </si>
  <si>
    <t>MINIATURE CYLINDER</t>
  </si>
  <si>
    <t>Cylinder</t>
  </si>
  <si>
    <t>CYLINDER-LINEAR DE 016 0100</t>
  </si>
  <si>
    <t>CYLINDER-LINEAR DE 012 0065</t>
  </si>
  <si>
    <t>Cylinder (CD85 10 -67C B )</t>
  </si>
  <si>
    <t>Cylinder 72mm RPTB Long stroke</t>
  </si>
  <si>
    <t>CYLINDER-LINEAR DE 010 0100</t>
  </si>
  <si>
    <t>CYLINDER</t>
  </si>
  <si>
    <t>Cylinder with cushion</t>
  </si>
  <si>
    <t>Cylinder (Loader 160mm)</t>
  </si>
  <si>
    <t>CYLINDER (200MM)</t>
  </si>
  <si>
    <t>CYLINDER 72MM RPTB LONG STROKE</t>
  </si>
  <si>
    <t>Cylinder (high temp.)</t>
  </si>
  <si>
    <t>CYLINDER LINEAR DE D=16 STROKE 10</t>
  </si>
  <si>
    <t>CYLINDER LINEAR DE D=16 STROKE 120</t>
  </si>
  <si>
    <t>CYLINDER-LINEAR DE 016 0160</t>
  </si>
  <si>
    <t>CYLINDER-LINEAR DE 016 0050</t>
  </si>
  <si>
    <t>CYLINDER-LINEAR DE 020 0080</t>
  </si>
  <si>
    <t>CYLINDER-LINEAR DE 025 0125</t>
  </si>
  <si>
    <t>CYLINDER-LINEAR DE 025 0200</t>
  </si>
  <si>
    <t>CYLINDER-LINEAR DE 025 0300</t>
  </si>
  <si>
    <t>CYLINDER-LINEAR DE 025 0400</t>
  </si>
  <si>
    <t>PIN-CLEVIS 10X15.2MM SST</t>
  </si>
  <si>
    <t>CYLINDER LINEAR DE 010 0030</t>
  </si>
  <si>
    <t>CYLINDER-AIR STD 06X45MM STR DBL ACTING</t>
  </si>
  <si>
    <t>CYLINDER-LINEAR DE 010 0030</t>
  </si>
  <si>
    <t>CYLINDER-LINEAR DE 010 0045</t>
  </si>
  <si>
    <t>CYLINDER DIA. 16X30 ST,DA</t>
  </si>
  <si>
    <t>CYLINDER-LINEAR 006 0020</t>
  </si>
  <si>
    <t>CYLINDER-LINEAR DE 004 0010</t>
  </si>
  <si>
    <t>CYLINDER-LINEAR DE 004 0005</t>
  </si>
  <si>
    <t>CYLINDER-LINEAR DE 006 0010</t>
  </si>
  <si>
    <t>CYLINDER-AIR STD 06X10MM STR DBL ACTING</t>
  </si>
  <si>
    <t>CYLINDER-LINEAR DE 006 0005</t>
  </si>
  <si>
    <t>CYLINDER-AIR STD 06X5MM STR DBL ACTING</t>
  </si>
  <si>
    <t>Pneumatic cylinder</t>
  </si>
  <si>
    <t>CYL,DBL ACT,50MM STRX20MM BORE</t>
  </si>
  <si>
    <t>CYL, AIR. 20 BORE x 100mm, w/ KNUCKLE</t>
  </si>
  <si>
    <t>COMP CYLINDER,25MM,30MM STRK D</t>
  </si>
  <si>
    <t>CYL,25MM BORE 35MM STK AUTOSW</t>
  </si>
  <si>
    <t>CYLINDER-COMPACT DE 012 0010</t>
  </si>
  <si>
    <t>CYLINDER-LINEAR DE 012 0020</t>
  </si>
  <si>
    <t>CYLINDER-LINEAR DE 012 0005</t>
  </si>
  <si>
    <t>CYLINDER-LINEAR DE 016 0010</t>
  </si>
  <si>
    <t>CYLINDER-LINEAR DE 016 0015</t>
  </si>
  <si>
    <t>AIR CYLINDER-16MMB-15MMSTK</t>
  </si>
  <si>
    <t>COMPACTCYLINDER  DOUBLE ACTING</t>
  </si>
  <si>
    <t>CYLINDER-LINEAR DE 016 0005</t>
  </si>
  <si>
    <t>CYLINDER-LINEAR DE 020 0010</t>
  </si>
  <si>
    <t>CYLINDER-AIR COMPACT 20X10MMST DBL ACT</t>
  </si>
  <si>
    <t>Pneumatic Cylinder</t>
  </si>
  <si>
    <t>CYLINDER-LINEAR DE 020 0025</t>
  </si>
  <si>
    <t>CYLINDER-LINEAR DE 020 0030</t>
  </si>
  <si>
    <t>CYLINDER-LINEAR DE 020 0040</t>
  </si>
  <si>
    <t>CYLINDER-LINEAR DE 025 0010</t>
  </si>
  <si>
    <t>CYLINDER-LINEAR DE 025 0025</t>
  </si>
  <si>
    <t>CYL,DBL ACT,45MM STRX40MM BORE</t>
  </si>
  <si>
    <t>CYLINDER LINEAR DE 016 0010</t>
  </si>
  <si>
    <t>CYLINDER (SO2X00 PLUNGER HEAD)</t>
  </si>
  <si>
    <t>Cylinder ultra long stroke</t>
  </si>
  <si>
    <t>PNEUMATIC CYLINDER</t>
  </si>
  <si>
    <t>SUPER COMPACT CYLINDER</t>
  </si>
  <si>
    <t>Cylinder CDQSB16 - 20 D</t>
  </si>
  <si>
    <t>Cylinder (CDQSB16-45DC)</t>
  </si>
  <si>
    <t>Cylinder (CDQSB16-50DC)</t>
  </si>
  <si>
    <t>CYLINDER,AIR,16MMBOREX50MMSTRK</t>
  </si>
  <si>
    <t>Cylinder (CDQSB20-125DCM)</t>
  </si>
  <si>
    <t>CYLINDER-LINEAR DE 020 0060</t>
  </si>
  <si>
    <t>Cylinder (Vacuum Piston)</t>
  </si>
  <si>
    <t>ROTARY ACTUATOR D=10 A=90</t>
  </si>
  <si>
    <t>ROTARY ACTUATOR,AUTO SWITCH</t>
  </si>
  <si>
    <t>ACTUATOR-ROTARY 90DEG 15MM</t>
  </si>
  <si>
    <t>CYLINDER-ROTARY DE 020 090</t>
  </si>
  <si>
    <t>ROTARY CYLINDER SINGLE VANE DE 10 180</t>
  </si>
  <si>
    <t>Rotary Actuator D=10 A=270</t>
  </si>
  <si>
    <t>ROTARY-CYLINDER-90 DEGREE</t>
  </si>
  <si>
    <t>CYLINDER-ROTARY DE 015 180</t>
  </si>
  <si>
    <t>ROTARY DRIVE</t>
  </si>
  <si>
    <t>ACTUATOR-ROTRY,SIZE 20,270 DEG</t>
  </si>
  <si>
    <t>ACTUATOR-ROTARY-SIZE 30-90 DEG</t>
  </si>
  <si>
    <t>ROTARY CYLINDER (TUBE UNLOADER SO1800)</t>
  </si>
  <si>
    <t>Swivel drive</t>
  </si>
  <si>
    <t>CYL, 10MM BORE, 10MM STROKE</t>
  </si>
  <si>
    <t>CYLINDER-AIR COMPACT 10X10MM STR W/SWTCH</t>
  </si>
  <si>
    <t>AIR CYLINDER,10 X10</t>
  </si>
  <si>
    <t>CYLINDER FREE MOUNT DIA. 10X25</t>
  </si>
  <si>
    <t>CYLINDER-LINEAR DE 010 0005</t>
  </si>
  <si>
    <t>CYLINDER CDU 20-10</t>
  </si>
  <si>
    <t>CYLINDER CDU 20-20</t>
  </si>
  <si>
    <t>FREE MNT CYLINDER 20 BORE X 30</t>
  </si>
  <si>
    <t>CYLINDER-LINEAR DE 010 0015</t>
  </si>
  <si>
    <t>CYLINDER CDUJB10-30D-X742</t>
  </si>
  <si>
    <t>CYLINDER-LINEAR DE 010 0006</t>
  </si>
  <si>
    <t>Cylinder CDUJB12-10-D</t>
  </si>
  <si>
    <t>Cylinder CDUJB12-15D</t>
  </si>
  <si>
    <t>MINI CYL,BS 6MM,CS15MM,DA</t>
  </si>
  <si>
    <t>CYLINDER-LINEAR 006 004</t>
  </si>
  <si>
    <t>CYLINDER-LINEAR DE 006 0006</t>
  </si>
  <si>
    <t>CYLINDER SINGLE ACTING</t>
  </si>
  <si>
    <t>CUJ Mini Free Mount Cylinder</t>
  </si>
  <si>
    <t>CYLINDER,FREE MT,CDUCK10-15-S</t>
  </si>
  <si>
    <t>CYLINDER-LINEAR DE 010 0020</t>
  </si>
  <si>
    <t>CYLINDER-LINEAR DE 016 0020</t>
  </si>
  <si>
    <t>CYL, DBL ACT, 6mmBX5mmS, NON-ROT</t>
  </si>
  <si>
    <t>CYLINDER - BIAS</t>
  </si>
  <si>
    <t>CYLINDER, 10mm x 100mm L</t>
  </si>
  <si>
    <t>CJ2 CYLINDER SPL.</t>
  </si>
  <si>
    <t>CLYINDER, CHUCK RETRACT, MTX</t>
  </si>
  <si>
    <t>CYLINDER-LINEAR DE 010 0125</t>
  </si>
  <si>
    <t>CYLINDER-LINEAR SE 010 0005</t>
  </si>
  <si>
    <t>CYLINDER-LINEAR DE 016 0125</t>
  </si>
  <si>
    <t>CYLINDER-LINEAR 016 0030</t>
  </si>
  <si>
    <t>Cylinder (Lead Buffer)</t>
  </si>
  <si>
    <t>CYLINDER,AIR,10MM BX10MM ST SE</t>
  </si>
  <si>
    <t>CYL,AIR,10MM B X 10MM ST SR</t>
  </si>
  <si>
    <t>Pneumatic Fitting ( reduced )</t>
  </si>
  <si>
    <t>CYLINDER-LINEA SE 010 0005</t>
  </si>
  <si>
    <t>CYLINDER AIR PIN 10X5MM STR PANEL MOUNT</t>
  </si>
  <si>
    <t>CYLINDER-LINEAR DE 006 0010 CARTRIDGE</t>
  </si>
  <si>
    <t>CYLINDER-LINEAR SE 006 0010</t>
  </si>
  <si>
    <t>CYLINDER-LINEAR SE 006 0015</t>
  </si>
  <si>
    <t>CYLINDER-LINEAR SE 006 0005 CARTRIDGE</t>
  </si>
  <si>
    <t>CYLINDER-LINEAR SE 010 0010</t>
  </si>
  <si>
    <t>CYLINDER-MINI. SIMPLE EFFECT D=10 C=5</t>
  </si>
  <si>
    <t>COMPACTCYLINDER DOUBLE ACTING</t>
  </si>
  <si>
    <t>Cylinder (desoak Jamclearer)</t>
  </si>
  <si>
    <t>CYLINDER SINGLE  ACTING</t>
  </si>
  <si>
    <t>cylinder</t>
  </si>
  <si>
    <t>CYLINDER,20MM BS, 40MM STROKE</t>
  </si>
  <si>
    <t>CYLINDER-LINEAR DE 025 0015</t>
  </si>
  <si>
    <t>CYLINDER-LINEAR SE 032 0010</t>
  </si>
  <si>
    <t>CYLINDER,32MMBS,40MM STROKE</t>
  </si>
  <si>
    <t>COMPACT CYLINDER</t>
  </si>
  <si>
    <t>double clevis pivot bracket</t>
  </si>
  <si>
    <t>double clevis</t>
  </si>
  <si>
    <t>Rotary cylinder</t>
  </si>
  <si>
    <t>CYLINDER-ROTARY DE 010 180</t>
  </si>
  <si>
    <t>CYLINDER-ROTARY DE 010 090</t>
  </si>
  <si>
    <t>CYLINDER-ROTARY DE 020 180</t>
  </si>
  <si>
    <t>CYLINDER-ROTARY DE 020 270DEG</t>
  </si>
  <si>
    <t>MINI ROTARY ACTUATOR, 180 DEG</t>
  </si>
  <si>
    <t>ROTARY ACTUATOR,90DEG 10MM B</t>
  </si>
  <si>
    <t>Trunnion pin</t>
  </si>
  <si>
    <t>CYLINDER, 30MM STROKE</t>
  </si>
  <si>
    <t>AIR CYLINDER,10X10MM,SR</t>
  </si>
  <si>
    <t>Pneumatic-cylinder</t>
  </si>
  <si>
    <t>MINIATURCYLINDER</t>
  </si>
  <si>
    <t>CYL  6MM BORE X 15MM STROKE</t>
  </si>
  <si>
    <t>Cylinder  CUJB6-8SM</t>
  </si>
  <si>
    <t>CYL,10MM STROKE X 8MM BORE</t>
  </si>
  <si>
    <t>CYLINDER-AIR-8X4MM DBL ACTING</t>
  </si>
  <si>
    <t>Dual Rod Cylinder</t>
  </si>
  <si>
    <t>CYLINDER,DUAL ROD,10MMX10MM</t>
  </si>
  <si>
    <t>CYL, 6MM BORE, 10MM STROKE</t>
  </si>
  <si>
    <t>CYLINDER-LINEAR BI-ROD C=10 2 SENSOR</t>
  </si>
  <si>
    <t>CYLINDER-LINEAR DE 006 0050</t>
  </si>
  <si>
    <t>CYLINDER DUAL-ROD D=10 STROKE 30</t>
  </si>
  <si>
    <t>TWIN ROD CYLINDER</t>
  </si>
  <si>
    <t>CYLINDER-LINEAR DE 015 0010</t>
  </si>
  <si>
    <t>CYLINDER-LINEAR DE 015 0030</t>
  </si>
  <si>
    <t>CYLINDER-LINEAR DE 020 0100</t>
  </si>
  <si>
    <t>CYLINDER-LINEAR DE 006 0020</t>
  </si>
  <si>
    <t>CYLINDER-LINEAR DE 006 0030</t>
  </si>
  <si>
    <t>CYLINDER,RODLESS,15MM X 400MM</t>
  </si>
  <si>
    <t>CYLINDER-LINEAR DE 015 0450 WITHOUT ROD</t>
  </si>
  <si>
    <t>Reed Switch</t>
  </si>
  <si>
    <t>SENSOR-REED + WIRE NOYE</t>
  </si>
  <si>
    <t>REED-SWITCH-DIRECT-MOUNT</t>
  </si>
  <si>
    <t>REED SWITCH D-A93</t>
  </si>
  <si>
    <t>PROXIMITY SWITCH</t>
  </si>
  <si>
    <t>SWITCH,AUTO-SOLID_STATE</t>
  </si>
  <si>
    <t>SENSOR-INDUCTIVE + WIRE NOYE</t>
  </si>
  <si>
    <t>SWITCH,AUTO,AIR CYLINDER,F8N</t>
  </si>
  <si>
    <t>SS SWITCH,24VDC NPN,3WIRES</t>
  </si>
  <si>
    <t>SIGNALLER</t>
  </si>
  <si>
    <t>AUTO SWITCH, GENERAL PURPOSE</t>
  </si>
  <si>
    <t>AUTO SWITCH SENSOR D-F8PL</t>
  </si>
  <si>
    <t>REED SWITCH</t>
  </si>
  <si>
    <t>SENSOR-INDUCTIVE-WIRE-NOYE D-F9P</t>
  </si>
  <si>
    <t>SWITCH, AUTO, SOLID STATE</t>
  </si>
  <si>
    <t>SENSOR-INDUCTIVE WITH CONNECTOR</t>
  </si>
  <si>
    <t>MULTI TUBE CONNECTOR 4MM TUBE</t>
  </si>
  <si>
    <t>SENSOR-PROXIMITY 2 WIRES</t>
  </si>
  <si>
    <t>SOLID STAGE AUTO SWITCH</t>
  </si>
  <si>
    <t>SENSOR</t>
  </si>
  <si>
    <t>Pneumatic Interface (DMK6-23-C2)</t>
  </si>
  <si>
    <t>Pneumatic Booster big</t>
  </si>
  <si>
    <t>CONNECTOR VALVE VZ110/VZ1120</t>
  </si>
  <si>
    <t>CONNECTOR VALVE VZ110/1120</t>
  </si>
  <si>
    <t>SENSOR-INDUCTIVE + WIRE NOYE 90DEG</t>
  </si>
  <si>
    <t>VALVE-NONRETURN EAK4000-F04</t>
  </si>
  <si>
    <t>SILENCER-DISC D= 06 T=2</t>
  </si>
  <si>
    <t>CYLINDER-LINEAR DE 032 0015</t>
  </si>
  <si>
    <t>CARTRIDGE-FILTER-PNEUMATIC 30 MICRONS</t>
  </si>
  <si>
    <t>CYLINDER-LINEAR DE 020 0020</t>
  </si>
  <si>
    <t>CYLINDER-LINEAR DE 020 0050</t>
  </si>
  <si>
    <t>ELECTROVALVE 3/2 NC</t>
  </si>
  <si>
    <t>Valve</t>
  </si>
  <si>
    <t>Pneumatic Solenoid 3/2-Way</t>
  </si>
  <si>
    <t>FILTER-PNEUMATIC-VACUUM G1/4-G1/4 200L</t>
  </si>
  <si>
    <t>VACUUM GENERATOR EZH05DS060606</t>
  </si>
  <si>
    <t>VENTURI-WITH-SILENCE-BUSE 1.0MM</t>
  </si>
  <si>
    <t>VACUUM GENERATOR EZH10DS060608</t>
  </si>
  <si>
    <t>VACUUM GENERATOR SMC</t>
  </si>
  <si>
    <t>GAUGE-PRESSURE 10BAR G15-10-01</t>
  </si>
  <si>
    <t>GAUGE,0-150PSI,0.6DIA,1/8MPT</t>
  </si>
  <si>
    <t>GAUGE-PRESSURE 10BAR G27-10-R1</t>
  </si>
  <si>
    <t>PRESSURE GAUGE</t>
  </si>
  <si>
    <t>GAUGE,R1/8PORT,0-30PSI,30MMOD</t>
  </si>
  <si>
    <t>PRESSURE GAUGE WITH LIMIT INDICATOR</t>
  </si>
  <si>
    <t>GAUGE, .2 MPA GP 1/8 NPT 37.5OD</t>
  </si>
  <si>
    <t>PRESSURE GAUGE, 150 PSI, 1/8 BSPT</t>
  </si>
  <si>
    <t>MANOMETER G1/8 0-2BAR</t>
  </si>
  <si>
    <t>GAUGE, .4 MPA GP 1/8 NPT 37.5O</t>
  </si>
  <si>
    <t>GAUGE, .7 MPa GP 1/8 NPT 37.5O</t>
  </si>
  <si>
    <t>Cylinder Clevis</t>
  </si>
  <si>
    <t>Manometer - Vakuum</t>
  </si>
  <si>
    <t>FITTTING SELF-ALIGN G3/8M 8</t>
  </si>
  <si>
    <t>FILTER,ELEMENT,6X4 DIA,25MM L</t>
  </si>
  <si>
    <t>MEMBRANE AIRDRYER</t>
  </si>
  <si>
    <t>FITTING,ONE TCH 6MM-1/4" UNION</t>
  </si>
  <si>
    <t>RGLTR,PREC.1/8 NPT(.73-29 PSI)</t>
  </si>
  <si>
    <t>REG,PRECISION,0-30PSI,W/BRKT</t>
  </si>
  <si>
    <t>VALVE-PRESSURE REDUCER G1/8  4BARS</t>
  </si>
  <si>
    <t>Speed controller</t>
  </si>
  <si>
    <t>REGULATOR,PRECISION 1-120PSI</t>
  </si>
  <si>
    <t>REGULATOR-PRECISION IR2000-02</t>
  </si>
  <si>
    <t>REGULATOR,PRECISION,0-30PSI</t>
  </si>
  <si>
    <t>REGULATOR,PRECISION,0-60PSI</t>
  </si>
  <si>
    <t>Pressure Regulator (PrecisionRegulator)</t>
  </si>
  <si>
    <t>REGULATOR,PRECISION PRESSURE G</t>
  </si>
  <si>
    <t>REGULATOR-VACUUM-140L/MN</t>
  </si>
  <si>
    <t>VACUUM-REGULATOR G1/2</t>
  </si>
  <si>
    <t>REGULATOR VACUUM 240L/MN DIAM</t>
  </si>
  <si>
    <t>REGULATOR,VACUUM,1/2"NPT PORTS</t>
  </si>
  <si>
    <t>SWITCH-PRESS. 0.1-0.6BAR S2000 /BASE+L</t>
  </si>
  <si>
    <t>SWITCH,PRESSURE .4MPA, LEFT MNT</t>
  </si>
  <si>
    <t>Pressure analyser</t>
  </si>
  <si>
    <t>Pressure Sensor (NPN)</t>
  </si>
  <si>
    <t>SWITCH-PRESS.-DIGITAL PNP -1 TO 10 BAR</t>
  </si>
  <si>
    <t>SWITCH-PRESS.-DIGITAL PNP 0-10 BAR IP40</t>
  </si>
  <si>
    <t>Pressure Sensor</t>
  </si>
  <si>
    <t>PRESSURE SENSOR DIGITAL</t>
  </si>
  <si>
    <t>SWITCH-PRESS.-DIGITALIS PNP 0-10BAR IP65</t>
  </si>
  <si>
    <t>E/P PRESURE REGULATOR</t>
  </si>
  <si>
    <t>ELECTRONIC PNEUMATIC MODULATOR</t>
  </si>
  <si>
    <t>REGULATOR-ELECTRO-PNEUMATIC-0.9MPA RS232</t>
  </si>
  <si>
    <t>REGULATOR ELCTRO-PNEUMATIC</t>
  </si>
  <si>
    <t>ELPNEU REGULATOR,24VDC,0.5MPA</t>
  </si>
  <si>
    <t>REGULATOR,ITV2030 SERIES</t>
  </si>
  <si>
    <t>PROPORTIONAL VALVE</t>
  </si>
  <si>
    <t>REGULATOR,ELCTRO-PNEUMATIC</t>
  </si>
  <si>
    <t>REGULATOR, ELECTRO-PNEUMATIC</t>
  </si>
  <si>
    <t>COMPENSATING ELEMENT</t>
  </si>
  <si>
    <t>GAUGE,0-160PSI,27MMDX1/8"NPT</t>
  </si>
  <si>
    <t>SOCKET</t>
  </si>
  <si>
    <t>Valve Plug</t>
  </si>
  <si>
    <t>GAUGE,PRESSURE</t>
  </si>
  <si>
    <t>GAUGE-PRESSURE 0-2.5 BAR  K8-2</t>
  </si>
  <si>
    <t>GAUGE-PRESSURE 4 BAR 1/8</t>
  </si>
  <si>
    <t>MULTI CONN,10 PL,6MM OD TUBE</t>
  </si>
  <si>
    <t>Pneumatic Multiconnector 10</t>
  </si>
  <si>
    <t>Pneumatic Multiconnector 20</t>
  </si>
  <si>
    <t>Klemmverschraubung</t>
  </si>
  <si>
    <t>Fitting 12-12</t>
  </si>
  <si>
    <t>Fitting</t>
  </si>
  <si>
    <t>Fitting Ellbow</t>
  </si>
  <si>
    <t>Fitting-T-3x12</t>
  </si>
  <si>
    <t>Gerade Klemmverschraubung</t>
  </si>
  <si>
    <t>Einschraubwinkel</t>
  </si>
  <si>
    <t>T-Klemmverbindung</t>
  </si>
  <si>
    <t>FITTING STRAIGHT M5 6/4</t>
  </si>
  <si>
    <t>UNION,BULKHEAD,M9X0.75,4MM OD</t>
  </si>
  <si>
    <t>CONNECTOR,MALE M5-6MM</t>
  </si>
  <si>
    <t>ELBOW-UNION 1/8M 4/2.5</t>
  </si>
  <si>
    <t>FITTING,MALE ELBOW,6MM TUBE,M5</t>
  </si>
  <si>
    <t>ELBOW,MALE,1/4"TUBE,10-32 NPT</t>
  </si>
  <si>
    <t>PLUG IN REDUCER,5/32" TO 1/8</t>
  </si>
  <si>
    <t>FITTING REDUCER 4M TO 3.2F</t>
  </si>
  <si>
    <t>FITTING-STRAIGHT M5 3.2/2</t>
  </si>
  <si>
    <t>TEE,5/32 OD,5/32 OD, 1/8 MNPT</t>
  </si>
  <si>
    <t>FITTING-COUNTER-PARTS RC1/4F</t>
  </si>
  <si>
    <t>Stecker Schnellkupplung SerieKK13</t>
  </si>
  <si>
    <t>Buchse Schnellkupplung Serie KK13</t>
  </si>
  <si>
    <t>FITTING-COUNTER-PARTS R1/2M</t>
  </si>
  <si>
    <t>COUPLER-PNEUMATIC RC1/2F</t>
  </si>
  <si>
    <t>TIP-PNEUMATIC-RIGHT-FITTING D=4</t>
  </si>
  <si>
    <t>FITTING-QUICK-MALE-ELBOWED D.6</t>
  </si>
  <si>
    <t>FITTING-QUICK-FEMALE G1/8" D.4</t>
  </si>
  <si>
    <t>FITTING - BULKHEAD  FEMALE 4MM PLUG IN</t>
  </si>
  <si>
    <t>COUPLER-PNEUMATIC-RIGHT-FITTING D=4</t>
  </si>
  <si>
    <t>FITING-INSTANTANEOUS-COUPLER</t>
  </si>
  <si>
    <t>FITTING - STRAIGHT MALE 8MM PLUG IN</t>
  </si>
  <si>
    <t>FITTING-QUICK-MALE-ELBOWED D.8</t>
  </si>
  <si>
    <t>FITTING-QUICK-FEMALE G1/8" D.6</t>
  </si>
  <si>
    <t>CPLNG, S, QUICK DISCONNECT 6MM</t>
  </si>
  <si>
    <t>FITING-INSTANTANEOUS-ELBOWED</t>
  </si>
  <si>
    <t>FITTING - BULKHEAD FEMALE 10MM PLUG IN</t>
  </si>
  <si>
    <t>FITTING,PLUG</t>
  </si>
  <si>
    <t>FITTING,SKT</t>
  </si>
  <si>
    <t>10MM INLET TO 6MM OUTLET,10MM</t>
  </si>
  <si>
    <t>FITTING-MULTIPLE 10- 6</t>
  </si>
  <si>
    <t>MANIFOLD,3/8OD,2EA,1/4OD,10EA</t>
  </si>
  <si>
    <t>MANIFOLD,ONE-TOUCH</t>
  </si>
  <si>
    <t>ONE TOUCH FITTING MANIFOLD</t>
  </si>
  <si>
    <t>FITTING-CAP-FEMALE D=4</t>
  </si>
  <si>
    <t>TUBE CAP, 6MM ONE TOUCH</t>
  </si>
  <si>
    <t>CAP, 8MM TUBING</t>
  </si>
  <si>
    <t>UNION,DELTA,6MM</t>
  </si>
  <si>
    <t>ONE TOUCH FITTING</t>
  </si>
  <si>
    <t>CONN,1/4NPT-5/32TUBE,BULKHD</t>
  </si>
  <si>
    <t>UNION,BULKHEAD,1/4OD</t>
  </si>
  <si>
    <t>FITTING,BULKHEAD1/4 OD,1/4FNPT</t>
  </si>
  <si>
    <t>FITTING-STRAIGHT 10/8 10/8</t>
  </si>
  <si>
    <t>Pneumatic Fitting 3.2</t>
  </si>
  <si>
    <t>FITTING-FEM UNION 4MM M5 ONE-TOUCH</t>
  </si>
  <si>
    <t>FITTING,6MM OD X 1/4 NPTF,STR</t>
  </si>
  <si>
    <t>UNION,FEMALE</t>
  </si>
  <si>
    <t>FITTING-STRAIGHT G3/8M 10/8</t>
  </si>
  <si>
    <t>FITTING-STRAIGHT G3/8F 16/12</t>
  </si>
  <si>
    <t>FITTING-STRAIGHT-UNION D=2 D=2</t>
  </si>
  <si>
    <t>FITTING, MALE 1/4NPT</t>
  </si>
  <si>
    <t>FITTING-STRAIGHT 4/2.5 4/2.5</t>
  </si>
  <si>
    <t>STRAIGHT,1/4 R(PT) M,4MM F</t>
  </si>
  <si>
    <t>STRAIGHT,REDUCER,6MM F,4MM F</t>
  </si>
  <si>
    <t>MALE CONNECTOR</t>
  </si>
  <si>
    <t>STRAIGHT UNION</t>
  </si>
  <si>
    <t>FITTING-STRAIGHT 1/8M 6/4</t>
  </si>
  <si>
    <t>MALE FITTING KQ2H06-03AS</t>
  </si>
  <si>
    <t>STRAIGHT,GASKET,M5x0.8 M,6MM F</t>
  </si>
  <si>
    <t>FITTING-MALE CONN 6MMXM5</t>
  </si>
  <si>
    <t>FITTING-STRAIGHT M5 6/4</t>
  </si>
  <si>
    <t>FITTING,STR,1/8" UNI,6MM TUBE</t>
  </si>
  <si>
    <t>FITTING,UNION,1/4</t>
  </si>
  <si>
    <t>UNION,ONETOUCH 1/4 TO 5/16,F,F</t>
  </si>
  <si>
    <t>FITTING, 1 TOUCH, 1/4ODX1/8NPT</t>
  </si>
  <si>
    <t>FITTING,STR,1-TCH,1/4MPT,1/4OD</t>
  </si>
  <si>
    <t>FITTING,STR,3/8MPT,1/4OD</t>
  </si>
  <si>
    <t>UNION,STRAIGHT,8MM</t>
  </si>
  <si>
    <t>STRAIGHT,1/8 R(PT) M,8MM F</t>
  </si>
  <si>
    <t>STRAIGHT,3/8 R(PT) M,8MM F</t>
  </si>
  <si>
    <t>FITTING-REDUCTION 10-8 UNION DOUBLE</t>
  </si>
  <si>
    <t>STRAIGHT,REDUCER,10MM F,8MM F</t>
  </si>
  <si>
    <t>UNION,8MM TO 10MM</t>
  </si>
  <si>
    <t>STRAIGHT,1/4 NPT M,8MM F</t>
  </si>
  <si>
    <t>STRAIGHT,REDUCER,3/8" F,5/16"F</t>
  </si>
  <si>
    <t>FITTING STRAIGHT 5/16ODX1/8NPT</t>
  </si>
  <si>
    <t>FITTING-STRAIGHT G1/8M 10/8</t>
  </si>
  <si>
    <t>FITTING-STRAIGHT 3/8M 10/8</t>
  </si>
  <si>
    <t>FITTING,MALE CONN.</t>
  </si>
  <si>
    <t>UNION,STRAIGHT,12MM</t>
  </si>
  <si>
    <t>FITTING,1/4 NPT X 12MM,STR</t>
  </si>
  <si>
    <t>FITTING,MALE,12MM OD,PORT R3/8</t>
  </si>
  <si>
    <t>FITTING-STRAIGHT G1/2M 12/16 KQ2H</t>
  </si>
  <si>
    <t>FITTING-STRAIGHT R1/2 16</t>
  </si>
  <si>
    <t>Tube Connector</t>
  </si>
  <si>
    <t>FITTING-REDUCTION 4/3.2 UNION DOUBLE</t>
  </si>
  <si>
    <t>PNEUMATIC FITTING</t>
  </si>
  <si>
    <t>45ø MALE ELBOW</t>
  </si>
  <si>
    <t>FITTING,45DEG,PUSH-CONN,6MM,M5</t>
  </si>
  <si>
    <t>FITTING,RDCR,ELB,1/4OD,1/8OD</t>
  </si>
  <si>
    <t>ELBOW,1/8 TUBE X 10-32THD</t>
  </si>
  <si>
    <t>ELBOW-UNION M3M 2/1.4</t>
  </si>
  <si>
    <t>FITTING-ELBOW M5 KQ2L02</t>
  </si>
  <si>
    <t>FITTING,ELBOW,5/32,BLACK</t>
  </si>
  <si>
    <t>FITTING,RDCR,ELB,5/32OD,3/16OD</t>
  </si>
  <si>
    <t>FITTING ELBOW ONE</t>
  </si>
  <si>
    <t>FITTING-ELBOW MALE 5/32X10-32</t>
  </si>
  <si>
    <t>ELBOW,1/8 NPT M,5/32 OD F</t>
  </si>
  <si>
    <t>ELBOW,MALE,5/32"TUBE</t>
  </si>
  <si>
    <t>FITTING,ELB,UNION,4MM OD</t>
  </si>
  <si>
    <t>CONNECTOR KQ2L04-01NS</t>
  </si>
  <si>
    <t>FITTING ELBOW REDUCER 4MM-6MM</t>
  </si>
  <si>
    <t>Reducer Elbow</t>
  </si>
  <si>
    <t>REDUCE ELBOW</t>
  </si>
  <si>
    <t>MALE ELBOW</t>
  </si>
  <si>
    <t>FITTING ANGLE</t>
  </si>
  <si>
    <t>UNION ELBOW</t>
  </si>
  <si>
    <t>ELBOW-UNION 1/8M 6/4</t>
  </si>
  <si>
    <t>ELBOW,MALE,6MM</t>
  </si>
  <si>
    <t>PLUG-IN ELBOW</t>
  </si>
  <si>
    <t>Pneumatic fitting</t>
  </si>
  <si>
    <t>ELBOW-UNION M5M 6/4</t>
  </si>
  <si>
    <t>FITTING,MALE ELBOW,M6</t>
  </si>
  <si>
    <t>ELBOW,UNV G,1/8 UNI M,6MM F</t>
  </si>
  <si>
    <t>UNION ELBOW-1/4IN TUBE</t>
  </si>
  <si>
    <t>FITTING,RDCR,ELB,3/8OD,1/4OD</t>
  </si>
  <si>
    <t>FITTING, ONE TOUCH</t>
  </si>
  <si>
    <t>ELBOW-UNION 10M 8/6</t>
  </si>
  <si>
    <t>ELBOW, 8MM, MALE TO FEMALE</t>
  </si>
  <si>
    <t>1/8"RCX8MM ELBOW</t>
  </si>
  <si>
    <t>ELBOW FITTING,8MM OD,1/4"UNI</t>
  </si>
  <si>
    <t>3/8"RCX8MM ELBOW</t>
  </si>
  <si>
    <t>FITTING  ELBOW  5/16X1/4NPT</t>
  </si>
  <si>
    <t>ELBOW, 10MM TO 10MM OD TUBE</t>
  </si>
  <si>
    <t>ELBOW 1/8 R(PT) M 10MM F</t>
  </si>
  <si>
    <t>ELBOW MALE 10MM</t>
  </si>
  <si>
    <t>ELBOW-UNION G1/2M 10/8</t>
  </si>
  <si>
    <t>ELBOW, MALE, 10MM</t>
  </si>
  <si>
    <t>ELBOW 10MM M X 10MM F</t>
  </si>
  <si>
    <t>ELBOW,GASKET,1/4 UNI M,10MM F</t>
  </si>
  <si>
    <t>10MM ELBOW 3/8 MALE UNVSAL</t>
  </si>
  <si>
    <t>ELBOW,1/4 NPT M,3/8 OD F</t>
  </si>
  <si>
    <t>FITTING,ELBOW,3/8NPT,3/8OD</t>
  </si>
  <si>
    <t>ELBOW, ONE TOUCH 12MM, 3/8UNI</t>
  </si>
  <si>
    <t>FITTING,ELB,1/2MPT,1/2OD</t>
  </si>
  <si>
    <t>FITTING-ELBOW UNION DIA3.2 MM OD</t>
  </si>
  <si>
    <t>Winkelsteckreduzierung</t>
  </si>
  <si>
    <t>FITTING EL 03XM5</t>
  </si>
  <si>
    <t>FITTING,BULKHEAD,6MM ELBOW</t>
  </si>
  <si>
    <t>ELBOW,12MM,BULKHEAD</t>
  </si>
  <si>
    <t>RACCORD COUDE M5F 4/2.5</t>
  </si>
  <si>
    <t>ELBOW-UNION G1/8F 6/4</t>
  </si>
  <si>
    <t>Pneumatic Fitting L</t>
  </si>
  <si>
    <t>Fitting Y</t>
  </si>
  <si>
    <t>JONCTION-DOUBLE D=4MM</t>
  </si>
  <si>
    <t>FITTING,NIPPLE,6MM TO 6MM</t>
  </si>
  <si>
    <t>Kupplungsstⁿck</t>
  </si>
  <si>
    <t>Steckverbindung ╪12</t>
  </si>
  <si>
    <t>PLUG,5/16"TUBE FITTING,1.54 LG</t>
  </si>
  <si>
    <t>Blind Plug</t>
  </si>
  <si>
    <t>PLUG,3/8</t>
  </si>
  <si>
    <t>PLUG KQ2P-16</t>
  </si>
  <si>
    <t>Blind Plug Dia3.2mm</t>
  </si>
  <si>
    <t>FITTING-REDUCING-RIGHT-PLUGGABLE</t>
  </si>
  <si>
    <t>Reduction</t>
  </si>
  <si>
    <t>REDUCER 8MM TO 6MM</t>
  </si>
  <si>
    <t>REDUCER,STRAIGHT,6MM TO 10MM</t>
  </si>
  <si>
    <t>PLUG-IN REDUCER,5/16-1/4</t>
  </si>
  <si>
    <t>REDUCER, PLUGIN 1/4</t>
  </si>
  <si>
    <t>10MM TO 8MM TUBE REDUCER</t>
  </si>
  <si>
    <t>REDUCER,STRAIGHT,10MM TO 12MM</t>
  </si>
  <si>
    <t>REDUCTION</t>
  </si>
  <si>
    <t>FITTING-REDUCER-STRAIGHT-PLUGABLE 4/3.2</t>
  </si>
  <si>
    <t>FITTING-STRAIGHT 1/8M 4/2.5</t>
  </si>
  <si>
    <t>FITTING-STRAIGHT M3 4/2.5</t>
  </si>
  <si>
    <t>FITTING-QUICK D=4</t>
  </si>
  <si>
    <t>MALE CNCTR,HEX SKT HD,4MM TUBE</t>
  </si>
  <si>
    <t>MALE CNCTR,HEX HD,4MM TUBE,M6</t>
  </si>
  <si>
    <t>FITTING,STR,1/8 NPT,6MM TUBE</t>
  </si>
  <si>
    <t>CONTACT-SAFETY</t>
  </si>
  <si>
    <t>M6 TUBE MALE CONNECTOR</t>
  </si>
  <si>
    <t>FITTING,MALE CONN,6MM TUBE,M6</t>
  </si>
  <si>
    <t>FITTING-STRAIGHT 1/8M 8/6</t>
  </si>
  <si>
    <t>CONNECTOR,MALE,8MM,1/8"PT</t>
  </si>
  <si>
    <t>FITTING-STRAIGHT G1/4M 10/8</t>
  </si>
  <si>
    <t>FITTING-STRAIGHT G3/8M 12/10</t>
  </si>
  <si>
    <t>UNIFIT FITTING, 1/4"M, 12MM OD</t>
  </si>
  <si>
    <t>UNIFIT FITTING, 3/8"M, 12MM OD</t>
  </si>
  <si>
    <t>FITTING,M3 MALE,3.2MM OD</t>
  </si>
  <si>
    <t>FITTING-STRAIGHT M5 3.2/3</t>
  </si>
  <si>
    <t>TEE,UNION,4MM</t>
  </si>
  <si>
    <t>FITTING-UNION TEE 4MM</t>
  </si>
  <si>
    <t>UNION TEE</t>
  </si>
  <si>
    <t>FITTING,UNION TEE,6MM TO 4MM</t>
  </si>
  <si>
    <t>DIFFERENT DIAMETER TEE</t>
  </si>
  <si>
    <t>UNION T,6MM</t>
  </si>
  <si>
    <t>TEE,6 MM TUBE, M5</t>
  </si>
  <si>
    <t>FITTING,TEE,06,M5</t>
  </si>
  <si>
    <t>FITTING,UNION TEE,1/4"OD TUBE</t>
  </si>
  <si>
    <t>TEE,ST 1/4TUBE,10-32 M</t>
  </si>
  <si>
    <t>FITTING,TEE,1/4MPT,1/4OD</t>
  </si>
  <si>
    <t>FITTING T G1/8M-10-10</t>
  </si>
  <si>
    <t>TEE,1TOUCH 10MM THRU X8MM</t>
  </si>
  <si>
    <t>TEE,REDUCER,12MM F,2X 10MM F</t>
  </si>
  <si>
    <t>RACCORD T G1/4M-10-10</t>
  </si>
  <si>
    <t>FITTING,T-UNION, ONE</t>
  </si>
  <si>
    <t>UNION T,12MM</t>
  </si>
  <si>
    <t>FITTING T 12-10-12</t>
  </si>
  <si>
    <t>T-Fitting</t>
  </si>
  <si>
    <t>Pneumatic Fitting T 16mm</t>
  </si>
  <si>
    <t>Fitting (Cross)</t>
  </si>
  <si>
    <t>FITTING Y 2-2-2</t>
  </si>
  <si>
    <t>UNION-Y,5/32OD</t>
  </si>
  <si>
    <t>UNION,"Y",4MM</t>
  </si>
  <si>
    <t>FITTING Y UNION 4MMOD 6MMOD</t>
  </si>
  <si>
    <t>FITTING, Y-4MM, 1 TOUCH</t>
  </si>
  <si>
    <t>FITTING-BRANCH Y-M5 TO 4MM</t>
  </si>
  <si>
    <t>FITTING Y 6-6-6</t>
  </si>
  <si>
    <t>UNION Y</t>
  </si>
  <si>
    <t>FITTING, BRANCH, 6MM X 1/8 NPT</t>
  </si>
  <si>
    <t>FITTING, Y, 6MM TUBE, 3/8 FNPT</t>
  </si>
  <si>
    <t>FITTING, UNION Y, 1/4 OD</t>
  </si>
  <si>
    <t>FITT,BRANCH-Y,1/4 T,5/16 T</t>
  </si>
  <si>
    <t>FITTING,1/4" TUBE OD,Y BRANCH</t>
  </si>
  <si>
    <t>FITTING Y G1/8-8-8</t>
  </si>
  <si>
    <t>Y FITTING,8MM MALE,8MM FEMALES</t>
  </si>
  <si>
    <t>TEE, 10,10,10MM PUSH CONN</t>
  </si>
  <si>
    <t>UNION, Y, 3/8"F</t>
  </si>
  <si>
    <t>FITTING BRANCH Y 12MM X 3/8NPT</t>
  </si>
  <si>
    <t>Y FITTING, 3.2MM OD, PUSH</t>
  </si>
  <si>
    <t>DIFFERENT DIAMETER DBL UNION Y</t>
  </si>
  <si>
    <t>Fitting Dia8 to 4x Dia6</t>
  </si>
  <si>
    <t>FITT,ELB,10-32X1/8,TRIPLE UNIV</t>
  </si>
  <si>
    <t>ELBOW,TRIPLE,6MM,1/4RPT,W/SEAL</t>
  </si>
  <si>
    <t>TRIPLE 12MM OD ELBOW 1/2''MALE</t>
  </si>
  <si>
    <t>ELBOW-UNION M3M 4/2.5</t>
  </si>
  <si>
    <t>ELBOW-UNION M5M 4/2.5</t>
  </si>
  <si>
    <t>EXTENDED MALE ELBOW,M5</t>
  </si>
  <si>
    <t>FITTING,ELBOW,EXTND,6MMTUBE,M5</t>
  </si>
  <si>
    <t>Extended Male Elbow:</t>
  </si>
  <si>
    <t>ELBOW-UNION 1/8M 8/6</t>
  </si>
  <si>
    <t>FITTING-SINGLE Y-6MMX4MM</t>
  </si>
  <si>
    <t>PLUG-IN "Y" 8MM TO 6MM</t>
  </si>
  <si>
    <t>UNION,2 Y,REDUCER,8MM M,6MM F</t>
  </si>
  <si>
    <t>FITTING T G3/8M-10-10</t>
  </si>
  <si>
    <t>FITTING Y G1/2M-12-12</t>
  </si>
  <si>
    <t>FITTING-BNCH UNI MALE ELBOW-M5 TO 4MM</t>
  </si>
  <si>
    <t>ELBOW,DUAL UNI,6MM F X 1/4BSPT</t>
  </si>
  <si>
    <t>ELBOW UNIV 2X 10MM X 3/8 Rc M</t>
  </si>
  <si>
    <t>ELBOW,UNIV 2X 12MM X 3/8 RPT M</t>
  </si>
  <si>
    <t>BRANCH 12MM OD ELBOW, 1/2" NPT</t>
  </si>
  <si>
    <t>Fitting 1/8" - 4x10</t>
  </si>
  <si>
    <t>Pneumatic Fitting 1/8" auf 6x04</t>
  </si>
  <si>
    <t>FITTING-TRIPLE Y-1/4PT TO 4MM-X6</t>
  </si>
  <si>
    <t>FITTING-TRIPLE Y-1/4PT TO 6MM-X6</t>
  </si>
  <si>
    <t>Plug connection (KQB2H04-M5)</t>
  </si>
  <si>
    <t>COPPER ALLOY FITTING</t>
  </si>
  <si>
    <t>Plug connection (KQB2H08-G01)</t>
  </si>
  <si>
    <t>Plug connection (KQB2W08-G01)</t>
  </si>
  <si>
    <t>Pneumatic Fitting KQG2S08</t>
  </si>
  <si>
    <t>Pneumatic Fitting KQG2S08-02S</t>
  </si>
  <si>
    <t>FITTING,Q-CON,1/4NPT,3/8TUBING</t>
  </si>
  <si>
    <t>Pneumatic Fitting Y 6mm</t>
  </si>
  <si>
    <t>Fitting KQG2U06-08</t>
  </si>
  <si>
    <t>FITTING,MALE ONE-</t>
  </si>
  <si>
    <t>FITTING,PNEUMATIC(4MM/M5THD)</t>
  </si>
  <si>
    <t>FITTING,STR,PUSH,1/2MPT,3/8OD</t>
  </si>
  <si>
    <t>M4 TUBE MALE ELBOW CONNECTOR</t>
  </si>
  <si>
    <t>FITTING,PLUG-IN ELBOW 1/4TO1/4</t>
  </si>
  <si>
    <t>FITTING, ELBOW, 5/16X1/4NPT</t>
  </si>
  <si>
    <t>PLUG,5/32"TUBE</t>
  </si>
  <si>
    <t>PLUG,6MM</t>
  </si>
  <si>
    <t>PLUG,1/4" TUBE</t>
  </si>
  <si>
    <t>CONNECTOR, WITH INTERNAL HEX</t>
  </si>
  <si>
    <t>FITTING,UNION TEE 5/16"OD</t>
  </si>
  <si>
    <t>UNION "Y",12MM</t>
  </si>
  <si>
    <t>Pneumatic Fitting 6-fach 1/4"</t>
  </si>
  <si>
    <t>STRAIGHT SCREW IN CONNECTION</t>
  </si>
  <si>
    <t>FITTING-STRAIGHT M6M 6/4</t>
  </si>
  <si>
    <t>FITTING,ELBOW 4MM,5MM THD</t>
  </si>
  <si>
    <t>SCREW IN ANGLE</t>
  </si>
  <si>
    <t>ELBOW-UNION-ROTARY 1/8M 6/4</t>
  </si>
  <si>
    <t>Pneumatic fitting (rotary)</t>
  </si>
  <si>
    <t>Fitting (ball race)</t>
  </si>
  <si>
    <t>LINEAR SPINDLE DRIVE</t>
  </si>
  <si>
    <t>ELBOW-UNION M3M 2/1.2</t>
  </si>
  <si>
    <t>WASHER,SEALING,M3</t>
  </si>
  <si>
    <t>CAP MALE M3</t>
  </si>
  <si>
    <t>Elbow Screw Fitting</t>
  </si>
  <si>
    <t>FITTING,M5,6MM,BARB</t>
  </si>
  <si>
    <t>Fitting Connector</t>
  </si>
  <si>
    <t>GASKET,7 OD X M5 ID X .5 THK</t>
  </si>
  <si>
    <t>Fitting (Extension)</t>
  </si>
  <si>
    <t>JOINT-SOCKET-M5M M5M</t>
  </si>
  <si>
    <t>PLUG</t>
  </si>
  <si>
    <t>Pneumatic Universal tee</t>
  </si>
  <si>
    <t>GRIPPER-PARALLEL C= 8 2 JAWS DE</t>
  </si>
  <si>
    <t>ROTARY TABLE</t>
  </si>
  <si>
    <t>CYLINDER LINEAR 006 0020</t>
  </si>
  <si>
    <t>Guiding Cylinder MGJ10-5</t>
  </si>
  <si>
    <t>Cylinder with Guiding</t>
  </si>
  <si>
    <t>Cylinder with guiding</t>
  </si>
  <si>
    <t>CYLINDER-GUIDE COMPACT 16X10MM STR</t>
  </si>
  <si>
    <t>CYLINDER-LINEAR BORE 16-STROKE 10</t>
  </si>
  <si>
    <t>COMPACT CYLINDER LINEAR 016 0150</t>
  </si>
  <si>
    <t>CYLINDER-LINEAR DE 016 0075</t>
  </si>
  <si>
    <t>CYLINDER-LINEAR DE 012 0010</t>
  </si>
  <si>
    <t>CYLINDER-LINEAR BI-ROD C=125 2 SENSOR</t>
  </si>
  <si>
    <t>CYLINDER-LINEAR 012 0030</t>
  </si>
  <si>
    <t>CYLINDER-LINEAR DE 012 0050</t>
  </si>
  <si>
    <t>CYLINDER-LINEAR DE 016 0030</t>
  </si>
  <si>
    <t>SLIDE TABLE-25MMBX100MMS-AIR CUSH</t>
  </si>
  <si>
    <t>GRIPPER-DOUBLE-EFFECT MHC2-10D</t>
  </si>
  <si>
    <t>AIR GRIPPER</t>
  </si>
  <si>
    <t>GRIPPER-PARALLEL S= 6 DE</t>
  </si>
  <si>
    <t>CYLINDER GRIPPER MHZ2-16S</t>
  </si>
  <si>
    <t>GRIPPER-PARALLEL S=10 DE</t>
  </si>
  <si>
    <t>GRIPPER PARALLEL</t>
  </si>
  <si>
    <t>GRIPPER-PARALLEL S=12 DE</t>
  </si>
  <si>
    <t>SEPARATOR-PIECEWISE S=8MM</t>
  </si>
  <si>
    <t>CYLINDER-ROTARY DE 012 0100</t>
  </si>
  <si>
    <t>CYLINDER SWING-CLAMP</t>
  </si>
  <si>
    <t>CYLINDER-LINEAR DE 016 0010 FAST-S.JOIN</t>
  </si>
  <si>
    <t>CYLINDER-LINEAR DE LOW FRICTION 20-060</t>
  </si>
  <si>
    <t>ROTARY JOINT,1 CIRCUIT,SMC</t>
  </si>
  <si>
    <t>TABLE-ROTARY-PIVOTED-COMPACT SZ=10</t>
  </si>
  <si>
    <t>Swiveling Table</t>
  </si>
  <si>
    <t>COMPACT SLIDE CYLINDER 10-5S</t>
  </si>
  <si>
    <t>TABLE-LINEAR-NARROW MXH16-50</t>
  </si>
  <si>
    <t>COMPACT SLIDE CYLINDER 016 005</t>
  </si>
  <si>
    <t>UNIT-TRANSLATION DE 006 0015</t>
  </si>
  <si>
    <t>TABLE-SLIDE PREC 06X5MM STR</t>
  </si>
  <si>
    <t>Cylinder (SMC MXP12-15 N)</t>
  </si>
  <si>
    <t>Cylinder Compact Unit</t>
  </si>
  <si>
    <t>AIR SLIDE TABLE</t>
  </si>
  <si>
    <t>AIR SLIDE TABLE D=12 C=50</t>
  </si>
  <si>
    <t>TABLE-SLIDE HPREC 06X10MM STR METAL</t>
  </si>
  <si>
    <t>AIR SLIDE TABLE D=8 C=40</t>
  </si>
  <si>
    <t>ADJUSTER,FRONT END,RUBBER</t>
  </si>
  <si>
    <t>ADJUSTER,BACKEND,RUBBER</t>
  </si>
  <si>
    <t>Stoßdämpfer Kompaktschlitten</t>
  </si>
  <si>
    <t>UNIT-LINEAR 012 0010</t>
  </si>
  <si>
    <t>UNIT-LINEAR 012-0030</t>
  </si>
  <si>
    <t>UNIT-LINEAR STROKE  30MM</t>
  </si>
  <si>
    <t>ACTUATOR,LINEAR BORE,16D,125MM</t>
  </si>
  <si>
    <t>UNIT LINEAR 016-0030</t>
  </si>
  <si>
    <t>UNIT-LINEAR 006 0010</t>
  </si>
  <si>
    <t>UNIT LINEAR 006-0020</t>
  </si>
  <si>
    <t>UNIT LINEAR 006-0020 LIMIT-OF-STROKE</t>
  </si>
  <si>
    <t>Cylinder MXS8 - 40</t>
  </si>
  <si>
    <t>Pneumatischer Kompaktschlitten</t>
  </si>
  <si>
    <t>UNIT LINEAR 008-0020</t>
  </si>
  <si>
    <t>UNIT LINEAR 008-0050</t>
  </si>
  <si>
    <t>TABLE LINEAR MXS8L-10AS</t>
  </si>
  <si>
    <t>STOP-FRONT + RUBBER D=12 0-5MM</t>
  </si>
  <si>
    <t>STOP-FRONT + RUBBER D=16 0-5MM</t>
  </si>
  <si>
    <t>STOP-FRONT + RUBBER D= 6 0-5MM</t>
  </si>
  <si>
    <t>STOP-FRONT + RUBBER D=8 0-5MM</t>
  </si>
  <si>
    <t>STOP-REAR + RUBBER D=12 0-15MM</t>
  </si>
  <si>
    <t>STOP-REAR + RUBBER D=16 0-25MM</t>
  </si>
  <si>
    <t>STOP-REAR + RUBBER D= 6 0-5MM</t>
  </si>
  <si>
    <t>STOP-REAR + RUBBER S8 0-5MM</t>
  </si>
  <si>
    <t>STOP-FRONT + DAMPER D= 8</t>
  </si>
  <si>
    <t>Cylinder Rodless</t>
  </si>
  <si>
    <t>RODLESS CYLINDER B=16 S=420</t>
  </si>
  <si>
    <t>REGULATOR,MODULAR STYLE,NAR</t>
  </si>
  <si>
    <t>MANIFOLD,REGULATOR,3 STATION</t>
  </si>
  <si>
    <t>SOFT_START_VALVE</t>
  </si>
  <si>
    <t>CYLINDER,10MM D,5IN STROKE</t>
  </si>
  <si>
    <t>CYLINDER, 10MM D, 6 IN STROKE</t>
  </si>
  <si>
    <t>AIR CYLINDER 16MM,1" STROKE</t>
  </si>
  <si>
    <t>AIR CYLINDER,5/8 D,7.0 STROKE</t>
  </si>
  <si>
    <t>CYLINDER,16MM D,7IN STROKE</t>
  </si>
  <si>
    <t>AIR CYL,.75"BORE,.38"STK,SPR</t>
  </si>
  <si>
    <t>CYLINDER,AIR,W/SENSORS</t>
  </si>
  <si>
    <t>ROTARY ACTUATOR</t>
  </si>
  <si>
    <t>AIR CYL, 3/8D, 5.0 STRK INLINE</t>
  </si>
  <si>
    <t>CYL,16MM BORE X 60MM STROKE</t>
  </si>
  <si>
    <t>NCMB088-0225-DUN02420 (MOQ 8 pcs)</t>
  </si>
  <si>
    <t>CYLINDER,AIR,1.25STRX1.06BORE</t>
  </si>
  <si>
    <t>COUPLER, ALIGNMENT 7/16-20UNF</t>
  </si>
  <si>
    <t>ALIGNMENT,COUPLER</t>
  </si>
  <si>
    <t>COUPLING,FLOATING</t>
  </si>
  <si>
    <t>COUPLER,ROD END ALIGN,5-40</t>
  </si>
  <si>
    <t>COUPLING, FLOATING, 6-40</t>
  </si>
  <si>
    <t>CLEVIS ASSY 10MM</t>
  </si>
  <si>
    <t>EJECTOR-VACUUM W/VALVE 70PSI &amp; SWITCH</t>
  </si>
  <si>
    <t>INDIVIDUAL STATION GASKET *</t>
  </si>
  <si>
    <t>END PLATE GASKET, LEFT *</t>
  </si>
  <si>
    <t>CABLE, ITV 90DEG</t>
  </si>
  <si>
    <t>Volume flow extern sensor display</t>
  </si>
  <si>
    <t>FLOWMETER-DIGITAL-DISPLAY</t>
  </si>
  <si>
    <t>Flow Switch 10-100L</t>
  </si>
  <si>
    <t>Flow Meter Unit</t>
  </si>
  <si>
    <t>Flow Switch</t>
  </si>
  <si>
    <t>Flow Meter Unit 5-50l</t>
  </si>
  <si>
    <t>FLOW-SWITCH PFM7</t>
  </si>
  <si>
    <t>Flow Meter 0,2-10l/min</t>
  </si>
  <si>
    <t>DIGITAL FLOWMETER PFM 2-100 LPM</t>
  </si>
  <si>
    <t>DIGITAL FLOW SWITCH</t>
  </si>
  <si>
    <t>DEBIMETER DIGITAL PFM</t>
  </si>
  <si>
    <t>2-COLOR DISPLAY DIGITAL FLOW SWITCH</t>
  </si>
  <si>
    <t>SW,DGTL 24V,1-50L/MIN,6MMOD</t>
  </si>
  <si>
    <t>SW,DIGITAL FLOW 24V,1-50 L/MIN</t>
  </si>
  <si>
    <t>Flow switch 10-1000l analog</t>
  </si>
  <si>
    <t>Flow Meter small 2-200l</t>
  </si>
  <si>
    <t>SCREEN-FLOW-SWITCH PFMV5</t>
  </si>
  <si>
    <t>FLOW-SWITCH PFMV5</t>
  </si>
  <si>
    <t>PKP SMC THM AUTO</t>
  </si>
  <si>
    <t>PKP SMC CA</t>
  </si>
  <si>
    <t>PLUG 1/4 SMC</t>
  </si>
  <si>
    <t>PLUG G1/8</t>
  </si>
  <si>
    <t>COMPACT MANOMETER -100KPA TO 10BAR</t>
  </si>
  <si>
    <t>COMPACT MANOMETER -101 TO -10 KPA</t>
  </si>
  <si>
    <t>BOOSTER</t>
  </si>
  <si>
    <t>AIR BOOSTER</t>
  </si>
  <si>
    <t>CYLINDER SHORTSTROKE</t>
  </si>
  <si>
    <t>Vacuum Sensor (Display)</t>
  </si>
  <si>
    <t>CONTROLER-SENSOR-VACUUM PNP PSE201</t>
  </si>
  <si>
    <t>CONTROLER-SENSOR-VACUUM PNP PSE541</t>
  </si>
  <si>
    <t>TRANSDUCER,PRESSURE,PSE51</t>
  </si>
  <si>
    <t>Pressure Sensor inline</t>
  </si>
  <si>
    <t>Vacuum Sensor (Sensor only)</t>
  </si>
  <si>
    <t>SENSOR-VACUUM PSE541A-M3-C2</t>
  </si>
  <si>
    <t>SENSOR-VACUUM PSE541-IM5-C2</t>
  </si>
  <si>
    <t>SENSOR-VACUUM PSE541-M5-C2</t>
  </si>
  <si>
    <t>SHOCK ABSORBER</t>
  </si>
  <si>
    <t>ABSORBER-SHOCK-HYDRAULIC M 8X1</t>
  </si>
  <si>
    <t>NUT-HEXAGONAL 0.4D M10X1</t>
  </si>
  <si>
    <t>ABSORBER-SHOCK-HYDRAULIC M14X1.5</t>
  </si>
  <si>
    <t>Compact Cylinder - 20x25mm</t>
  </si>
  <si>
    <t>ASSY,PLUG CONN,150MM,S070 SER</t>
  </si>
  <si>
    <t>CONNECTOR-VALVE SO70</t>
  </si>
  <si>
    <t>CONN ASSY, PLUG 600MM S070 SER</t>
  </si>
  <si>
    <t>VALVE,SOL,BASE MT,24V PL,5CC</t>
  </si>
  <si>
    <t>VALVE,SOLENOID,BASE MT,24V DC</t>
  </si>
  <si>
    <t>VALVE SOL BASE MT 0.6MPA</t>
  </si>
  <si>
    <t>VALVE,SOLENOID,BASE MT,24VDCHP</t>
  </si>
  <si>
    <t>CLIP,S070 VALVE</t>
  </si>
  <si>
    <t>ELECTRO-VALVE 3/2 NF</t>
  </si>
  <si>
    <t>FILTER-PNEUMATIC-SUCTION D=6 0.01UM</t>
  </si>
  <si>
    <t>Valve 2x3/2 (SJ2A60N-5NMZ-C4) Dia 4mm</t>
  </si>
  <si>
    <t>Valve 2x3/2 (SJ2A60N-5NMZ-N1) Dia 3,2mm</t>
  </si>
  <si>
    <t>NUT, JAM, M8X1</t>
  </si>
  <si>
    <t>PLATE,BLANKING,S070 VALVE</t>
  </si>
  <si>
    <t>MANIFOLD,BAR BASE,X8 S070 SER</t>
  </si>
  <si>
    <t>Endplate Valve SS3Y1-S41-04-M3-Q</t>
  </si>
  <si>
    <t>SEATING 4 POSITIONS WITHOUT SEAL</t>
  </si>
  <si>
    <t>MANIFOLD 2 POSITIONS WITH PILOT-VACUUM</t>
  </si>
  <si>
    <t>BATTERY-ELECTROVALVE SY314/10 NX FB</t>
  </si>
  <si>
    <t>BATTERY-ELECTROVALVE SY314/10 NX FB 90¿</t>
  </si>
  <si>
    <t>Endplate</t>
  </si>
  <si>
    <t>SEATING- 3 POSITIONS WITHOUT SEAL</t>
  </si>
  <si>
    <t>SEATING- 4 POSITIONS WITOUT SEAL</t>
  </si>
  <si>
    <t>SEATING- 5 POSITIONS WITHOUT SEAL</t>
  </si>
  <si>
    <t>SEATING- 6 POSITIONS WITHOUT SEAL</t>
  </si>
  <si>
    <t>SEATING-10 POSITIONS</t>
  </si>
  <si>
    <t>SEATING- 3 POSITIONS WITHOUT SEAL VACUUM</t>
  </si>
  <si>
    <t>Valve Block (9 valves) - Sub D</t>
  </si>
  <si>
    <t>Valve Block (7 valves)</t>
  </si>
  <si>
    <t>SEATING  6 POSITIONS WITHOUT SEAL</t>
  </si>
  <si>
    <t>MANIFOLD  2 STA 5 PORT M5</t>
  </si>
  <si>
    <t>SEATING-VALVE 10X</t>
  </si>
  <si>
    <t>SEATING 2 POSITIONS WITHOUT SEAL</t>
  </si>
  <si>
    <t>SYJ3000 VALVE MANIFOLD</t>
  </si>
  <si>
    <t>SEATING  3 POSITIONS WITHOUT SEAL</t>
  </si>
  <si>
    <t>SEATING  4 POSITIONS WITHOUT SEAL</t>
  </si>
  <si>
    <t>SEATING  10 POSITIONS WITHOUT SEAL</t>
  </si>
  <si>
    <t>SY3000 BRACKET ASSY</t>
  </si>
  <si>
    <t>SEATING-UNITARY D=4</t>
  </si>
  <si>
    <t>MODULE P/R D=8/8</t>
  </si>
  <si>
    <t>PLATE-END RIGHT</t>
  </si>
  <si>
    <t>PLATE-END LEFT</t>
  </si>
  <si>
    <t>BRACKET-ATTACH</t>
  </si>
  <si>
    <t>CONNECTOR FOR VALVE CABLE 2M</t>
  </si>
  <si>
    <t>CONNECTOR FOR VALVE CABLE 3M</t>
  </si>
  <si>
    <t>CONNECTOR VALVE SY/VJ/SYJ 5M</t>
  </si>
  <si>
    <t>CONNECT. FOR SY/VJ/SYJ</t>
  </si>
  <si>
    <t>3/2 WAY VALVE</t>
  </si>
  <si>
    <t>Valve (SY114)</t>
  </si>
  <si>
    <t>SEAL PLATE+SEAL+SCREW</t>
  </si>
  <si>
    <t>CABLE,SMC VALVE,70MM</t>
  </si>
  <si>
    <t>CABLE,SMC VALVE,300MM</t>
  </si>
  <si>
    <t>LEAD WIRE DOUBLE</t>
  </si>
  <si>
    <t>5 PORT SOLENOID MANF,24VDC</t>
  </si>
  <si>
    <t>VALVE,SINGLE UNIT,SY3000</t>
  </si>
  <si>
    <t>ELECTROVALVE 5/2 MONOSTABLE</t>
  </si>
  <si>
    <t>5/2 WAY VALVE</t>
  </si>
  <si>
    <t>Valve 5/2</t>
  </si>
  <si>
    <t>VALVE,DBLSOL,3POS,W/O LEADWIRE</t>
  </si>
  <si>
    <t>ELECTROVALVE 5/3 CENTER CLOSED</t>
  </si>
  <si>
    <t>CONNECTOR,SMC VALVE,16 CHANNEL</t>
  </si>
  <si>
    <t>5/2 SOLENOID VALVE</t>
  </si>
  <si>
    <t>VALVE,SOLENOID,5 PORT</t>
  </si>
  <si>
    <t>ELECTRO-VALVE 5/3 CENTER OPENED</t>
  </si>
  <si>
    <t>ELECTROVALVE 5/2 SINGLE ACTING BODY BASE</t>
  </si>
  <si>
    <t>ELECTROVALVE 5/2 SINGLE ACTING BODY BASE(R)</t>
  </si>
  <si>
    <t>SEATING-UNITARY WITHOUT SEAL</t>
  </si>
  <si>
    <t>PLATE-OBSTRUCTION+SEAL+SCREW</t>
  </si>
  <si>
    <t>SEATING-UNITARY-WITHOUT-SEAL M5</t>
  </si>
  <si>
    <t>Valve (SYJ314M)</t>
  </si>
  <si>
    <t>ELECTROVALVE 5/2 BISTABLE</t>
  </si>
  <si>
    <t>ELECTROVALVE 5/3 MONOSTABLE</t>
  </si>
  <si>
    <t>Valve (3/2-way)</t>
  </si>
  <si>
    <t>VALVE,SPEED CONTRO,ITRM</t>
  </si>
  <si>
    <t>PNEUMATIC CONTROL VALVE 3/2</t>
  </si>
  <si>
    <t>Nylon-Schlauch 20m</t>
  </si>
  <si>
    <t>Hose 12mm</t>
  </si>
  <si>
    <t>TUBE-POLYURETHANE-BLACK 6/4</t>
  </si>
  <si>
    <t>TUBE-POLYURETHANE-BLACK 12/8</t>
  </si>
  <si>
    <t>HOSE  BLACK  ANTISTATIC</t>
  </si>
  <si>
    <t>HOSE ESD</t>
  </si>
  <si>
    <t>HOSE</t>
  </si>
  <si>
    <t>TUBE-POLYURETHANE-CLEAR</t>
  </si>
  <si>
    <t>TUBE PU CLEAR 10 OD ANTISTATIC</t>
  </si>
  <si>
    <t>TUBE-POLYURETHANE-BLACK 12/8 ANTISTATIC</t>
  </si>
  <si>
    <t>PLUG, MALE HEX 3/8 BSPT</t>
  </si>
  <si>
    <t>Spiralschlauch Ø6</t>
  </si>
  <si>
    <t>COIL TUBING (AIR GUN)</t>
  </si>
  <si>
    <t>PU-SPIRALSCHLAUCH  Da=10</t>
  </si>
  <si>
    <t>TUBING, FLUOROPOLYMER 4MMOD</t>
  </si>
  <si>
    <t>HOSE 4MM TEFLON</t>
  </si>
  <si>
    <t>MULTITUBE POLYURETHANE D=4X4</t>
  </si>
  <si>
    <t>MULTITUBE-POLYURETHAN D=4X8</t>
  </si>
  <si>
    <t>Hose Heat-Resistant (SMC) 3,2mm</t>
  </si>
  <si>
    <t>Pneumatic Hose 3,2mm</t>
  </si>
  <si>
    <t>TUBING,1/4 OD BLACK</t>
  </si>
  <si>
    <t>TUBING,1/4"OD,NYLON,BLUE</t>
  </si>
  <si>
    <t>TUBING 3/8 OD BLACK</t>
  </si>
  <si>
    <t>TUBING,POLYURE,BLN</t>
  </si>
  <si>
    <t>TUBING,1/2 OD BLUE POLYURE-</t>
  </si>
  <si>
    <t>INNER SLEEVE D=04</t>
  </si>
  <si>
    <t>INNER SLEEVE</t>
  </si>
  <si>
    <t>MULTITUBE HOLDER,6MM</t>
  </si>
  <si>
    <t>Hose Fixing</t>
  </si>
  <si>
    <t>HOLDER ONE-TOUCH FITTING</t>
  </si>
  <si>
    <t>FASTENING KIT</t>
  </si>
  <si>
    <t>TUBING,10MM, BLU, POLY</t>
  </si>
  <si>
    <t>Pneumatic Hose 12</t>
  </si>
  <si>
    <t>TUBE-POLYURETHANE 2X1.2</t>
  </si>
  <si>
    <t>TUBING,4MMODX25MMID,CLEAR POLY</t>
  </si>
  <si>
    <t>TUBE,4MM,YELLOW(20m)</t>
  </si>
  <si>
    <t>TUBE-POLYURETHANE BLACK  6/4 NON-ANTIST.</t>
  </si>
  <si>
    <t>TUBE-POLYURETHANE BLACK  6X4MM</t>
  </si>
  <si>
    <t>TUBE,6MM,BLUE</t>
  </si>
  <si>
    <t>TUBE,6MM,CLEAR</t>
  </si>
  <si>
    <t>TUBING PU BLUE,8MM O,5MM  (100ft)</t>
  </si>
  <si>
    <t>TUBING 10MM  BLACK</t>
  </si>
  <si>
    <t>TUBE 10MM BLUE</t>
  </si>
  <si>
    <t>TUBE  10MM  CLEAR</t>
  </si>
  <si>
    <t>Pneumatic Hose 16mm</t>
  </si>
  <si>
    <t>10MM POLYURETHANE TUBE 145PSI</t>
  </si>
  <si>
    <t>Pneumatic Hose flexible 8mm</t>
  </si>
  <si>
    <t>TUBING, 4MM OD, SOFT PU, BLK</t>
  </si>
  <si>
    <t>TUBING,6MM POLYURETHANE</t>
  </si>
  <si>
    <t>8MM TUBING,70 DUROMETER</t>
  </si>
  <si>
    <t>10MM POLYURETHANE TUBING *</t>
  </si>
  <si>
    <t>Valve.assy ,4 way,4 circuit</t>
  </si>
  <si>
    <t>MANIFOLD ASSY, DBL 3PORT VALVE</t>
  </si>
  <si>
    <t>VALVE ASSY,4-WAY,4 CIRCUIT</t>
  </si>
  <si>
    <t>SOLENOID VALVE</t>
  </si>
  <si>
    <t>CABLE ASSY-24V VALVE</t>
  </si>
  <si>
    <t>BOOSTER REG, 3/8" NPT</t>
  </si>
  <si>
    <t>Drain valve</t>
  </si>
  <si>
    <t>Valve2/2</t>
  </si>
  <si>
    <t>Valve 2/2</t>
  </si>
  <si>
    <t>Pneumatic Valve (5/2-way)</t>
  </si>
  <si>
    <t>5/2 way main valve 1 MPa</t>
  </si>
  <si>
    <t>2/2-way hand valve</t>
  </si>
  <si>
    <t>FITTING VALVE VHK2-04F-04F</t>
  </si>
  <si>
    <t>VALVE,FINGER,2 PORT,6MM F,BRKT</t>
  </si>
  <si>
    <t>VALVE,FINGER,2 PORT</t>
  </si>
  <si>
    <t>DISTRIBUTOR MANUAL</t>
  </si>
  <si>
    <t>VALVE,FINGER,3-PORT,6MM TUBE</t>
  </si>
  <si>
    <t>DISTRIBUTOR-MANUAL 3/2 592L/MN</t>
  </si>
  <si>
    <t>Finger Valve</t>
  </si>
  <si>
    <t>RESIDUAL PRESSURE RELIEF VALVE</t>
  </si>
  <si>
    <t>CONN,2-POS</t>
  </si>
  <si>
    <t>GASKET, L0GE VALVE</t>
  </si>
  <si>
    <t>ROTARY CONTROL</t>
  </si>
  <si>
    <t>VALVE,MECHANICAL</t>
  </si>
  <si>
    <t>AIR GUN VMG SMC</t>
  </si>
  <si>
    <t>VNA302A-20A VACUUM CONTROL</t>
  </si>
  <si>
    <t>VNA502A-32A VACUUM CONTROL</t>
  </si>
  <si>
    <t>VALVE-VAC RATED-24V-EXT PILOT</t>
  </si>
  <si>
    <t>3/2 way main valve 1MPa</t>
  </si>
  <si>
    <t>DOUBLE CHECK BLOCK,6MM,M5</t>
  </si>
  <si>
    <t>VALVE 3 PORT COMPACT NC</t>
  </si>
  <si>
    <t>ELECTROVALVE 3/2 NO</t>
  </si>
  <si>
    <t>Valve 5/3</t>
  </si>
  <si>
    <t>Valve (2x 3/2-way)</t>
  </si>
  <si>
    <t>Valve Block</t>
  </si>
  <si>
    <t>Valve Block(Loader Tube V2)</t>
  </si>
  <si>
    <t>Valve Block (Plunger)</t>
  </si>
  <si>
    <t>VALVE BLOCK CONVEYOR SO3000</t>
  </si>
  <si>
    <t>Valve block Loader-Unloader slotted</t>
  </si>
  <si>
    <t>Valve Block (Plunger) Dual Temp</t>
  </si>
  <si>
    <t>Valve Block (12x 3/2-Wege) Plunger R</t>
  </si>
  <si>
    <t>Valve Block (6x 3/2-Wege)</t>
  </si>
  <si>
    <t>Valve Block (12x 3/2-Wege) Plunger L</t>
  </si>
  <si>
    <t>Valve (Fan Motor Cooling System)</t>
  </si>
  <si>
    <t>VALVE,SOLEND,2PORT,LGE ORIFICE</t>
  </si>
  <si>
    <t>VALVE SOL. 2PORT LGE ORF. 12MM</t>
  </si>
  <si>
    <t>Valve Speed Control</t>
  </si>
  <si>
    <t>ELECTROVALVE 4/2 MONOSTABLE 2M (STD)</t>
  </si>
  <si>
    <t>ELECTROVALVE 4/2 MONOSTABLE 2MS</t>
  </si>
  <si>
    <t>Pneumatic valve 4/2 high flow/vac</t>
  </si>
  <si>
    <t>ELECTROVALVE 4/2 HIGH-RATE</t>
  </si>
  <si>
    <t>ELECTROVALVE 4/2 HIGH-RATE EMPTY</t>
  </si>
  <si>
    <t>VQZ CONV CONN ASSY, 24/12VDC</t>
  </si>
  <si>
    <t>VALVE,4WAY,4MM,NO LEAD WIRE</t>
  </si>
  <si>
    <t>VALVE,5 PORT 2 POSITION,24VDC</t>
  </si>
  <si>
    <t>VALVE,3 PORT,SOL,L-CONN,BASE MNT</t>
  </si>
  <si>
    <t>VALVE,BASE MOUNT W/CVRSN CONN</t>
  </si>
  <si>
    <t>SOLENOID,3-PORT,BASE MOUNT</t>
  </si>
  <si>
    <t>SOLENOID VALVE, 3 PORT, 24V</t>
  </si>
  <si>
    <t>VALVE,3 PORT SOLENOID,BASE MNT</t>
  </si>
  <si>
    <t>3 PORT VALVE, BODY PORT, PILOT</t>
  </si>
  <si>
    <t>VALVE SOLENOID AIR 24VDC</t>
  </si>
  <si>
    <t>VALVE,2 POSITION DOUBLE</t>
  </si>
  <si>
    <t>ELECTROVALVE 5/3 CENTER CLOSED BODY</t>
  </si>
  <si>
    <t>SOLENOID,3POS,5 PORT,24VDC</t>
  </si>
  <si>
    <t>ELECTROVALVE 5/3 CENTER OPENED BODY</t>
  </si>
  <si>
    <t>VALVE,SOLENOID,3POS EC</t>
  </si>
  <si>
    <t>VALVE 5 PORT,CENTER CLOSED</t>
  </si>
  <si>
    <t>VALVE,SOLENOID,3 PORT,1/4 NPTF</t>
  </si>
  <si>
    <t>VALVE 3WAY, NC, 6MM, LEAD WIRE 0.3M</t>
  </si>
  <si>
    <t>VALVE,3WAY,NC,8MM,NO LEAD WIRE</t>
  </si>
  <si>
    <t>VALVE,SOLENOID,3 PORT</t>
  </si>
  <si>
    <t>VALVE,SHUTTLE ONE TOUCH 6MM</t>
  </si>
  <si>
    <t>Or-Valve</t>
  </si>
  <si>
    <t>SHUTTLE VALVE,10MM OD TUBING</t>
  </si>
  <si>
    <t>Valve (main air)</t>
  </si>
  <si>
    <t>VALVE-SEALING</t>
  </si>
  <si>
    <t>Vacuum valve</t>
  </si>
  <si>
    <t>MANIFOLD</t>
  </si>
  <si>
    <t>MANIFOLD, NON PLUG-IN TYPE</t>
  </si>
  <si>
    <t>MANIFOLD,VQ100,3 VALVES</t>
  </si>
  <si>
    <t>MANIFOLD ASY,FLT RIBON CON,CAN</t>
  </si>
  <si>
    <t>MANIFOLD ASSY,FLT RIBBON CONN</t>
  </si>
  <si>
    <t>MANIFOLD BASE ASSY, VACUUM</t>
  </si>
  <si>
    <t>PCB ASSY, VACUUM</t>
  </si>
  <si>
    <t>MANIF BASE, 4 STA VALV</t>
  </si>
  <si>
    <t>SEATING 06 POSITIONS VQD1000</t>
  </si>
  <si>
    <t>SEATING 10 POSITIONS VQD1000</t>
  </si>
  <si>
    <t>SEATING 18 POSITIONS VQD1000</t>
  </si>
  <si>
    <t>Valve Block Base (4x, wire)</t>
  </si>
  <si>
    <t>Ventilbatterie 4 Stationen</t>
  </si>
  <si>
    <t>Valve Block Base (6x, SubD)</t>
  </si>
  <si>
    <t>Valve Block Base (7x, wire)</t>
  </si>
  <si>
    <t>VALVE BATTERY</t>
  </si>
  <si>
    <t>Base Mounted Manifold / Grundplatte SMC</t>
  </si>
  <si>
    <t>Valve Block Base (10x, wire)</t>
  </si>
  <si>
    <t>Valve Block Base (10x, SubD)</t>
  </si>
  <si>
    <t>Valve Block Base (11x, wire)</t>
  </si>
  <si>
    <t>Valve Block Base (16x, SubD)</t>
  </si>
  <si>
    <t>MANIFOLD,5PORT,3 VALVES</t>
  </si>
  <si>
    <t>MANIFOLD,5PORT,4 VALVES</t>
  </si>
  <si>
    <t>MANIFOLD,6STA,W/CLIPS,W/O FIT</t>
  </si>
  <si>
    <t>BLANK STATION,MANIFOLD</t>
  </si>
  <si>
    <t>Pressure Block Plate</t>
  </si>
  <si>
    <t>Non-Return Valve Insert</t>
  </si>
  <si>
    <t>Valve EXH Block Plate</t>
  </si>
  <si>
    <t>FITTING, 1 TOUCH, 4MM TUBING</t>
  </si>
  <si>
    <t>EXCHANGE CONNECTION</t>
  </si>
  <si>
    <t>FITTING, 1 TOUCH, 1/8 TUBING</t>
  </si>
  <si>
    <t>Sealing (Valve SMC)</t>
  </si>
  <si>
    <t>ASSY,BLANKING PLATE,VV3Q12</t>
  </si>
  <si>
    <t>PLATE-CLOSURE+SEAL+SCREW</t>
  </si>
  <si>
    <t>PLATE,BLANKING,MANIFOLD</t>
  </si>
  <si>
    <t>BLANKING PLATE</t>
  </si>
  <si>
    <t>Valve 2/2 NC High flow</t>
  </si>
  <si>
    <t>ELECTROVALVE 2/2 NC</t>
  </si>
  <si>
    <t>VALVE, 2-PORT 24VDC</t>
  </si>
  <si>
    <t>ELECTROVALVE 4/2 NC MONOSTABLE</t>
  </si>
  <si>
    <t>CONNECTOR-VALVE PROGRES.</t>
  </si>
  <si>
    <t>SPACER ATTACHMENT</t>
  </si>
  <si>
    <t>SPACER ATTACHMENT WITH BRACKET</t>
  </si>
  <si>
    <t>'Y' SPACER</t>
  </si>
  <si>
    <t>BRACKET-FASTENING TYPE L</t>
  </si>
  <si>
    <t>BRACKET-ANG-FAST. Y30T</t>
  </si>
  <si>
    <t>SPACER, REGULATOR TO</t>
  </si>
  <si>
    <t>FILTER-PNEUMATIC-VACUUM 06-06</t>
  </si>
  <si>
    <t>FILTER,AIR,4MM TUBING</t>
  </si>
  <si>
    <t>AIR SUCTION FILTER</t>
  </si>
  <si>
    <t>FILTER-PNEUMATIC-VACUUM 04-04</t>
  </si>
  <si>
    <t>FILTER,VACUUM, 6MM TUBE</t>
  </si>
  <si>
    <t>FILTER-PNEUMATIC-VACUUM D=6 30L/MIN</t>
  </si>
  <si>
    <t>FILTER-PNEUMATIC-VACUUM 0808</t>
  </si>
  <si>
    <t>FILTER PNEUMATIC 04-04</t>
  </si>
  <si>
    <t>FILTER-PNEUMATIC-VACUUM 08-08</t>
  </si>
  <si>
    <t>FILTER PNEUMATIC VACUUM 10-10</t>
  </si>
  <si>
    <t>FILTER-PNEUMATIC-VACUUM 5UM</t>
  </si>
  <si>
    <t>FILTER PNEUMATIC VACUUM 70UM</t>
  </si>
  <si>
    <t>Vacuum Ejector</t>
  </si>
  <si>
    <t>VACUUM EJECTOR 06-06-06</t>
  </si>
  <si>
    <t>Vacuum ejector</t>
  </si>
  <si>
    <t>VACUUM EJECTOR</t>
  </si>
  <si>
    <t>VENTURI-WITH-SILENCER-NOZZLE 1.3MM</t>
  </si>
  <si>
    <t>Venturi Type L Nozzle 1.3mm</t>
  </si>
  <si>
    <t>Venture type s-nozzle 1.3mm</t>
  </si>
  <si>
    <t>VENTURI-TYPE S-NOZZLE 1.3MM 08-10-10</t>
  </si>
  <si>
    <t>VACUUM GENERATOR NOZZLE 1.5MM</t>
  </si>
  <si>
    <t>VACUUM GENERATOR 10-12-12</t>
  </si>
  <si>
    <t>VACUUM-GENERATOR MULTI-STAGE</t>
  </si>
  <si>
    <t>Vacuum generator</t>
  </si>
  <si>
    <t>VACUUM EJECTOR, 1/8" PT, SFSV/</t>
  </si>
  <si>
    <t>VACUUM PAD 2MM DIAMETER</t>
  </si>
  <si>
    <t>VACUUM PAD 4MM DIAMETER</t>
  </si>
  <si>
    <t>VACUUM PAD 6MM DIAMETER</t>
  </si>
  <si>
    <t>VACUUM PAD,8MM DIAMETER</t>
  </si>
  <si>
    <t>SPONGE SUCTION CUP Ø10</t>
  </si>
  <si>
    <t>NOZZLE PAD (SILICONE TIP D=2)</t>
  </si>
  <si>
    <t>FEEDER-SAVER-VACUUM</t>
  </si>
  <si>
    <t>CUP,VACUUM,4.3MM,ZP</t>
  </si>
  <si>
    <t>CUP,VACUUM,5MM,ZP</t>
  </si>
  <si>
    <t>CUP,VACUUM,6MM,ZP</t>
  </si>
  <si>
    <t>CUP,VACUUM,2.5MM,ZP25</t>
  </si>
  <si>
    <t>FITTING,VAC,MM,W/O BUFFER/PAD</t>
  </si>
  <si>
    <t>VACUUM PAD,VERTICAL,W/O BUFFER</t>
  </si>
  <si>
    <t>CONN,4 PIN,SS PNEU SWITCH</t>
  </si>
  <si>
    <t>POWER SUPPLY CABLE</t>
  </si>
  <si>
    <t>CBL, PRESSURE SWITCH 3M</t>
  </si>
  <si>
    <t>MOUTING BRACKET PRESSURE DETECTOR</t>
  </si>
  <si>
    <t>Panel Mount Adaptor</t>
  </si>
  <si>
    <t>Holder Pressure switch</t>
  </si>
  <si>
    <t>Angle Plug</t>
  </si>
  <si>
    <t>CABLE WITH CONNECTOR SWITCH-PRES.ISE30A</t>
  </si>
  <si>
    <t>VACUUM SWITCH *</t>
  </si>
  <si>
    <t>Vaccum Sensor 1x</t>
  </si>
  <si>
    <t>VACUOSTAT +/- 1BAR R1/8 PNP IP40</t>
  </si>
  <si>
    <t>VACUUM UNIT</t>
  </si>
  <si>
    <t>1/8 PLUG</t>
  </si>
  <si>
    <t>10-VQ110U-5L-X607</t>
  </si>
  <si>
    <t>10-VQ110U-5M-X607</t>
  </si>
  <si>
    <t>AC20-KJN005B</t>
  </si>
  <si>
    <t>AC20-LQJ001</t>
  </si>
  <si>
    <t>AC40D-03</t>
  </si>
  <si>
    <t>AC40D-03-R-A</t>
  </si>
  <si>
    <t>AC40D-N03G-Z-A</t>
  </si>
  <si>
    <t>AC40D-N03G-Z-B</t>
  </si>
  <si>
    <t>AC40D-N04DG-S-RZ-A</t>
  </si>
  <si>
    <t>AC40D-N04D-Z-A</t>
  </si>
  <si>
    <t>AF10-M5-A</t>
  </si>
  <si>
    <t>AF20-01C</t>
  </si>
  <si>
    <t>AF20-02-A</t>
  </si>
  <si>
    <t>AF20-F01C</t>
  </si>
  <si>
    <t>AF20P-060S</t>
  </si>
  <si>
    <t>AF22P-050AS</t>
  </si>
  <si>
    <t>AF30-F02-A</t>
  </si>
  <si>
    <t xml:space="preserve">AF30-F02BC-A    </t>
  </si>
  <si>
    <t xml:space="preserve">AF30-F02C-A    </t>
  </si>
  <si>
    <t>AF30-F03B-6-A</t>
  </si>
  <si>
    <t>AF30P-050AS</t>
  </si>
  <si>
    <t>AF40-F04</t>
  </si>
  <si>
    <t>AF40P-060S</t>
  </si>
  <si>
    <t>AFD20-F01-A</t>
  </si>
  <si>
    <t>AFD20-F02C-A</t>
  </si>
  <si>
    <t>AFM20-01C</t>
  </si>
  <si>
    <t>AFM20-F01-A</t>
  </si>
  <si>
    <t>AFM20P-060AS</t>
  </si>
  <si>
    <t>AFM40-N03-Z-A</t>
  </si>
  <si>
    <t>AFM40P-060AS</t>
  </si>
  <si>
    <t>AKB01A-N01S</t>
  </si>
  <si>
    <t>AKB04B-04S</t>
  </si>
  <si>
    <t>AKH04A-01S</t>
  </si>
  <si>
    <t>AKH06-00</t>
  </si>
  <si>
    <t>AKH06B-M5</t>
  </si>
  <si>
    <t>AKH08-00</t>
  </si>
  <si>
    <t>AKH10-00</t>
  </si>
  <si>
    <t>AKH12-00</t>
  </si>
  <si>
    <t>AKH12A-04S</t>
  </si>
  <si>
    <t>AME-EL150</t>
  </si>
  <si>
    <t>AN101-N01</t>
  </si>
  <si>
    <t>AN103-01</t>
  </si>
  <si>
    <t>AN120-M3</t>
  </si>
  <si>
    <t>AN120-M5</t>
  </si>
  <si>
    <t xml:space="preserve">AN15-02    </t>
  </si>
  <si>
    <t>AN15-C08</t>
  </si>
  <si>
    <t>AN200-KM10</t>
  </si>
  <si>
    <t>AN200-KM8</t>
  </si>
  <si>
    <t>AN20-C10</t>
  </si>
  <si>
    <t>AN30-03</t>
  </si>
  <si>
    <t>AN40-N04</t>
  </si>
  <si>
    <t>ANA1-C12</t>
  </si>
  <si>
    <t>AQ240F-04-00</t>
  </si>
  <si>
    <t xml:space="preserve">AQ240F-04-00    </t>
  </si>
  <si>
    <t>AQ240F-06-06</t>
  </si>
  <si>
    <t>AR1000-M5-1</t>
  </si>
  <si>
    <t>AR10-M5B</t>
  </si>
  <si>
    <t>AR10-M5BG</t>
  </si>
  <si>
    <t>AR10-M5BG-Z</t>
  </si>
  <si>
    <t>AR20-01BG-A</t>
  </si>
  <si>
    <t>AR20-01GH</t>
  </si>
  <si>
    <t>AR20-02BG</t>
  </si>
  <si>
    <t>AR20-02BG-A</t>
  </si>
  <si>
    <t>AR20-F01H-A</t>
  </si>
  <si>
    <t>AR20-F01H-B</t>
  </si>
  <si>
    <t>AR20-N02BE-YZ-B</t>
  </si>
  <si>
    <t>AR20-N02BG-Z</t>
  </si>
  <si>
    <t>AR20-N02H-Z-B</t>
  </si>
  <si>
    <t>AR20P-260S</t>
  </si>
  <si>
    <t>AR20P-270AS</t>
  </si>
  <si>
    <t>AR20P-390S</t>
  </si>
  <si>
    <t>AR22P-270AS</t>
  </si>
  <si>
    <t>AR25-N02GH-Z-A</t>
  </si>
  <si>
    <t>AR30-03H-B</t>
  </si>
  <si>
    <t>AR30-N03BE-1Z-B</t>
  </si>
  <si>
    <t>AR30-N03BE-Z</t>
  </si>
  <si>
    <t>AR30P-270AS</t>
  </si>
  <si>
    <t>ARG20-F02G1H</t>
  </si>
  <si>
    <t>ARJ210-M5BG</t>
  </si>
  <si>
    <t>ARJ310F-N01-07</t>
  </si>
  <si>
    <t>ARM10F1-06G</t>
  </si>
  <si>
    <t>ARM11BC2-208-A</t>
  </si>
  <si>
    <t>ARP20-01BE-Y</t>
  </si>
  <si>
    <t>AS1001F-04-10-X250</t>
  </si>
  <si>
    <t>AS1001F-04-1-X250</t>
  </si>
  <si>
    <t>AS1001F-04-3</t>
  </si>
  <si>
    <t>AS1001F-04-4-X250</t>
  </si>
  <si>
    <t>AS1001F-04-5-X250</t>
  </si>
  <si>
    <t>AS1001F-04-6-X250</t>
  </si>
  <si>
    <t>AS1001F-23-2-X250</t>
  </si>
  <si>
    <t>AS1001F-23-5-X250</t>
  </si>
  <si>
    <t>AS1002F-01</t>
  </si>
  <si>
    <t>AS1002F-04</t>
  </si>
  <si>
    <t>AS1002F-04-2-X250</t>
  </si>
  <si>
    <t>AS1002F-04-3-X250</t>
  </si>
  <si>
    <t>AS1002F-04-8-X250</t>
  </si>
  <si>
    <t>AS1002F-04-J</t>
  </si>
  <si>
    <t>AS1002F-06</t>
  </si>
  <si>
    <t>AS1002F-23</t>
  </si>
  <si>
    <t>AS1002F-23-1-X250</t>
  </si>
  <si>
    <t>AS1002F-23-3-X250</t>
  </si>
  <si>
    <t>AS1002F-23-4-X250</t>
  </si>
  <si>
    <t>AS1002F-23-6-X250</t>
  </si>
  <si>
    <t>AS1002F-23-J</t>
  </si>
  <si>
    <t>AS-10L</t>
  </si>
  <si>
    <t>AS1200-M3</t>
  </si>
  <si>
    <t>AS1201F-M3-04</t>
  </si>
  <si>
    <t xml:space="preserve">AS1201F-M3-23    </t>
  </si>
  <si>
    <t>AS1201F-M5-02A</t>
  </si>
  <si>
    <t>AS1201F-M5-04-3-X250</t>
  </si>
  <si>
    <t>AS1201F-M5-04-5-X250</t>
  </si>
  <si>
    <t>AS1201F-M5-04-J</t>
  </si>
  <si>
    <t>AS1201F-M5-06A</t>
  </si>
  <si>
    <t>AS1201F-M5-23</t>
  </si>
  <si>
    <t>AS1201FM-M5-23</t>
  </si>
  <si>
    <t>AS1201FS-M5-02</t>
  </si>
  <si>
    <t>AS1201FS-M5-04</t>
  </si>
  <si>
    <t>AS1211F-M3-23</t>
  </si>
  <si>
    <t>AS1211F-M5-04-J</t>
  </si>
  <si>
    <t>AS1211F-M5-06</t>
  </si>
  <si>
    <t>AS1211F-M5-23-J/AS1211F-M5-23A</t>
  </si>
  <si>
    <t>AS1211FS-M5-02</t>
  </si>
  <si>
    <t>AS1211FS-M5-04</t>
  </si>
  <si>
    <t>AS1301F-M5-04</t>
  </si>
  <si>
    <t>AS1301F-M5-04A</t>
  </si>
  <si>
    <t>AS2001F-06</t>
  </si>
  <si>
    <t>AS2002F-03</t>
  </si>
  <si>
    <t>AS2002F-04</t>
  </si>
  <si>
    <t>AS2002F-06</t>
  </si>
  <si>
    <t>AS2051F-06</t>
  </si>
  <si>
    <t>AS2051F-08</t>
  </si>
  <si>
    <t>AS2052F-06</t>
  </si>
  <si>
    <t>AS2200-F02-ST</t>
  </si>
  <si>
    <t>AS2201F-01-04SA</t>
  </si>
  <si>
    <t>AS2201F-01-06SA</t>
  </si>
  <si>
    <t>AS2201F-01-06SD</t>
  </si>
  <si>
    <t>AS2201F-N02-09S</t>
  </si>
  <si>
    <t>AS2201F-U01-04</t>
  </si>
  <si>
    <t>AS2211F-01-04</t>
  </si>
  <si>
    <t>AS2211F-01-06</t>
  </si>
  <si>
    <t>AS2211F-01-06SA</t>
  </si>
  <si>
    <t>AS2211F-01-23-J</t>
  </si>
  <si>
    <t>AS3002F-07</t>
  </si>
  <si>
    <t>AS3002F-08</t>
  </si>
  <si>
    <t>AS3201F-03-08SD</t>
  </si>
  <si>
    <t>ASV120F-M3-04</t>
  </si>
  <si>
    <t>AV3000-03-5YO</t>
  </si>
  <si>
    <t>AW10-M5B-A</t>
  </si>
  <si>
    <t xml:space="preserve">AW20-F01H-B    </t>
  </si>
  <si>
    <t>AW20-N02BE-2Z-B</t>
  </si>
  <si>
    <t xml:space="preserve">AW20P-270AS    </t>
  </si>
  <si>
    <t>AW30-03H-A</t>
  </si>
  <si>
    <t>AW40-N03B-Z/ AW40-N03B-Z-B</t>
  </si>
  <si>
    <t>AXT 661-14A-10</t>
  </si>
  <si>
    <t>AXT661-14A</t>
  </si>
  <si>
    <t>AXT661-14A-10</t>
  </si>
  <si>
    <t>AXT661-14A-6</t>
  </si>
  <si>
    <t>AXT661-14AN-6</t>
  </si>
  <si>
    <t>B120</t>
  </si>
  <si>
    <t>B210L</t>
  </si>
  <si>
    <t>B21-1-T1</t>
  </si>
  <si>
    <t>B240A</t>
  </si>
  <si>
    <t>BJ2-006</t>
  </si>
  <si>
    <t>BJ2-008</t>
  </si>
  <si>
    <t>BJ2-012</t>
  </si>
  <si>
    <t>BJ3-1</t>
  </si>
  <si>
    <t>BM2-020</t>
  </si>
  <si>
    <t>BM2-025</t>
  </si>
  <si>
    <t>BM5-020</t>
  </si>
  <si>
    <t>BMG2-012</t>
  </si>
  <si>
    <t>BMY3-016</t>
  </si>
  <si>
    <t>BQ4-012</t>
  </si>
  <si>
    <t>BQ5-032</t>
  </si>
  <si>
    <t>BUSH M1/2 X F1/4</t>
  </si>
  <si>
    <t>C85C10</t>
  </si>
  <si>
    <t>C85C16</t>
  </si>
  <si>
    <t>C85C25</t>
  </si>
  <si>
    <t>C85KF12-50S</t>
  </si>
  <si>
    <t>C85L16A</t>
  </si>
  <si>
    <t>C85N10-0010-CEM00449</t>
  </si>
  <si>
    <t xml:space="preserve">C85N10-10S    </t>
  </si>
  <si>
    <t xml:space="preserve">C85N12-10S    </t>
  </si>
  <si>
    <t>C85N16-100</t>
  </si>
  <si>
    <t>C85T10</t>
  </si>
  <si>
    <t>CD85F8-60B</t>
  </si>
  <si>
    <t>CD85KF12-65-A</t>
  </si>
  <si>
    <t>CD85KN12-65-A</t>
  </si>
  <si>
    <t>CD85N10 -67C B</t>
  </si>
  <si>
    <t xml:space="preserve">CD85N10 -72-B    </t>
  </si>
  <si>
    <t>CD85N10-100-B</t>
  </si>
  <si>
    <t>CD85N10-30-B</t>
  </si>
  <si>
    <t>CD85N-10-50-B</t>
  </si>
  <si>
    <t>CD85N10-65C-B</t>
  </si>
  <si>
    <t>CD85N10-80-B</t>
  </si>
  <si>
    <t xml:space="preserve">CD85N10-80-B    </t>
  </si>
  <si>
    <t>CD85N10-80C-B</t>
  </si>
  <si>
    <t>CD85N10-90-B</t>
  </si>
  <si>
    <t>CD85N12-160-B</t>
  </si>
  <si>
    <t>CD85N12-200-B</t>
  </si>
  <si>
    <t>CD85N12-30-B</t>
  </si>
  <si>
    <t>CD85N12-50-B</t>
  </si>
  <si>
    <t xml:space="preserve">CD85N12-72-B    </t>
  </si>
  <si>
    <t>CD85N16-0060-CEU10352</t>
  </si>
  <si>
    <t>CD85N16-100-B</t>
  </si>
  <si>
    <t>CD85N16-10-B</t>
  </si>
  <si>
    <t>CD85N16-120C-B</t>
  </si>
  <si>
    <t>CD85N16-160-B</t>
  </si>
  <si>
    <t>CD85N16-160C-B</t>
  </si>
  <si>
    <t>CD85N16-50-B</t>
  </si>
  <si>
    <t>CD85N16-60-B</t>
  </si>
  <si>
    <t>CD85N20-80-B</t>
  </si>
  <si>
    <t>CD85N25-125-B</t>
  </si>
  <si>
    <t>CD85N25-200-B</t>
  </si>
  <si>
    <t>CD85N25-300-B</t>
  </si>
  <si>
    <t>CD85N25-400-B</t>
  </si>
  <si>
    <t>CD-J010</t>
  </si>
  <si>
    <t>CDJ2B10-25AZ-B</t>
  </si>
  <si>
    <t xml:space="preserve">CDJ2B10-30Z-B </t>
  </si>
  <si>
    <t>CDJ2B6-45R-B</t>
  </si>
  <si>
    <t>CDJ2B6-60R-B</t>
  </si>
  <si>
    <t>CDJ2D10-30-B</t>
  </si>
  <si>
    <t>CDJ2D10-45-B</t>
  </si>
  <si>
    <t>CDJ2D16-30-C73L</t>
  </si>
  <si>
    <t>CDJP2B10-20D</t>
  </si>
  <si>
    <t>CDJP2B16-20D-M9PVL</t>
  </si>
  <si>
    <t>CDJP2B4-10D</t>
  </si>
  <si>
    <t>CDJP2B4-5D-M9BS</t>
  </si>
  <si>
    <t>CDJP2B6-10D</t>
  </si>
  <si>
    <t>CDJP2B6-10D-M9BS</t>
  </si>
  <si>
    <t>CDJP2B6-5D</t>
  </si>
  <si>
    <t>CDJP2T10-40D</t>
  </si>
  <si>
    <t>CDM2B20-50AZ</t>
  </si>
  <si>
    <t>CDM2E20-100AZ-V-A96</t>
  </si>
  <si>
    <t>CDQ2A25-30DZ</t>
  </si>
  <si>
    <t>CDQ2A25-35DZ</t>
  </si>
  <si>
    <t>CDQ2B12-0030Z-CES10147</t>
  </si>
  <si>
    <t>CDQ2B12-10DC</t>
  </si>
  <si>
    <t>CDQ2B12-20D</t>
  </si>
  <si>
    <t>CDQ2B12-20DCZ</t>
  </si>
  <si>
    <t>CDQ2B12-5D</t>
  </si>
  <si>
    <t xml:space="preserve">CDQ2B16-10DCZ </t>
  </si>
  <si>
    <t>CDQ2B16-15D</t>
  </si>
  <si>
    <t>CDQ2B16-15DZ</t>
  </si>
  <si>
    <t>CDQ2B16-20DZ</t>
  </si>
  <si>
    <t>CDQ2B16-5D</t>
  </si>
  <si>
    <t>CDQ2B16-5DZ</t>
  </si>
  <si>
    <t>CDQ2B20-10D</t>
  </si>
  <si>
    <t>CDQ2B20-10DCM</t>
  </si>
  <si>
    <t>CDQ2B20-10DMZ-M9PVLS</t>
  </si>
  <si>
    <t>CDQ2B20-15D</t>
  </si>
  <si>
    <t>CDQ2B20-25DCZ</t>
  </si>
  <si>
    <t>CDQ2B20-30DZ</t>
  </si>
  <si>
    <t>CDQ2B20-40D</t>
  </si>
  <si>
    <t>CDQ2B25-10D</t>
  </si>
  <si>
    <t>CDQ2B25-25D</t>
  </si>
  <si>
    <t>CDQ2B25-25DCZ</t>
  </si>
  <si>
    <t>CDQ2B32-30DCZ</t>
  </si>
  <si>
    <t>CDQ2B40-45DZ</t>
  </si>
  <si>
    <t>CDQ2BS32-10DCZ-M9PVS</t>
  </si>
  <si>
    <t>CDQMB16-5</t>
  </si>
  <si>
    <t>CDQSB12-0068-CEI00043</t>
  </si>
  <si>
    <t>CDQSB12-10D</t>
  </si>
  <si>
    <t>CDQSB12-10T</t>
  </si>
  <si>
    <t xml:space="preserve">CDQSB12-125DC    </t>
  </si>
  <si>
    <t xml:space="preserve">CDQSB12-160DC    </t>
  </si>
  <si>
    <t xml:space="preserve">CDQSB-12-30 DM    </t>
  </si>
  <si>
    <t>CDQSB12-30DM</t>
  </si>
  <si>
    <t>CDQSB12-75DC</t>
  </si>
  <si>
    <t>CDQSB16-10SM-M9PVLS</t>
  </si>
  <si>
    <t>CDQSB16-20D</t>
  </si>
  <si>
    <t>CDQSB16-40DC</t>
  </si>
  <si>
    <t xml:space="preserve">CDQSB16-45DC    </t>
  </si>
  <si>
    <t xml:space="preserve">CDQSB16-50DC    </t>
  </si>
  <si>
    <t>CDQSB16-50DCM</t>
  </si>
  <si>
    <t>CDQSB20-125DCM</t>
  </si>
  <si>
    <t>CDQSB20-60DC</t>
  </si>
  <si>
    <t>CDQSKB12-25D</t>
  </si>
  <si>
    <t>CDQSWB12-0068-CEL00408</t>
  </si>
  <si>
    <t>CDRB2BW10-90DZ-M</t>
  </si>
  <si>
    <t>CDRB2BW15-100DZ-97</t>
  </si>
  <si>
    <t>CDRB2BW15-90SZ-S99L</t>
  </si>
  <si>
    <t>CDRB2BW20-90SZ</t>
  </si>
  <si>
    <t>CDRB2BWU10-180SZ-93AL</t>
  </si>
  <si>
    <t>CDRB2BWU10-270SZ-M</t>
  </si>
  <si>
    <t>CDRB2BWU10-90DZ-93AL</t>
  </si>
  <si>
    <t>CDRB2BWU15-180S</t>
  </si>
  <si>
    <t>CDRB2BWU30-270SZ</t>
  </si>
  <si>
    <t>CDRBU2W20-270SZ-S79L</t>
  </si>
  <si>
    <t>CDRBU2W30-90DZ-S79</t>
  </si>
  <si>
    <t xml:space="preserve">CDRBU2WU10-180SZ    </t>
  </si>
  <si>
    <t>CDRQ2BS10-360</t>
  </si>
  <si>
    <t>CDU10-10D</t>
  </si>
  <si>
    <t>CDU10-10D-A93</t>
  </si>
  <si>
    <t>CDU10-10D-M9NL</t>
  </si>
  <si>
    <t>CDU10-10T-M9N</t>
  </si>
  <si>
    <t>CDU10-20D</t>
  </si>
  <si>
    <t>CDU10-25D</t>
  </si>
  <si>
    <t>CDU10-30D</t>
  </si>
  <si>
    <t>CDU10-40D</t>
  </si>
  <si>
    <t>CDU10-50D</t>
  </si>
  <si>
    <t>CDU10-5D</t>
  </si>
  <si>
    <t>CDU10-60D</t>
  </si>
  <si>
    <t>CDU16-10D</t>
  </si>
  <si>
    <t>CDU-20-10</t>
  </si>
  <si>
    <t>CDU20-20D</t>
  </si>
  <si>
    <t>CDU20-30D</t>
  </si>
  <si>
    <t>CDU6-5D</t>
  </si>
  <si>
    <t>CDUJB 10-4-DM</t>
  </si>
  <si>
    <t>CDUJB10-10S</t>
  </si>
  <si>
    <t>CDUJB10-15D</t>
  </si>
  <si>
    <t>CDUJB10-30D</t>
  </si>
  <si>
    <t xml:space="preserve">CDUJB10-30D-X742    </t>
  </si>
  <si>
    <t>CDUJB10-6D-M9BS</t>
  </si>
  <si>
    <t>CDUJB10-8D</t>
  </si>
  <si>
    <t xml:space="preserve">CDUJB12-10D    </t>
  </si>
  <si>
    <t xml:space="preserve">CDUJB12-15D    </t>
  </si>
  <si>
    <t>CDUJB6-15DM</t>
  </si>
  <si>
    <t>CDUJB6-20DM</t>
  </si>
  <si>
    <t xml:space="preserve">CDUJB6-4D-F8PL </t>
  </si>
  <si>
    <t>CDUJB6-4D-X742</t>
  </si>
  <si>
    <t>CDUJB6-4S</t>
  </si>
  <si>
    <t>CDUJB6-6D</t>
  </si>
  <si>
    <t>CDUJB6-6DM-F8PL</t>
  </si>
  <si>
    <t>CDUJB6-6S</t>
  </si>
  <si>
    <t>CDUJB6-6SM</t>
  </si>
  <si>
    <t>CDUJB6-8S</t>
  </si>
  <si>
    <t>CDUJB8-10S</t>
  </si>
  <si>
    <t>CDUJB8-15DM</t>
  </si>
  <si>
    <t>CDUJB8-6SM</t>
  </si>
  <si>
    <t>CDUK10-15S</t>
  </si>
  <si>
    <t>CDUK10-20D</t>
  </si>
  <si>
    <t>CDUK10-60D-XC34</t>
  </si>
  <si>
    <t>CDUK16-20D</t>
  </si>
  <si>
    <t>CDUK6-10D</t>
  </si>
  <si>
    <t>CDUK6-5D-XC34</t>
  </si>
  <si>
    <t>CDY1S15H-100</t>
  </si>
  <si>
    <t>CJ1B2-5SU4</t>
  </si>
  <si>
    <t>CJ1B4-10SU4</t>
  </si>
  <si>
    <t>CJ1B4-5SU4</t>
  </si>
  <si>
    <t xml:space="preserve">CJ2B10-100Z </t>
  </si>
  <si>
    <t>CJ2B10-116-DAN00991</t>
  </si>
  <si>
    <t>CJ2B10-116-DUQ01799</t>
  </si>
  <si>
    <t>CJ2B10-125</t>
  </si>
  <si>
    <t>CJ2B10-20Z</t>
  </si>
  <si>
    <t>CJ2B10-5</t>
  </si>
  <si>
    <t>CJ2B16-125</t>
  </si>
  <si>
    <t>CJ2B16-15R</t>
  </si>
  <si>
    <t>CJ2B16-30</t>
  </si>
  <si>
    <t>CJ2B16-50</t>
  </si>
  <si>
    <t>CJ2B6-20R</t>
  </si>
  <si>
    <t>CJ2B6-5SR</t>
  </si>
  <si>
    <t>CJ2D10-10SZ</t>
  </si>
  <si>
    <t>CJ2D10-10TZ</t>
  </si>
  <si>
    <t>CJ-5H-4</t>
  </si>
  <si>
    <t>CJP2B10-10D</t>
  </si>
  <si>
    <t>CJPB10-5H4</t>
  </si>
  <si>
    <t>CJPB10-5H4-B</t>
  </si>
  <si>
    <t>CJPB6-10</t>
  </si>
  <si>
    <t>CJPB6-10H6</t>
  </si>
  <si>
    <t>CJPB6-15H4</t>
  </si>
  <si>
    <t>CJPB6-5H6</t>
  </si>
  <si>
    <t>CJPS10-10</t>
  </si>
  <si>
    <t>CJPS10-5</t>
  </si>
  <si>
    <t>CONT-TBR00001</t>
  </si>
  <si>
    <t>CQ2A20-50D</t>
  </si>
  <si>
    <t>CQ2B12-10D</t>
  </si>
  <si>
    <t xml:space="preserve">CQ2B12-10D    </t>
  </si>
  <si>
    <t>CQ2B12-10T</t>
  </si>
  <si>
    <t>CQ2B12-5D</t>
  </si>
  <si>
    <t>CQ2B12-5DC</t>
  </si>
  <si>
    <t>CQ2B12-5S</t>
  </si>
  <si>
    <t>CQ2B16-5D</t>
  </si>
  <si>
    <t>CQ2B20-10S</t>
  </si>
  <si>
    <t>CQ2B20-40DM</t>
  </si>
  <si>
    <t>CQ2B25-10D</t>
  </si>
  <si>
    <t>CQ2B25-15D</t>
  </si>
  <si>
    <t>CQ2B32-10TZ</t>
  </si>
  <si>
    <t>CQ2B32-40DZ</t>
  </si>
  <si>
    <t>CQ2KA50-100DZ</t>
  </si>
  <si>
    <t>CQ-C016</t>
  </si>
  <si>
    <t>CQSB16-10S</t>
  </si>
  <si>
    <t>CQSB25-15D</t>
  </si>
  <si>
    <t>CQS-D016</t>
  </si>
  <si>
    <t>CQSXB12-5D</t>
  </si>
  <si>
    <t>CQUB25-20</t>
  </si>
  <si>
    <t>CRB2BS40-180SZ</t>
  </si>
  <si>
    <t xml:space="preserve">CRB2BT40-270SZ-XA34A51    </t>
  </si>
  <si>
    <t>CRB2BW10-180SZ</t>
  </si>
  <si>
    <t>CRB2BW10-270SZ</t>
  </si>
  <si>
    <t>CRB2BW10-90SZ</t>
  </si>
  <si>
    <t>CRB2BW20-180SZ</t>
  </si>
  <si>
    <t>CRB2BW20-270SZ</t>
  </si>
  <si>
    <t>CRB2BW20-90SZ</t>
  </si>
  <si>
    <t>CRJU1-180</t>
  </si>
  <si>
    <t>CRQ2BS15-180</t>
  </si>
  <si>
    <t>CRQ2BS15-90</t>
  </si>
  <si>
    <t>CT-P010</t>
  </si>
  <si>
    <t>CU16-15T</t>
  </si>
  <si>
    <t>CU16-30D</t>
  </si>
  <si>
    <t xml:space="preserve">CUJ B 6- 6 SM    </t>
  </si>
  <si>
    <t>CUJB 10-6S</t>
  </si>
  <si>
    <t>CUJB10-10S</t>
  </si>
  <si>
    <t>CUJB10-30D</t>
  </si>
  <si>
    <t>CUJB-10-8-D</t>
  </si>
  <si>
    <t xml:space="preserve">CUJB16-10SM    </t>
  </si>
  <si>
    <t>CUJB4-4S</t>
  </si>
  <si>
    <t>CUJB4-4SM</t>
  </si>
  <si>
    <t>CUJB4-6DM</t>
  </si>
  <si>
    <t>CUJB6-10DM</t>
  </si>
  <si>
    <t>CUJB6-15DM</t>
  </si>
  <si>
    <t>CUJB6-4D</t>
  </si>
  <si>
    <t>CUJB6-4DM</t>
  </si>
  <si>
    <t>CUJB6-4S</t>
  </si>
  <si>
    <t>CUJB6-4SM</t>
  </si>
  <si>
    <t>CUJB6-6D</t>
  </si>
  <si>
    <t>CUJB6-6DM</t>
  </si>
  <si>
    <t>CUJB6-6S</t>
  </si>
  <si>
    <t>CUJB6-6SM</t>
  </si>
  <si>
    <t>CUJB6-8DM</t>
  </si>
  <si>
    <t xml:space="preserve">CUJB6-8SM    </t>
  </si>
  <si>
    <t>CUJB8-10S</t>
  </si>
  <si>
    <t>CUJB8-20D</t>
  </si>
  <si>
    <t>CUJB8-4DM</t>
  </si>
  <si>
    <t>CUJB8-4S</t>
  </si>
  <si>
    <t>CUJB8-6S</t>
  </si>
  <si>
    <t>CXSJL10-10</t>
  </si>
  <si>
    <t>CXSJL10P-40</t>
  </si>
  <si>
    <t>CXSJM10-10</t>
  </si>
  <si>
    <t>CXSJM6-10</t>
  </si>
  <si>
    <t>CXSJM6-10-M9P</t>
  </si>
  <si>
    <t>CXSJM6P-50</t>
  </si>
  <si>
    <t>CXSL10M-30</t>
  </si>
  <si>
    <t>CXSM10-20</t>
  </si>
  <si>
    <t>CXSM10-35</t>
  </si>
  <si>
    <t>CXSM15-10</t>
  </si>
  <si>
    <t>CXSM15-30</t>
  </si>
  <si>
    <t>CXSM20-100</t>
  </si>
  <si>
    <t>CXSM6-10</t>
  </si>
  <si>
    <t>CXSM6-20</t>
  </si>
  <si>
    <t>CXSM6-30</t>
  </si>
  <si>
    <t>CY1S15-100Z/ CY1SG15-100Z</t>
  </si>
  <si>
    <t>CY3B15-400</t>
  </si>
  <si>
    <t>CY3R15-450</t>
  </si>
  <si>
    <t xml:space="preserve">D -M9PL    </t>
  </si>
  <si>
    <t>D-90L</t>
  </si>
  <si>
    <t>D-93AL</t>
  </si>
  <si>
    <t>D-A73L</t>
  </si>
  <si>
    <t>D-A93</t>
  </si>
  <si>
    <t>D-A93L</t>
  </si>
  <si>
    <t>D-A93V</t>
  </si>
  <si>
    <t>D-F79L</t>
  </si>
  <si>
    <t>D-F7PL</t>
  </si>
  <si>
    <t>D-F8N</t>
  </si>
  <si>
    <t>D-F8N L</t>
  </si>
  <si>
    <t>D-F8NL</t>
  </si>
  <si>
    <t>D-F8P</t>
  </si>
  <si>
    <t>D-F8PL</t>
  </si>
  <si>
    <t xml:space="preserve">D-F8PL    </t>
  </si>
  <si>
    <t>D-F9P</t>
  </si>
  <si>
    <t>D-H7A1</t>
  </si>
  <si>
    <t>D-H7CN</t>
  </si>
  <si>
    <t>DM12-04NU</t>
  </si>
  <si>
    <t>D-M9B</t>
  </si>
  <si>
    <t>D-M9BVL</t>
  </si>
  <si>
    <t>D-M9BWV</t>
  </si>
  <si>
    <t>D-M9NL</t>
  </si>
  <si>
    <t>D-M9P</t>
  </si>
  <si>
    <t>D-M9PL (52.92) + BJ3-1(6.66)</t>
  </si>
  <si>
    <t>D-M9PWM</t>
  </si>
  <si>
    <t>DMK6-23-C2</t>
  </si>
  <si>
    <t>D-R731L</t>
  </si>
  <si>
    <t>D-R732L</t>
  </si>
  <si>
    <t>D-S791L</t>
  </si>
  <si>
    <t>D-S792L</t>
  </si>
  <si>
    <t>DVE20-40 A/N-59</t>
  </si>
  <si>
    <t xml:space="preserve">DXT 170-80-4A-20    </t>
  </si>
  <si>
    <t>DXT170-123-A-20</t>
  </si>
  <si>
    <t>DXT170-123-A-6</t>
  </si>
  <si>
    <t>DXT170-80-4A-10</t>
  </si>
  <si>
    <t>DXT170-80-4A-6</t>
  </si>
  <si>
    <t>D-Y59AL</t>
  </si>
  <si>
    <t>D-Y59BL</t>
  </si>
  <si>
    <t>D-Y7PL</t>
  </si>
  <si>
    <t>D-Y7PVL</t>
  </si>
  <si>
    <t>EAK4000-F04</t>
  </si>
  <si>
    <t>EBD-6-2-5</t>
  </si>
  <si>
    <t>ECDQ2B32-15D</t>
  </si>
  <si>
    <t>EJ101H-030N</t>
  </si>
  <si>
    <t>EMGQM20-20</t>
  </si>
  <si>
    <t>EMGQM20-50</t>
  </si>
  <si>
    <t>ERSDQB20-15D</t>
  </si>
  <si>
    <t>EVT317-5DO-02F-Q</t>
  </si>
  <si>
    <t>EVT317V-5DO-02F-Q</t>
  </si>
  <si>
    <t>EVZ5123-5MOZ-01F</t>
  </si>
  <si>
    <t>EVZ512M-5MOZ-01F</t>
  </si>
  <si>
    <t xml:space="preserve">EVZ512M-5MOZ-01F-Q    </t>
  </si>
  <si>
    <t>EZFA200-F02</t>
  </si>
  <si>
    <t>EZH05DS-06-06-06</t>
  </si>
  <si>
    <t>EZH10BS-06-06</t>
  </si>
  <si>
    <t>EZH10DS-06-06-08</t>
  </si>
  <si>
    <t>EZM051HF-K5LOZ</t>
  </si>
  <si>
    <t>G15-10-01</t>
  </si>
  <si>
    <t>G15-P10-N01</t>
  </si>
  <si>
    <t>G27-10-R1</t>
  </si>
  <si>
    <t>G33-P2-01-X30</t>
  </si>
  <si>
    <t>G36-10-01</t>
  </si>
  <si>
    <t>G36-2-N01</t>
  </si>
  <si>
    <t>G36-P10-01-X30</t>
  </si>
  <si>
    <t>G43-2-01</t>
  </si>
  <si>
    <t>GA36-4-N01</t>
  </si>
  <si>
    <t>GA36-7-01</t>
  </si>
  <si>
    <t>GKM4-8</t>
  </si>
  <si>
    <t xml:space="preserve">GKM6-12    </t>
  </si>
  <si>
    <t>GZ43-K-01</t>
  </si>
  <si>
    <t>H08-03</t>
  </si>
  <si>
    <t>I-68S-A</t>
  </si>
  <si>
    <t>IDG20-F03</t>
  </si>
  <si>
    <t>IN-289-3278</t>
  </si>
  <si>
    <t>IR1000-N01</t>
  </si>
  <si>
    <t>IR1000-N01B</t>
  </si>
  <si>
    <t>IR1010-F01</t>
  </si>
  <si>
    <t>IR1020-F01</t>
  </si>
  <si>
    <t>IR1020-N01-B</t>
  </si>
  <si>
    <t>IR2000-02</t>
  </si>
  <si>
    <t>IR2000-N02B</t>
  </si>
  <si>
    <t>IR2010-N02B</t>
  </si>
  <si>
    <t>IR2020-F02</t>
  </si>
  <si>
    <t>IR2020-N02BG</t>
  </si>
  <si>
    <t>IRV10-C08BG</t>
  </si>
  <si>
    <t>IRV20-04BG-X3</t>
  </si>
  <si>
    <t>IRV20-C10BG</t>
  </si>
  <si>
    <t>IRV20-N04B-X3</t>
  </si>
  <si>
    <t>IS1000E-3F02YL-X215</t>
  </si>
  <si>
    <t>IS10E-4004-R-A</t>
  </si>
  <si>
    <t xml:space="preserve">ISE30-01-65-M    </t>
  </si>
  <si>
    <t>ISE30A-01-N-L</t>
  </si>
  <si>
    <t>ISE30A-01-P</t>
  </si>
  <si>
    <t>ISE30A-01-P-L</t>
  </si>
  <si>
    <t>ISE30A-01-P-MLB</t>
  </si>
  <si>
    <t>ISE30A-N01-N-PLB</t>
  </si>
  <si>
    <t>ISE40-01-62L</t>
  </si>
  <si>
    <t xml:space="preserve">ISE40A-01-T    </t>
  </si>
  <si>
    <t>ITV0050-3UBS</t>
  </si>
  <si>
    <t>ITV1050-21F1N</t>
  </si>
  <si>
    <t>ITV1050-40F2BS-X310</t>
  </si>
  <si>
    <t>ITV1050-RCF2BS</t>
  </si>
  <si>
    <t>ITV2030-02N2CS4-Q</t>
  </si>
  <si>
    <t>ITV2030-312N5</t>
  </si>
  <si>
    <t>ITV2030-31N2N4-X272</t>
  </si>
  <si>
    <t xml:space="preserve">ITV2030-33F2L-Q    </t>
  </si>
  <si>
    <t>ITV2050-02N2CS4</t>
  </si>
  <si>
    <t>ITV2050-21N2L4</t>
  </si>
  <si>
    <t>JA10-4-070</t>
  </si>
  <si>
    <t>JA10-4-070-X11</t>
  </si>
  <si>
    <t>JA15-6-100</t>
  </si>
  <si>
    <t>JA15-6-100-X11</t>
  </si>
  <si>
    <t>K27A-P1.0-N01M</t>
  </si>
  <si>
    <t>K31 24V/DC 220 V AC</t>
  </si>
  <si>
    <t xml:space="preserve">K41 / 00231316    </t>
  </si>
  <si>
    <t>K50-MP1.0-N02S</t>
  </si>
  <si>
    <t>K8-2,5-40</t>
  </si>
  <si>
    <t>K8-4-40</t>
  </si>
  <si>
    <t>KDM10-06</t>
  </si>
  <si>
    <t>KDM10-23</t>
  </si>
  <si>
    <t>KDM20-23</t>
  </si>
  <si>
    <t>KFF04-02</t>
  </si>
  <si>
    <t xml:space="preserve">KFG2H0806-01    </t>
  </si>
  <si>
    <t>KFG2H1210-00</t>
  </si>
  <si>
    <t>KFG2L0604-01</t>
  </si>
  <si>
    <t>KFG2L1008-00</t>
  </si>
  <si>
    <t xml:space="preserve">KFG2T0806-00    </t>
  </si>
  <si>
    <t>KFG2T1210-00</t>
  </si>
  <si>
    <t>KFG2V0806-01</t>
  </si>
  <si>
    <t>KFH04-02S</t>
  </si>
  <si>
    <t>KFL04-02S</t>
  </si>
  <si>
    <t>KFT04-00</t>
  </si>
  <si>
    <t>KGH06-M5</t>
  </si>
  <si>
    <t xml:space="preserve">KGU08-00    </t>
  </si>
  <si>
    <t>KJE04-00</t>
  </si>
  <si>
    <t>KJH06-M5</t>
  </si>
  <si>
    <t xml:space="preserve">KJL04-01S </t>
  </si>
  <si>
    <t>KJL06-M5</t>
  </si>
  <si>
    <t>KJL07-32</t>
  </si>
  <si>
    <t>KJR01-03</t>
  </si>
  <si>
    <t>KJR23-04</t>
  </si>
  <si>
    <t>KJS04-M5</t>
  </si>
  <si>
    <t xml:space="preserve">KJS23-M5    </t>
  </si>
  <si>
    <t>KJT03-34S</t>
  </si>
  <si>
    <t>KK130P-02F</t>
  </si>
  <si>
    <t>KK130P-02MS</t>
  </si>
  <si>
    <t>KK130S-01MS</t>
  </si>
  <si>
    <t>KK130S-02MS</t>
  </si>
  <si>
    <t>KK13P-02F</t>
  </si>
  <si>
    <t>KK13P-04M</t>
  </si>
  <si>
    <t>KK13S-04F</t>
  </si>
  <si>
    <t>KK2P-04E</t>
  </si>
  <si>
    <t>KK2P-06L</t>
  </si>
  <si>
    <t>KK2S-01MS</t>
  </si>
  <si>
    <t>KK2S-04E</t>
  </si>
  <si>
    <t>KK2S-04H</t>
  </si>
  <si>
    <t>KK3P-06E</t>
  </si>
  <si>
    <t>KK3P-08H</t>
  </si>
  <si>
    <t>KK3P-08L</t>
  </si>
  <si>
    <t>KK3S-01MS</t>
  </si>
  <si>
    <t>KK3S-06E</t>
  </si>
  <si>
    <t>KK3S-06L</t>
  </si>
  <si>
    <t>KK3S-10E</t>
  </si>
  <si>
    <t>KK4P-08E</t>
  </si>
  <si>
    <t>KK4S-08E</t>
  </si>
  <si>
    <t>KM11-04-08-6</t>
  </si>
  <si>
    <t>KM11-06-10-06</t>
  </si>
  <si>
    <t>KM11-06-10-6</t>
  </si>
  <si>
    <t>KM11-07-11-10</t>
  </si>
  <si>
    <t>KM11-07-11-6</t>
  </si>
  <si>
    <t>KM13-06-08-3</t>
  </si>
  <si>
    <t>KQ2C04-00A</t>
  </si>
  <si>
    <t>KQ2C06-00A</t>
  </si>
  <si>
    <t>KQ2C08-00A</t>
  </si>
  <si>
    <t>KQ2D06-00</t>
  </si>
  <si>
    <t>KQ2D08-00A</t>
  </si>
  <si>
    <t>KQ2D08-01AS</t>
  </si>
  <si>
    <t>KQ2E03-35A</t>
  </si>
  <si>
    <t>KQ2E07-00</t>
  </si>
  <si>
    <t>KQ2E07-35</t>
  </si>
  <si>
    <t>KQ2E10-00A</t>
  </si>
  <si>
    <t>KQ2E23-00NJ</t>
  </si>
  <si>
    <t>KQ2F04-M5N</t>
  </si>
  <si>
    <t>KQ2F06-02</t>
  </si>
  <si>
    <t xml:space="preserve">KQ2F07-34A </t>
  </si>
  <si>
    <t>KQ2F08-01A</t>
  </si>
  <si>
    <t>KQ2F08-02A</t>
  </si>
  <si>
    <t>KQ2F08-03A</t>
  </si>
  <si>
    <t xml:space="preserve">KQ2F08-G02    </t>
  </si>
  <si>
    <t>KQ2F10-03A</t>
  </si>
  <si>
    <t>KQ2F10-G02A</t>
  </si>
  <si>
    <t>KQ2F12-G02A</t>
  </si>
  <si>
    <t>KQ2F16-03</t>
  </si>
  <si>
    <t>KQ2F16-G04A</t>
  </si>
  <si>
    <t>KQ2H02-00A</t>
  </si>
  <si>
    <t>KQ2H03-35S/ KQ2H03-35AS</t>
  </si>
  <si>
    <t>KQ2H04-00A</t>
  </si>
  <si>
    <t>KQ2H04-02S</t>
  </si>
  <si>
    <t>KQ2H04-06A</t>
  </si>
  <si>
    <t>KQ2H04-M3G</t>
  </si>
  <si>
    <t>KQ2H04-M5A</t>
  </si>
  <si>
    <t>KQ2H06-00A</t>
  </si>
  <si>
    <t>KQ2H06-01NS</t>
  </si>
  <si>
    <t>KQ2H06-03AS</t>
  </si>
  <si>
    <t>KQ2H06-G01A</t>
  </si>
  <si>
    <t>KQ2H06-G02A</t>
  </si>
  <si>
    <t>KQ2H06-M5</t>
  </si>
  <si>
    <t>KQ2H06-M5A</t>
  </si>
  <si>
    <t>KQ2H06-M5N</t>
  </si>
  <si>
    <t>KQ2H06-U01A</t>
  </si>
  <si>
    <t>KQ2H07-00A</t>
  </si>
  <si>
    <t>KQ2H07-09A</t>
  </si>
  <si>
    <t>KQ2H07-34AS</t>
  </si>
  <si>
    <t>KQ2H07-35AS</t>
  </si>
  <si>
    <t>KQ2H07-36S</t>
  </si>
  <si>
    <t>KQ2H08-00</t>
  </si>
  <si>
    <t>KQ2H08-01AS</t>
  </si>
  <si>
    <t>KQ2H08-03AS</t>
  </si>
  <si>
    <t>KQ2H08-10A</t>
  </si>
  <si>
    <t>KQ2H08-G01A</t>
  </si>
  <si>
    <t>KQ2H08-U02A</t>
  </si>
  <si>
    <t>KQ2H09-11A</t>
  </si>
  <si>
    <t>KQ2H09-34AS</t>
  </si>
  <si>
    <t>KQ2H10-01AS</t>
  </si>
  <si>
    <t>KQ2H10-G04</t>
  </si>
  <si>
    <t>KQ2H10-U03A</t>
  </si>
  <si>
    <t>KQ2H11-35AS</t>
  </si>
  <si>
    <t>KQ2H12-00A</t>
  </si>
  <si>
    <t>KQ2H12-02NS</t>
  </si>
  <si>
    <t>KQ2H12-03NS</t>
  </si>
  <si>
    <t>KQ2H12-04AS</t>
  </si>
  <si>
    <t>KQ2H12-16A</t>
  </si>
  <si>
    <t>KQ2H16-04AS</t>
  </si>
  <si>
    <t>KQ2H16-04S</t>
  </si>
  <si>
    <t>KQ2H16-G04A</t>
  </si>
  <si>
    <t>KQ2H23-00A</t>
  </si>
  <si>
    <t>KQ2H23-04</t>
  </si>
  <si>
    <t xml:space="preserve">KQ2H23-04A    </t>
  </si>
  <si>
    <t>KQ2H23-M3G</t>
  </si>
  <si>
    <t>KQ2H23-M5N</t>
  </si>
  <si>
    <t>KQ2K04-M5A</t>
  </si>
  <si>
    <t>KQ2K06-M5N</t>
  </si>
  <si>
    <t>KQ2K08-01AS</t>
  </si>
  <si>
    <t>KQ2K08-02AS</t>
  </si>
  <si>
    <t>KQ2L01-07A</t>
  </si>
  <si>
    <t>KQ2L01-32A</t>
  </si>
  <si>
    <t>KQ2L02-M3G</t>
  </si>
  <si>
    <t>KQ2L02-M5N</t>
  </si>
  <si>
    <t>KQ2L03-00A</t>
  </si>
  <si>
    <t>KQ2L03-07A</t>
  </si>
  <si>
    <t>KQ2L03-32A</t>
  </si>
  <si>
    <t>KQ2L03-32N</t>
  </si>
  <si>
    <t>KQ2L03-34AS</t>
  </si>
  <si>
    <t>KQ2L03-34NS</t>
  </si>
  <si>
    <t>KQ2L04-00A</t>
  </si>
  <si>
    <t>KQ2L04-01NS</t>
  </si>
  <si>
    <t>KQ2L04-06A</t>
  </si>
  <si>
    <t>KQ2L04-08A</t>
  </si>
  <si>
    <t>KQ2L04-M3G</t>
  </si>
  <si>
    <t>KQ2L04-M5A</t>
  </si>
  <si>
    <t>KQ2L06-00A</t>
  </si>
  <si>
    <t>KQ2L06-01NS</t>
  </si>
  <si>
    <t>KQ2L06-02AS</t>
  </si>
  <si>
    <t>KQ2L06-02NS</t>
  </si>
  <si>
    <t>KQ2L06-99A</t>
  </si>
  <si>
    <t>KQ2L06-G01A</t>
  </si>
  <si>
    <t xml:space="preserve">KQ2L06-M5    </t>
  </si>
  <si>
    <t>KQ2L06-M5A</t>
  </si>
  <si>
    <t>KQ2L06-M5N</t>
  </si>
  <si>
    <t>KQ2L06-M6A</t>
  </si>
  <si>
    <t>KQ2L06-U01A</t>
  </si>
  <si>
    <t xml:space="preserve">KQ2L07-00A </t>
  </si>
  <si>
    <t>KQ2L07-11A</t>
  </si>
  <si>
    <t>KQ2L07-35AS</t>
  </si>
  <si>
    <t>KQ2L08-02AS</t>
  </si>
  <si>
    <t>KQ2L08-10A</t>
  </si>
  <si>
    <t>KQ2L08-12A</t>
  </si>
  <si>
    <t>KQ2L08-99A</t>
  </si>
  <si>
    <t>KQ2L08-G01A</t>
  </si>
  <si>
    <t>KQ2L08-U01A</t>
  </si>
  <si>
    <t>KQ2L08-U02A</t>
  </si>
  <si>
    <t>KQ2L08-U03A</t>
  </si>
  <si>
    <t>KQ2L09-35AS</t>
  </si>
  <si>
    <t>KQ2L10-00A</t>
  </si>
  <si>
    <t>KQ2L10-01NS</t>
  </si>
  <si>
    <t>KQ2L10-01S</t>
  </si>
  <si>
    <t>KQ2L10-03S</t>
  </si>
  <si>
    <t>KQ2L10-04AS</t>
  </si>
  <si>
    <t>KQ2L10-04S</t>
  </si>
  <si>
    <t>KQ2L10-99</t>
  </si>
  <si>
    <t>KQ2L10-G03A</t>
  </si>
  <si>
    <t>KQ2L10-U02A</t>
  </si>
  <si>
    <t>KQ2L10-U03</t>
  </si>
  <si>
    <t>KQ2L11-35AS</t>
  </si>
  <si>
    <t>KQ2L11-36AS</t>
  </si>
  <si>
    <t>KQ2L12-00A</t>
  </si>
  <si>
    <t>KQ2L12-04NS</t>
  </si>
  <si>
    <t>KQ2L12-U03A</t>
  </si>
  <si>
    <t>KQ2L13-37AS</t>
  </si>
  <si>
    <t>KQ2L16-00A</t>
  </si>
  <si>
    <t>KQ2L23-00A</t>
  </si>
  <si>
    <t>KQ2L23-04A</t>
  </si>
  <si>
    <t>KQ2L23-06A</t>
  </si>
  <si>
    <t>KQ2L23-M3G</t>
  </si>
  <si>
    <t>KQ2L23-M5A</t>
  </si>
  <si>
    <t>KQ2LE01-00A</t>
  </si>
  <si>
    <t>KQ2LE06-00A</t>
  </si>
  <si>
    <t>KQ2LE12-00</t>
  </si>
  <si>
    <t>KQ2LF04-01</t>
  </si>
  <si>
    <t>KQ2LF04-M5A</t>
  </si>
  <si>
    <t>KQ2LF06-01A</t>
  </si>
  <si>
    <t>KQ2LF08-02</t>
  </si>
  <si>
    <t>KQ2LU08-00A</t>
  </si>
  <si>
    <t>KQ2N04-99</t>
  </si>
  <si>
    <t>KQ2N06-99</t>
  </si>
  <si>
    <t>KQ2N08-10</t>
  </si>
  <si>
    <t>KQ2N08-99</t>
  </si>
  <si>
    <t>KQ2N10-99</t>
  </si>
  <si>
    <t>KQ2N12-99</t>
  </si>
  <si>
    <t>KQ2P-09</t>
  </si>
  <si>
    <t>KQ2P-11</t>
  </si>
  <si>
    <t>KQ2P-12</t>
  </si>
  <si>
    <t>KQ2P-16</t>
  </si>
  <si>
    <t>KQ2P-23</t>
  </si>
  <si>
    <t>KQ2R01-03A</t>
  </si>
  <si>
    <t>KQ2R02-04A</t>
  </si>
  <si>
    <t>KQ2R06-08</t>
  </si>
  <si>
    <t>KQ2R06-10</t>
  </si>
  <si>
    <t>KQ2R07-09</t>
  </si>
  <si>
    <t>KQ2R07-11A</t>
  </si>
  <si>
    <t>KQ2R08-10A</t>
  </si>
  <si>
    <t>KQ2R10-12</t>
  </si>
  <si>
    <t>KQ2R10-12A</t>
  </si>
  <si>
    <t>KQ2R23-04A</t>
  </si>
  <si>
    <t>KQ2S04-01NS</t>
  </si>
  <si>
    <t>KQ2S04-M3G</t>
  </si>
  <si>
    <t>KQ2S04-M5A</t>
  </si>
  <si>
    <t>KQ2S04-M5N</t>
  </si>
  <si>
    <t>KQ2S04-M6N</t>
  </si>
  <si>
    <t>KQ2S06-01NS</t>
  </si>
  <si>
    <t>KQ2S06-01S</t>
  </si>
  <si>
    <t>KQ2S06-M5A</t>
  </si>
  <si>
    <t>KQ2S06-M6N</t>
  </si>
  <si>
    <t>KQ2S08-01AS</t>
  </si>
  <si>
    <t>KQ2S08-01S</t>
  </si>
  <si>
    <t>KQ2S10-02AS</t>
  </si>
  <si>
    <t>KQ2S12-02AS</t>
  </si>
  <si>
    <t>KQ2S12-03AS</t>
  </si>
  <si>
    <t>KQ2S12-U02A</t>
  </si>
  <si>
    <t>KQ2S12-U03A</t>
  </si>
  <si>
    <t>KQ2S23-M3G</t>
  </si>
  <si>
    <t>KQ2S23-M5N</t>
  </si>
  <si>
    <t>KQ2T04-00A</t>
  </si>
  <si>
    <t>KQ2T04-06</t>
  </si>
  <si>
    <t>KQ2T04-06A</t>
  </si>
  <si>
    <t>KQ2T06-00A</t>
  </si>
  <si>
    <t>KQ2T06-04A</t>
  </si>
  <si>
    <t>KQ2T06-M5</t>
  </si>
  <si>
    <t>KQ2T06-M5A</t>
  </si>
  <si>
    <t>KQ2T07-00A</t>
  </si>
  <si>
    <t>KQ2T07-32A</t>
  </si>
  <si>
    <t>KQ2T07-35AS</t>
  </si>
  <si>
    <t>KQ2T10-01AS</t>
  </si>
  <si>
    <t>KQ2T10-08</t>
  </si>
  <si>
    <t>KQ2T10-12A</t>
  </si>
  <si>
    <t>KQ2T10-G02A</t>
  </si>
  <si>
    <t>KQ2T11-00A</t>
  </si>
  <si>
    <t>KQ2T12-00A</t>
  </si>
  <si>
    <t>KQ2T12-10A</t>
  </si>
  <si>
    <t>KQ2T12-G02A</t>
  </si>
  <si>
    <t>KQ2T16-00A</t>
  </si>
  <si>
    <t>KQ2TW08-00A</t>
  </si>
  <si>
    <t>KQ2TW12-00A</t>
  </si>
  <si>
    <t>KQ2TY08-10A</t>
  </si>
  <si>
    <t>KQ2U02-00A</t>
  </si>
  <si>
    <t>KQ2U03-00A</t>
  </si>
  <si>
    <t>KQ2U04-00A</t>
  </si>
  <si>
    <t>KQ2U04-06A</t>
  </si>
  <si>
    <t>KQ2U04-99A</t>
  </si>
  <si>
    <t>KQ2U04-M5A</t>
  </si>
  <si>
    <t>KQ2U06-00A</t>
  </si>
  <si>
    <t>KQ2U06-01AS</t>
  </si>
  <si>
    <t>KQ2U06-03AS</t>
  </si>
  <si>
    <t>KQ2U07-00A</t>
  </si>
  <si>
    <t>KQ2U07-09A</t>
  </si>
  <si>
    <t xml:space="preserve">KQ2U07-35AS </t>
  </si>
  <si>
    <t>KQ2U08-01AS</t>
  </si>
  <si>
    <t>KQ2U08-99</t>
  </si>
  <si>
    <t>KQ2U10-99</t>
  </si>
  <si>
    <t>KQ2U11-00A</t>
  </si>
  <si>
    <t>KQ2U12-03AS</t>
  </si>
  <si>
    <t>KQ2U23-00A</t>
  </si>
  <si>
    <t xml:space="preserve">KQ2U23-00A    </t>
  </si>
  <si>
    <t>KQ2U23-04A</t>
  </si>
  <si>
    <t>KQ2UD04-06A</t>
  </si>
  <si>
    <t>KQ2UD06-08A</t>
  </si>
  <si>
    <t>KQ2V06-M5A</t>
  </si>
  <si>
    <t>KQ2V08-03AS</t>
  </si>
  <si>
    <t>KQ2V10-03AS</t>
  </si>
  <si>
    <t>KQ2V12-04AS</t>
  </si>
  <si>
    <t>KQ2VD08-02AS</t>
  </si>
  <si>
    <t>KQ2VF08-01AS</t>
  </si>
  <si>
    <t>KQ2VT01-32A</t>
  </si>
  <si>
    <t>KQ2VT06-02AS</t>
  </si>
  <si>
    <t>KQ2VT08-02AS</t>
  </si>
  <si>
    <t>KQ2VT12-02AS</t>
  </si>
  <si>
    <t>KQ2VT12-04S</t>
  </si>
  <si>
    <t xml:space="preserve">KQ2W04-99A </t>
  </si>
  <si>
    <t>KQ2W04-M3G</t>
  </si>
  <si>
    <t>KQ2W04-M5N</t>
  </si>
  <si>
    <t xml:space="preserve">KQ2W04-M5N </t>
  </si>
  <si>
    <t>KQ2W06-M5</t>
  </si>
  <si>
    <t>KQ2W06-M5A</t>
  </si>
  <si>
    <t>KQ2W06-M5N</t>
  </si>
  <si>
    <t>KQ2W08-01AS</t>
  </si>
  <si>
    <t>KQ2W08-99A</t>
  </si>
  <si>
    <t>KQ2W10-G03A</t>
  </si>
  <si>
    <t>KQ2X04-06A</t>
  </si>
  <si>
    <t>KQ2X06-08</t>
  </si>
  <si>
    <t>KQ2XD06-08A</t>
  </si>
  <si>
    <t>KQ2Y10-03AS</t>
  </si>
  <si>
    <t xml:space="preserve">KQ2Y12-02S    </t>
  </si>
  <si>
    <t>KQ2Y12-04AS</t>
  </si>
  <si>
    <t>KQ2Z04-M5A</t>
  </si>
  <si>
    <t>KQ2Z06-02S</t>
  </si>
  <si>
    <t>KQ2Z08-02AS</t>
  </si>
  <si>
    <t>KQ2Z10-03AS</t>
  </si>
  <si>
    <t>KQ2Z12-03AS</t>
  </si>
  <si>
    <t>KQ2Z12-04AS</t>
  </si>
  <si>
    <t>KQ2ZD04-01S</t>
  </si>
  <si>
    <t>KQ2ZD08-04AS</t>
  </si>
  <si>
    <t>KQ2ZD10-02NS</t>
  </si>
  <si>
    <t xml:space="preserve">KQ2ZT04-01AS    </t>
  </si>
  <si>
    <t>KQ2ZT04-02AS</t>
  </si>
  <si>
    <t>KQ2ZT06-02AS</t>
  </si>
  <si>
    <t>KQ2ZT08-02AS</t>
  </si>
  <si>
    <t>KQB2H04-M5</t>
  </si>
  <si>
    <t>KQB2H08-10</t>
  </si>
  <si>
    <t>KQB2H08-G01</t>
  </si>
  <si>
    <t>KQB2W08-G01</t>
  </si>
  <si>
    <t>KQG2H04-06</t>
  </si>
  <si>
    <t>KQG2H06-00</t>
  </si>
  <si>
    <t>KQG2H06-08</t>
  </si>
  <si>
    <t>KQG2H08-00</t>
  </si>
  <si>
    <t>KQG2H08-01S</t>
  </si>
  <si>
    <t>KQG2S06-01S</t>
  </si>
  <si>
    <t>KQG2S08-01S</t>
  </si>
  <si>
    <t>KQG2S08-02S</t>
  </si>
  <si>
    <t>KQG2S11-N02S</t>
  </si>
  <si>
    <t>KQG2U06-00</t>
  </si>
  <si>
    <t>KQG2U06-08</t>
  </si>
  <si>
    <t>KQGH06-M5</t>
  </si>
  <si>
    <t>KQH03-32</t>
  </si>
  <si>
    <t>KQH04-M5</t>
  </si>
  <si>
    <t>KQH08-03S</t>
  </si>
  <si>
    <t>KQH11-37S/ KQ2H11-37AS</t>
  </si>
  <si>
    <t>KQL04-M5</t>
  </si>
  <si>
    <t>KQL07-99/ KQ2L07-99A</t>
  </si>
  <si>
    <t>KQL09-35</t>
  </si>
  <si>
    <t>KQP-03</t>
  </si>
  <si>
    <t>KQP06</t>
  </si>
  <si>
    <t>KQP07</t>
  </si>
  <si>
    <t>KQS04-M5</t>
  </si>
  <si>
    <t>KQT09-00/ KQ2T09-00A</t>
  </si>
  <si>
    <t>KQU12-00</t>
  </si>
  <si>
    <t>KQW06-M5</t>
  </si>
  <si>
    <t xml:space="preserve">KQZT08-02S    </t>
  </si>
  <si>
    <t>KSH04-M5</t>
  </si>
  <si>
    <t>KSH06-M6</t>
  </si>
  <si>
    <t>KSL04-M5</t>
  </si>
  <si>
    <t xml:space="preserve">KSL06-01S </t>
  </si>
  <si>
    <t>KSL08-03S</t>
  </si>
  <si>
    <t>KXH06-M5</t>
  </si>
  <si>
    <t>KXL04-M5</t>
  </si>
  <si>
    <t>LXFHABC-75S-X20A</t>
  </si>
  <si>
    <t>M-01H-4</t>
  </si>
  <si>
    <t xml:space="preserve">M-3 ALU-4    </t>
  </si>
  <si>
    <t>M-3 AU-4</t>
  </si>
  <si>
    <t>M-3ALU-2</t>
  </si>
  <si>
    <t>M-3G</t>
  </si>
  <si>
    <t>M-3P</t>
  </si>
  <si>
    <t>M-3UL</t>
  </si>
  <si>
    <t>M-5ALN-4</t>
  </si>
  <si>
    <t>M-5ALN-6</t>
  </si>
  <si>
    <t>M-5ALU-4</t>
  </si>
  <si>
    <t>M-5AU-6</t>
  </si>
  <si>
    <t>M-5B</t>
  </si>
  <si>
    <t>M-5E</t>
  </si>
  <si>
    <t xml:space="preserve">M-5G1 </t>
  </si>
  <si>
    <t>M-5H-4</t>
  </si>
  <si>
    <t>M-5H-6</t>
  </si>
  <si>
    <t>M-5HLH-6</t>
  </si>
  <si>
    <t>M-5J</t>
  </si>
  <si>
    <t>M-5N</t>
  </si>
  <si>
    <t>M-5P</t>
  </si>
  <si>
    <t>M-5UT</t>
  </si>
  <si>
    <t>MDHR2-15R-M9PL</t>
  </si>
  <si>
    <t>MDSUB20-180S</t>
  </si>
  <si>
    <t>MGJ10-20-F8NL</t>
  </si>
  <si>
    <t>MGJ10-5</t>
  </si>
  <si>
    <t>MGJ10-5-F8B</t>
  </si>
  <si>
    <t>MGJ6-10</t>
  </si>
  <si>
    <t>MGJ6-2</t>
  </si>
  <si>
    <t>MGJ6-5</t>
  </si>
  <si>
    <t>MGPL16-10-Y59A</t>
  </si>
  <si>
    <t>MGPL16-10Z</t>
  </si>
  <si>
    <t>MGPL16-150Z</t>
  </si>
  <si>
    <t>MGPL16-75</t>
  </si>
  <si>
    <t>MGPL16-75Z</t>
  </si>
  <si>
    <t>MGPM12-10</t>
  </si>
  <si>
    <t>MGPM12-10Z</t>
  </si>
  <si>
    <t>MGPM12-125Z-M9PVM</t>
  </si>
  <si>
    <t>MGPM12-20</t>
  </si>
  <si>
    <t>MGPM12-20Z</t>
  </si>
  <si>
    <t>MGPM12-30Z</t>
  </si>
  <si>
    <t>MGPM12-50</t>
  </si>
  <si>
    <t>MGPM12-50Z</t>
  </si>
  <si>
    <t>MGPM16-30</t>
  </si>
  <si>
    <t>MGPM16-50</t>
  </si>
  <si>
    <t>MGPM25-100AZ</t>
  </si>
  <si>
    <t>MHC2-10D</t>
  </si>
  <si>
    <t>MHY2-10D</t>
  </si>
  <si>
    <t>MHZ2-16D</t>
  </si>
  <si>
    <t>MHZ2-16DN</t>
  </si>
  <si>
    <t>MHZ2-16S-M9PS</t>
  </si>
  <si>
    <t>MHZ2-20DN</t>
  </si>
  <si>
    <t>MHZAJ2-6D</t>
  </si>
  <si>
    <t>MHZL2-16D</t>
  </si>
  <si>
    <t>MIW8-8D</t>
  </si>
  <si>
    <t>MKB12-10R</t>
  </si>
  <si>
    <t>MKB16-10RZ</t>
  </si>
  <si>
    <t>MQMLB16H-15D</t>
  </si>
  <si>
    <t>MQQTB16-10D</t>
  </si>
  <si>
    <t>MQQTB20-60D</t>
  </si>
  <si>
    <t>MQR1-M5</t>
  </si>
  <si>
    <t>MSQB10A</t>
  </si>
  <si>
    <t>MSQB1A</t>
  </si>
  <si>
    <t>MXH10-5Z-M9BWS</t>
  </si>
  <si>
    <t>MXH16-50</t>
  </si>
  <si>
    <t>MXH16-5Z-M9PVL</t>
  </si>
  <si>
    <t>MXH6-15</t>
  </si>
  <si>
    <t>MXH6-5-F9N/MXH6-5Z-M9N</t>
  </si>
  <si>
    <t>MXP12-15N</t>
  </si>
  <si>
    <t>MXP12-25C</t>
  </si>
  <si>
    <t>MXPJ6-10</t>
  </si>
  <si>
    <t>MXPJ6-5</t>
  </si>
  <si>
    <t>MXQ12-40</t>
  </si>
  <si>
    <t>MXQ12A-50ZN</t>
  </si>
  <si>
    <t>MXQ6-10CS-M9B</t>
  </si>
  <si>
    <t>MXQ8B-40ZA</t>
  </si>
  <si>
    <t>MXQ-AS12-X11</t>
  </si>
  <si>
    <t>MXQ-AT12-X11</t>
  </si>
  <si>
    <t>MXS - BS8</t>
  </si>
  <si>
    <t xml:space="preserve">MXS - BS8L    </t>
  </si>
  <si>
    <t xml:space="preserve">MXS - BT8    </t>
  </si>
  <si>
    <t xml:space="preserve">MXS - BT8L    </t>
  </si>
  <si>
    <t>MXS12-10</t>
  </si>
  <si>
    <t>MXS12-30</t>
  </si>
  <si>
    <t>MXS12-30AS</t>
  </si>
  <si>
    <t>MXS16-125</t>
  </si>
  <si>
    <t>MXS16-30</t>
  </si>
  <si>
    <t>MXS6-10</t>
  </si>
  <si>
    <t>MXS6-20</t>
  </si>
  <si>
    <t>MXS6-20A</t>
  </si>
  <si>
    <t>MXS8 - 40</t>
  </si>
  <si>
    <t xml:space="preserve">MXS8 - 75    </t>
  </si>
  <si>
    <t>MXS8-20</t>
  </si>
  <si>
    <t>MXS8-50</t>
  </si>
  <si>
    <t xml:space="preserve">MXS8L -75    </t>
  </si>
  <si>
    <t>MXS8L-10AS</t>
  </si>
  <si>
    <t>MXS-AS12</t>
  </si>
  <si>
    <t>MXS-AS16</t>
  </si>
  <si>
    <t>MXS-AS6</t>
  </si>
  <si>
    <t>MXS-AS8</t>
  </si>
  <si>
    <t>MXS-AT12-X11</t>
  </si>
  <si>
    <t>MXS-AT16-X12</t>
  </si>
  <si>
    <t>MXS-AT6</t>
  </si>
  <si>
    <t>MXS-AT8</t>
  </si>
  <si>
    <t>MXS-BS8</t>
  </si>
  <si>
    <t>MY1B16G-200</t>
  </si>
  <si>
    <t>MY3A25-600</t>
  </si>
  <si>
    <t>MY3B16-420</t>
  </si>
  <si>
    <t>MY3M16-420</t>
  </si>
  <si>
    <t>NAR2000-N02BG</t>
  </si>
  <si>
    <t>NARM1000-3A2-N01</t>
  </si>
  <si>
    <t>NAV3000-N03-5DZ</t>
  </si>
  <si>
    <t>NCDJ2B10-500-H7A1L</t>
  </si>
  <si>
    <t>NCDJ2B10-600-H7A1L</t>
  </si>
  <si>
    <t>NCDJ2B16-100-H7A1 S</t>
  </si>
  <si>
    <t>NCDJ2B16-700-B</t>
  </si>
  <si>
    <t>NCDJ2B16-700-H7A1L</t>
  </si>
  <si>
    <t>NCDQ2B12-5DZ</t>
  </si>
  <si>
    <t>NCDQ8B075-037SM</t>
  </si>
  <si>
    <t>NCDQ8BZ200-250-M9N</t>
  </si>
  <si>
    <t>NCDRQB15-01-609-F79</t>
  </si>
  <si>
    <t>NCJ2B10-500R</t>
  </si>
  <si>
    <t>NCJ2D16-060</t>
  </si>
  <si>
    <t>NCMB088-0225-DUN02420</t>
  </si>
  <si>
    <t>NCMB106-0125-DUJ01300</t>
  </si>
  <si>
    <t>NJ07</t>
  </si>
  <si>
    <t>NJ08</t>
  </si>
  <si>
    <t>NJ10-32</t>
  </si>
  <si>
    <t>NJ5-40</t>
  </si>
  <si>
    <t>NJ6-40</t>
  </si>
  <si>
    <t>NY-J010B</t>
  </si>
  <si>
    <t>NZM071HT-K5LZ-E15L</t>
  </si>
  <si>
    <t>P31816-01</t>
  </si>
  <si>
    <t>P31816-03</t>
  </si>
  <si>
    <t>P398020-501-3</t>
  </si>
  <si>
    <t>PF2A311-A</t>
  </si>
  <si>
    <t>PF2A710-02-27</t>
  </si>
  <si>
    <t>PF2A710-N01-27-M</t>
  </si>
  <si>
    <t>PF2A711-F03-67</t>
  </si>
  <si>
    <t xml:space="preserve">PF2A711-F03-67N    </t>
  </si>
  <si>
    <t>PF2A750-F02-67</t>
  </si>
  <si>
    <t>PF2A750-F02-67N</t>
  </si>
  <si>
    <t>PFM710-C4-B-M</t>
  </si>
  <si>
    <t>PFM710-C6-A-R</t>
  </si>
  <si>
    <t>PFM711-C6-B-M</t>
  </si>
  <si>
    <t>PFM725-C6-B-W</t>
  </si>
  <si>
    <t>PFM750-C6-B-M</t>
  </si>
  <si>
    <t>PFM750-F01-B-M</t>
  </si>
  <si>
    <t>PFM750S-C6-B-M</t>
  </si>
  <si>
    <t>PFM750S-C6-C</t>
  </si>
  <si>
    <t>PFM750S-N7-C</t>
  </si>
  <si>
    <t>PFMB7102-F04-EW-R</t>
  </si>
  <si>
    <t>PFMB7201-C8-A-R</t>
  </si>
  <si>
    <t>PFMV304-MLEG-N</t>
  </si>
  <si>
    <t>PFMV530-1-NA</t>
  </si>
  <si>
    <t>PLUG 1/4  (TB00139)</t>
  </si>
  <si>
    <t>PLUG G 1/8</t>
  </si>
  <si>
    <t>PPA100-04</t>
  </si>
  <si>
    <t>PPA101-04</t>
  </si>
  <si>
    <t>PROJ-TBR00001</t>
  </si>
  <si>
    <t>PROJ-TBR00006</t>
  </si>
  <si>
    <t>PROJ-TBS00005</t>
  </si>
  <si>
    <t>PS1000-R06L-Q</t>
  </si>
  <si>
    <t>PSE 201-MA4C</t>
  </si>
  <si>
    <t>PSE201-MA</t>
  </si>
  <si>
    <t>PSE304-MLAC</t>
  </si>
  <si>
    <t>PSE510-R06</t>
  </si>
  <si>
    <t>PSE540-01-C2</t>
  </si>
  <si>
    <t>PSE541-01-C2</t>
  </si>
  <si>
    <t>PSE541A-M3-C2</t>
  </si>
  <si>
    <t>PSE541-IM5-C2</t>
  </si>
  <si>
    <t>PSE541-M5-C2</t>
  </si>
  <si>
    <t>RB0805</t>
  </si>
  <si>
    <t>RB0806</t>
  </si>
  <si>
    <t>RB10J</t>
  </si>
  <si>
    <t>RB1411</t>
  </si>
  <si>
    <t>RBA0805-X692</t>
  </si>
  <si>
    <t>RBC0806</t>
  </si>
  <si>
    <t>RBC1007</t>
  </si>
  <si>
    <t>RBQC1604</t>
  </si>
  <si>
    <t>RQB20-25</t>
  </si>
  <si>
    <t>S070-14A</t>
  </si>
  <si>
    <t>S070-14A-10</t>
  </si>
  <si>
    <t>S070-14A-6</t>
  </si>
  <si>
    <t>S070B-5CC</t>
  </si>
  <si>
    <t>S070B-5CP</t>
  </si>
  <si>
    <t>S070B-5DC-X118A</t>
  </si>
  <si>
    <t>S070B-5DP</t>
  </si>
  <si>
    <t>S070B-80A-2</t>
  </si>
  <si>
    <t>S070C-5DC-32</t>
  </si>
  <si>
    <t>SFD100-C06B</t>
  </si>
  <si>
    <t>SJ2A60N-5NMZ-C4</t>
  </si>
  <si>
    <t>SJ2A60N-5NMZ-N1</t>
  </si>
  <si>
    <t>SNJ-010B</t>
  </si>
  <si>
    <t>SS070B-10A</t>
  </si>
  <si>
    <t>SS073B01-08C</t>
  </si>
  <si>
    <t>SS3Y1-S41-04-M3-Q</t>
  </si>
  <si>
    <t>SS3YJ3-42-04-M5</t>
  </si>
  <si>
    <t>SS3YJ3-42R-02-M5</t>
  </si>
  <si>
    <t>SS3YJ3-KJJ246</t>
  </si>
  <si>
    <t>SS3YJ3-KJJ247</t>
  </si>
  <si>
    <t>SS3YJ3-S41-03-M3-Q</t>
  </si>
  <si>
    <t>SS3YJ3-S42-03-M5F</t>
  </si>
  <si>
    <t>SS3YJ3-S42-04-M5F-Q</t>
  </si>
  <si>
    <t>SS3YJ3-S42-05-M5F-Q</t>
  </si>
  <si>
    <t>SS3YJ3-S42-06-M5F-Q</t>
  </si>
  <si>
    <t>SS3YJ3-S42-10-M5F-Q</t>
  </si>
  <si>
    <t>SS3YJ3-S42R-03-M5</t>
  </si>
  <si>
    <t xml:space="preserve">SS5J2-LQP172    </t>
  </si>
  <si>
    <t>SS5J2-LQR274</t>
  </si>
  <si>
    <t>SS5Y3-20-06</t>
  </si>
  <si>
    <t>SS5Y3-41-02-M5</t>
  </si>
  <si>
    <t>SS5Y3-41-10-M5</t>
  </si>
  <si>
    <t>SS5YJ3-S41-02-M5F</t>
  </si>
  <si>
    <t>SS5YJ3-S41-02-M5F-Q</t>
  </si>
  <si>
    <t>SS5YJ3-S41-03-M5F</t>
  </si>
  <si>
    <t>SS5YJ3-S41-03-M5F-Q</t>
  </si>
  <si>
    <t>SS5YJ3-S41-04-M5F-Q</t>
  </si>
  <si>
    <t>SS5YJ3-S41-06-M5F-Q</t>
  </si>
  <si>
    <t>SS5YJ3-S41-10-M5F-Q</t>
  </si>
  <si>
    <t>SX3000-16-1A</t>
  </si>
  <si>
    <t>SX3000-50-1A-C4-Q</t>
  </si>
  <si>
    <t>SX3000-51-1A</t>
  </si>
  <si>
    <t>SX3000-52-1A-Q</t>
  </si>
  <si>
    <t>SX3000-53-1A-Q</t>
  </si>
  <si>
    <t>SX7000-16-1A</t>
  </si>
  <si>
    <t>SY100-30-4A-20</t>
  </si>
  <si>
    <t>SY100-68-A-20</t>
  </si>
  <si>
    <t>SY100-68-A-30</t>
  </si>
  <si>
    <t>SY100-68-A-50</t>
  </si>
  <si>
    <t>SY100-68-A-6</t>
  </si>
  <si>
    <t>SY113A-5MOU-PM3-Q</t>
  </si>
  <si>
    <t>SY114-5MOU-Qv</t>
  </si>
  <si>
    <t>SY3000-26-9A</t>
  </si>
  <si>
    <t>SY3000-37-13A-15</t>
  </si>
  <si>
    <t>SY3000-37-13A-18</t>
  </si>
  <si>
    <t>SY3000-37-4A</t>
  </si>
  <si>
    <t>SY3120-5LZD-C4</t>
  </si>
  <si>
    <t>SY3120-5LZ-M5-F2</t>
  </si>
  <si>
    <t>SY3120-5MOZ-C4</t>
  </si>
  <si>
    <t>SY3120-5MOZ-C6</t>
  </si>
  <si>
    <t>SY3140-5LOU-Q</t>
  </si>
  <si>
    <t>SY3220-5MOU-M5-Q</t>
  </si>
  <si>
    <t xml:space="preserve">SY3240-5MZ-01F-Q    </t>
  </si>
  <si>
    <t>SY3340-5LOU  </t>
  </si>
  <si>
    <t>SY3340-5LOU-Q</t>
  </si>
  <si>
    <t>SY5000-30-3B-08</t>
  </si>
  <si>
    <t>SY5120-5MO-01F-F2-Q</t>
  </si>
  <si>
    <t>SY5340-DUM00787</t>
  </si>
  <si>
    <t>SY5420-5LOU-C8F</t>
  </si>
  <si>
    <t>SY7140-5LZD-02</t>
  </si>
  <si>
    <t>SY7140R-5LZD-02</t>
  </si>
  <si>
    <t>SY7320-5LOU-C8F-X20-Q</t>
  </si>
  <si>
    <t>SYJ3000-21-2A-Q</t>
  </si>
  <si>
    <t>SYJ3000-22-1-Q</t>
  </si>
  <si>
    <t>SYJ300-10-7A-Q</t>
  </si>
  <si>
    <t>SYJ300-9-1-Q</t>
  </si>
  <si>
    <t>SYJ3143-5LOU-Q</t>
  </si>
  <si>
    <t>SYJ314-5LOU-Q</t>
  </si>
  <si>
    <t>SYJ314M-5LOU-Q</t>
  </si>
  <si>
    <t>SYJ3243-5LOU-Q</t>
  </si>
  <si>
    <t>SYJ3340-5LZ</t>
  </si>
  <si>
    <t>SYJ3343-5LOU-Q</t>
  </si>
  <si>
    <t>SYJ514-5LOU-Q</t>
  </si>
  <si>
    <t>SYJ514-SPL</t>
  </si>
  <si>
    <t>SYJA512-M5</t>
  </si>
  <si>
    <t>T0425R-20</t>
  </si>
  <si>
    <t>T1209W-20</t>
  </si>
  <si>
    <t>TAS0604B-100</t>
  </si>
  <si>
    <t>TAS1208 B 20</t>
  </si>
  <si>
    <t>TAU0425B-20</t>
  </si>
  <si>
    <t>TAU0604B-100</t>
  </si>
  <si>
    <t>TAU0604C-20-X100</t>
  </si>
  <si>
    <t>TAU1065C-20-X100</t>
  </si>
  <si>
    <t>TAU1208B-20</t>
  </si>
  <si>
    <t>TB00155</t>
  </si>
  <si>
    <t xml:space="preserve">TCU0604B-1-26-X6    </t>
  </si>
  <si>
    <t>TCU0805B-1</t>
  </si>
  <si>
    <t>TCU1065B-1-36-X6</t>
  </si>
  <si>
    <t>TD0425-20</t>
  </si>
  <si>
    <t>TFU0425B-4-10-X4</t>
  </si>
  <si>
    <t>TFU0425B-8-10-X4</t>
  </si>
  <si>
    <t>TIHC01B-16</t>
  </si>
  <si>
    <t>TIUB01B-20</t>
  </si>
  <si>
    <t>TIUB07B-20</t>
  </si>
  <si>
    <t>TIUB07BU-20</t>
  </si>
  <si>
    <t xml:space="preserve">TIUB11B-20 </t>
  </si>
  <si>
    <t>TIUB11BU-20</t>
  </si>
  <si>
    <t>TIUB13-BU-20</t>
  </si>
  <si>
    <t>TJ-0425</t>
  </si>
  <si>
    <t>TJ-0805</t>
  </si>
  <si>
    <t>TM-06</t>
  </si>
  <si>
    <t>TM-08</t>
  </si>
  <si>
    <t>TMH-04J</t>
  </si>
  <si>
    <t>TRS1065BU-20</t>
  </si>
  <si>
    <t>TS1209B</t>
  </si>
  <si>
    <t>TU0212B-20</t>
  </si>
  <si>
    <t>TU0425C-20</t>
  </si>
  <si>
    <t xml:space="preserve">TU0425Y-20   </t>
  </si>
  <si>
    <t>TU0604B-100</t>
  </si>
  <si>
    <t>TU0604BU-20</t>
  </si>
  <si>
    <t>TU0604C-20</t>
  </si>
  <si>
    <t>TU0805BU-33</t>
  </si>
  <si>
    <t>TU1065B-20</t>
  </si>
  <si>
    <t>TU1065BU-20</t>
  </si>
  <si>
    <t>TU1065C-20</t>
  </si>
  <si>
    <t>TU1610B-20</t>
  </si>
  <si>
    <t>TUH1065BU-20</t>
  </si>
  <si>
    <t xml:space="preserve">TUS 0805B-20    </t>
  </si>
  <si>
    <t>TUS0425B-20</t>
  </si>
  <si>
    <t>TUS0604BU-20</t>
  </si>
  <si>
    <t>TUS0805B-20</t>
  </si>
  <si>
    <t>TUS0805BU-20</t>
  </si>
  <si>
    <t>TUS0805N-20</t>
  </si>
  <si>
    <t>TUS0805R-20</t>
  </si>
  <si>
    <t>TUS0805W-20</t>
  </si>
  <si>
    <t>TUS1065BU-20</t>
  </si>
  <si>
    <t>TUZ0604BU-100</t>
  </si>
  <si>
    <t>TUZ0805BU-100</t>
  </si>
  <si>
    <t>US17471</t>
  </si>
  <si>
    <t>US32982</t>
  </si>
  <si>
    <t>US33374</t>
  </si>
  <si>
    <t>V114-5L</t>
  </si>
  <si>
    <t>V200-30-4A-10</t>
  </si>
  <si>
    <t>VBA20A-T03GN-Z</t>
  </si>
  <si>
    <t xml:space="preserve">VBAT-V1    </t>
  </si>
  <si>
    <t>VDW11-5G-2-M5-Q</t>
  </si>
  <si>
    <t>VDW12HA</t>
  </si>
  <si>
    <t>VF3230-5D1-02F</t>
  </si>
  <si>
    <t>VF5223K-5D1-02F</t>
  </si>
  <si>
    <t>VH212-F02</t>
  </si>
  <si>
    <t>VHK2-04F-04F</t>
  </si>
  <si>
    <t>VHK2-06F-06FL</t>
  </si>
  <si>
    <t>VHK2-06F-M5</t>
  </si>
  <si>
    <t>VHK3-04F-04F</t>
  </si>
  <si>
    <t>VHK3-06F-06FL</t>
  </si>
  <si>
    <t>VHK3-08F-08F</t>
  </si>
  <si>
    <t>VHK3-08F-08FL</t>
  </si>
  <si>
    <t>VHS20-F01-B</t>
  </si>
  <si>
    <t>VJ10-13-1</t>
  </si>
  <si>
    <t>VJ300-5-1</t>
  </si>
  <si>
    <t>VJ3143-5LOZ</t>
  </si>
  <si>
    <t>VK3120-5DO-M5</t>
  </si>
  <si>
    <t>VK332-5DO-M5</t>
  </si>
  <si>
    <t>VK332-5DO-M5-Q</t>
  </si>
  <si>
    <t>VKF332-5D-M5</t>
  </si>
  <si>
    <t>VM153-M5-35BA</t>
  </si>
  <si>
    <t>VM230-N02-08A</t>
  </si>
  <si>
    <t>VMG11BU-02-03</t>
  </si>
  <si>
    <t>VNA302A-20A</t>
  </si>
  <si>
    <t>VNA502A-32A</t>
  </si>
  <si>
    <t>VP344R-5LOZ1-02FB</t>
  </si>
  <si>
    <t>VP542K-5D1-02FA</t>
  </si>
  <si>
    <t>VQ1000-FPG-C6M5-D</t>
  </si>
  <si>
    <t>VQ1100BN-51-Q</t>
  </si>
  <si>
    <t>VQ110U-5LO</t>
  </si>
  <si>
    <t>VQ110Y-5L</t>
  </si>
  <si>
    <t>VQ110Y-5L-M5</t>
  </si>
  <si>
    <t xml:space="preserve">VQ1400BN-51-Q    </t>
  </si>
  <si>
    <t xml:space="preserve">VQ1A01BN-51-Q    </t>
  </si>
  <si>
    <t>VQ1-LAE559</t>
  </si>
  <si>
    <t>VQ1-LAE824</t>
  </si>
  <si>
    <t>VQ1-LAE881</t>
  </si>
  <si>
    <t>VQ1-LAE885</t>
  </si>
  <si>
    <t>VQ1-LAF020</t>
  </si>
  <si>
    <t>VQ1-LAF026</t>
  </si>
  <si>
    <t>VQ1-LAF029</t>
  </si>
  <si>
    <t>VQ1-LQF15</t>
  </si>
  <si>
    <t>VQ1-LQG007</t>
  </si>
  <si>
    <t xml:space="preserve">VQ1-LQH022    </t>
  </si>
  <si>
    <t xml:space="preserve">VQ1-LQK001    </t>
  </si>
  <si>
    <t>VQ1-LQK010</t>
  </si>
  <si>
    <t>VQ1-LQL010/00466554</t>
  </si>
  <si>
    <t>VQ1-LRL007</t>
  </si>
  <si>
    <t>VQ1-LRL008</t>
  </si>
  <si>
    <t>VQ1-LRL009</t>
  </si>
  <si>
    <t>VQ21A1-5YO-C6-Q</t>
  </si>
  <si>
    <t>VQ31A1-5GZ-C10-F</t>
  </si>
  <si>
    <t>VQ31A1-5GZ-C12-F</t>
  </si>
  <si>
    <t xml:space="preserve">VQD 112 1U-5M-M5-Q    </t>
  </si>
  <si>
    <t>VQD1121-5L-M5-Q</t>
  </si>
  <si>
    <t>VQD1121U-5MO-M5-Q</t>
  </si>
  <si>
    <t>VQD1121W-5MO-M5-Q</t>
  </si>
  <si>
    <t>VQD1151U-5MO-Q</t>
  </si>
  <si>
    <t>VQD1151V-5MO-Q</t>
  </si>
  <si>
    <t xml:space="preserve">VQZ 115-5M1-C4-PR-Q    </t>
  </si>
  <si>
    <t>VQZ1000V-85-1A</t>
  </si>
  <si>
    <t>VQZ1121-5LO1-C4</t>
  </si>
  <si>
    <t>VQZ1121-5M1-N3</t>
  </si>
  <si>
    <t>VQZ115-5L1-01T</t>
  </si>
  <si>
    <t>VQZ115-5LJ1-CP</t>
  </si>
  <si>
    <t>VQZ115-5LO1-CP</t>
  </si>
  <si>
    <t>VQZ115R-5MO1-C4-PR</t>
  </si>
  <si>
    <t>VQZ115R-5MO1-C6-PR</t>
  </si>
  <si>
    <t>VQZ115RY-5F-X108</t>
  </si>
  <si>
    <t>VQZ1221-5L-N3/ VQZ1221-5L1-N3</t>
  </si>
  <si>
    <t>VQZ1321-5L1-M5</t>
  </si>
  <si>
    <t>VQZ1351-5LO1</t>
  </si>
  <si>
    <t>VQZ1421-5LO1-M5-Q</t>
  </si>
  <si>
    <t>VQZ1450-5LO1</t>
  </si>
  <si>
    <t>VQZ2350-5LO1</t>
  </si>
  <si>
    <t>VQZ312-5L1-02T</t>
  </si>
  <si>
    <t>VQZ332-5L1-C6</t>
  </si>
  <si>
    <t>VQZ332-5LO1-C8</t>
  </si>
  <si>
    <t>VQZ335R-5LO1</t>
  </si>
  <si>
    <t>VR1210F-06</t>
  </si>
  <si>
    <t>VR1210F-23</t>
  </si>
  <si>
    <t>VR1220F-10</t>
  </si>
  <si>
    <t xml:space="preserve">VSK18    </t>
  </si>
  <si>
    <t xml:space="preserve">VT 307-5DO1-01F-Q    </t>
  </si>
  <si>
    <t>VT307-5DZ-01</t>
  </si>
  <si>
    <t>VT307V-5DO1-02F-Q</t>
  </si>
  <si>
    <t>VV100-S41-02-M5</t>
  </si>
  <si>
    <t>VV3Q12-02</t>
  </si>
  <si>
    <t>VV3Q12U-03</t>
  </si>
  <si>
    <t>VV3QZ15-09-DAK00648</t>
  </si>
  <si>
    <t>VV3QZ15-09-DAM00129</t>
  </si>
  <si>
    <t>VV3QZ15-A01-DUQ02597</t>
  </si>
  <si>
    <t>VV3QZ15-C02-DUQ02597</t>
  </si>
  <si>
    <t>VV3QZ35-0402C</t>
  </si>
  <si>
    <t>VV4QD15-06M5-Q</t>
  </si>
  <si>
    <t>VV4QD15-10M5-Q</t>
  </si>
  <si>
    <t>VV4QD15-18M5-Q</t>
  </si>
  <si>
    <t xml:space="preserve">VV5Q11-04C3LN1-Q    </t>
  </si>
  <si>
    <t xml:space="preserve">VV5Q11-04C3LN2-X1182-Q    </t>
  </si>
  <si>
    <t>VV5Q11-04C4FU0-Q</t>
  </si>
  <si>
    <t>VV5Q11-06C4FU0-Q</t>
  </si>
  <si>
    <t>VV5Q11-07C3LN2-X1182-Q</t>
  </si>
  <si>
    <t>VV5Q11-08CMFU0-N-Q-CEI00134/CONT-TBL00025</t>
  </si>
  <si>
    <t xml:space="preserve">VV5Q11-09C3FU0-Q    </t>
  </si>
  <si>
    <t xml:space="preserve">VV5Q11-10C3LN2-X1182-Q    </t>
  </si>
  <si>
    <t>VV5Q11-10C4FU0-Q</t>
  </si>
  <si>
    <t xml:space="preserve">VV5Q11-11C3LN2-X1182-Q    </t>
  </si>
  <si>
    <t>VV5Q11-11C4FU0-Q</t>
  </si>
  <si>
    <t xml:space="preserve">VV5Q11-12C3FU0-Q    </t>
  </si>
  <si>
    <t xml:space="preserve">VV5Q11-16C4FU0-K-Q    </t>
  </si>
  <si>
    <t>VV5QZ15-03C6C</t>
  </si>
  <si>
    <t>VV5QZ15-04C4C</t>
  </si>
  <si>
    <t>VV5QZ15-06C0TC</t>
  </si>
  <si>
    <t>VVQ1000-10A-1</t>
  </si>
  <si>
    <t>VVQ1000-16A</t>
  </si>
  <si>
    <t>VVQ1000-18A</t>
  </si>
  <si>
    <t>VVQ1000-19A-F0-C4</t>
  </si>
  <si>
    <t>VVQ1000-50A-C4</t>
  </si>
  <si>
    <t>VVQ1000-50A-C6</t>
  </si>
  <si>
    <t>VVQ1000-50A-N1</t>
  </si>
  <si>
    <t>VVQ1000-80A-1</t>
  </si>
  <si>
    <t>VVQ100-10A-2</t>
  </si>
  <si>
    <t>VVQD1000-10A-5</t>
  </si>
  <si>
    <t>VVQZ1000-10A-2</t>
  </si>
  <si>
    <t>VVQZ1000-10A-5</t>
  </si>
  <si>
    <t>VX214CFAXB</t>
  </si>
  <si>
    <t>VX2240-02F-5D1</t>
  </si>
  <si>
    <t>VX230NA</t>
  </si>
  <si>
    <t>VZ110-5MOZ-M5</t>
  </si>
  <si>
    <t>VZ1120-5MOZ-M5</t>
  </si>
  <si>
    <t>VZ3143-5FZ</t>
  </si>
  <si>
    <t>VZ3343-5FZ</t>
  </si>
  <si>
    <t>X31</t>
  </si>
  <si>
    <t>Y200-A</t>
  </si>
  <si>
    <t>Y200T-A</t>
  </si>
  <si>
    <t>Y21-02</t>
  </si>
  <si>
    <t>Y30L</t>
  </si>
  <si>
    <t>Y30T</t>
  </si>
  <si>
    <t>Y400A</t>
  </si>
  <si>
    <t>ZFB100-06</t>
  </si>
  <si>
    <t>ZFC050-04</t>
  </si>
  <si>
    <t>ZFC050-23</t>
  </si>
  <si>
    <t>ZFC100-04B</t>
  </si>
  <si>
    <t>ZFC100-06B</t>
  </si>
  <si>
    <t>ZFC200-06B</t>
  </si>
  <si>
    <t>ZFC200-08B</t>
  </si>
  <si>
    <t>ZFC33-B</t>
  </si>
  <si>
    <t>ZFC53-B</t>
  </si>
  <si>
    <t>ZFC75-B</t>
  </si>
  <si>
    <t>ZFC76-B</t>
  </si>
  <si>
    <t>ZFZ-03-002A</t>
  </si>
  <si>
    <t>ZFZ-03-002E</t>
  </si>
  <si>
    <t>ZH05BS-06-06</t>
  </si>
  <si>
    <t>ZH05DS-06-06-06</t>
  </si>
  <si>
    <t>ZH05DSA-06-06-06</t>
  </si>
  <si>
    <t>ZH07BS-06-06</t>
  </si>
  <si>
    <t>ZH07DS-06-06-06</t>
  </si>
  <si>
    <t>ZH07DSA-06-06-06</t>
  </si>
  <si>
    <t>ZH10BS-06-06</t>
  </si>
  <si>
    <t>ZH10DS-06-06-08</t>
  </si>
  <si>
    <t>ZH13BL-08-02</t>
  </si>
  <si>
    <t>ZH13BS-08-10</t>
  </si>
  <si>
    <t>ZH13DL-08-02-10</t>
  </si>
  <si>
    <t>ZH13DL-08-10-10</t>
  </si>
  <si>
    <t>ZH13DS-08-02-10</t>
  </si>
  <si>
    <t>ZH13DS-08-10-10</t>
  </si>
  <si>
    <t xml:space="preserve">ZH13DS-08-10-10    </t>
  </si>
  <si>
    <t>ZH15DS-10-12-12</t>
  </si>
  <si>
    <t>ZH18DLA-10-12-12</t>
  </si>
  <si>
    <t>ZL112-DNL-Q</t>
  </si>
  <si>
    <t>ZL212-Q</t>
  </si>
  <si>
    <t>ZM073HT-B5LZ-E55CL</t>
  </si>
  <si>
    <t>ZM101HT-B5LZ-E55C</t>
  </si>
  <si>
    <t>ZP02UGS</t>
  </si>
  <si>
    <t>ZP04UGS</t>
  </si>
  <si>
    <t>ZP06UGS</t>
  </si>
  <si>
    <t>ZP08UGS</t>
  </si>
  <si>
    <t>ZP2-10SGS</t>
  </si>
  <si>
    <t>ZP2-11ANGS</t>
  </si>
  <si>
    <t>ZP2V-B5-03</t>
  </si>
  <si>
    <t>ZP-B0004BM9Z9-DBK00575</t>
  </si>
  <si>
    <t>ZP-B0005BM9Z9-DBK00576</t>
  </si>
  <si>
    <t>ZP-B0006BM9Z9-DBK00561</t>
  </si>
  <si>
    <t>ZP-BZZZZBM9Z9-DBK00563</t>
  </si>
  <si>
    <t>ZPT1-A5</t>
  </si>
  <si>
    <t>ZPT25CN-A6</t>
  </si>
  <si>
    <t>ZS-20-5A</t>
  </si>
  <si>
    <t xml:space="preserve">ZS-26-A    </t>
  </si>
  <si>
    <t>ZS-27-A-30</t>
  </si>
  <si>
    <t>ZS-27-B</t>
  </si>
  <si>
    <t>ZS-33-J</t>
  </si>
  <si>
    <t xml:space="preserve">ZS-35-C    </t>
  </si>
  <si>
    <t xml:space="preserve">ZS-37-B  </t>
  </si>
  <si>
    <t>ZS-38-3L</t>
  </si>
  <si>
    <t>ZSE1-00-55CL</t>
  </si>
  <si>
    <t>ZSE30A-01-P-L</t>
  </si>
  <si>
    <t>ZSE30AF-01-P-L</t>
  </si>
  <si>
    <t>ZU05S</t>
  </si>
  <si>
    <t>ZX1101-K15LZ-D21L</t>
  </si>
  <si>
    <t>FESTO Sdn Bhd</t>
  </si>
  <si>
    <t>SC051</t>
  </si>
  <si>
    <t>Mark-up rules</t>
  </si>
  <si>
    <t>Other currency</t>
  </si>
  <si>
    <t>Customer code X</t>
  </si>
  <si>
    <t>TBD</t>
  </si>
  <si>
    <t>Row Labels</t>
  </si>
  <si>
    <t>Grand Total</t>
  </si>
  <si>
    <t>Count of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</si>
</sst>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M&quot;#,##0.00;[Red]\-&quot;RM&quot;#,##0.00"/>
    <numFmt numFmtId="164" formatCode="&quot;RM&quot;#,##0.00_);[Red]\(&quot;RM&quot;#,##0.00\)"/>
    <numFmt numFmtId="165" formatCode="_(* #,##0.00_);_(* \(#,##0.00\);_(* &quot;-&quot;??_);_(@_)"/>
    <numFmt numFmtId="166" formatCode="&quot;RM&quot;#,##0.00"/>
    <numFmt numFmtId="167" formatCode="[$USD]\ #,##0.00_);[Red]\([$USD]\ #,##0.00\)"/>
    <numFmt numFmtId="168" formatCode="_(&quot;$&quot;* #,##0.00_);_(&quot;$&quot;* \(#,##0.00\);_(&quot;$&quot;* &quot;-&quot;??_);_(@_)"/>
    <numFmt numFmtId="169" formatCode="#,##0.00;[Red]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strike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0" fontId="3" fillId="0" borderId="0"/>
    <xf numFmtId="0" fontId="4" fillId="0" borderId="0"/>
    <xf numFmtId="168" fontId="1" fillId="0" borderId="0" applyFont="0" applyFill="0" applyBorder="0" applyAlignment="0" applyProtection="0"/>
    <xf numFmtId="0" fontId="9" fillId="0" borderId="0"/>
    <xf numFmtId="0" fontId="4" fillId="0" borderId="0"/>
  </cellStyleXfs>
  <cellXfs count="53">
    <xf numFmtId="0" fontId="0" fillId="0" borderId="0" xfId="0"/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8" fontId="6" fillId="0" borderId="3" xfId="0" applyNumberFormat="1" applyFont="1" applyBorder="1" applyAlignment="1">
      <alignment horizontal="left" vertical="top"/>
    </xf>
    <xf numFmtId="0" fontId="6" fillId="0" borderId="3" xfId="3" applyFont="1" applyBorder="1" applyAlignment="1">
      <alignment horizontal="left" vertical="top"/>
    </xf>
    <xf numFmtId="0" fontId="6" fillId="0" borderId="3" xfId="0" applyFont="1" applyBorder="1"/>
    <xf numFmtId="0" fontId="6" fillId="0" borderId="3" xfId="0" applyFont="1" applyBorder="1" applyAlignment="1">
      <alignment vertical="center"/>
    </xf>
    <xf numFmtId="1" fontId="6" fillId="0" borderId="3" xfId="0" applyNumberFormat="1" applyFont="1" applyBorder="1" applyAlignment="1">
      <alignment horizontal="left"/>
    </xf>
    <xf numFmtId="1" fontId="6" fillId="0" borderId="3" xfId="0" applyNumberFormat="1" applyFont="1" applyBorder="1"/>
    <xf numFmtId="0" fontId="6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3" xfId="2" applyFont="1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  <xf numFmtId="8" fontId="6" fillId="0" borderId="3" xfId="0" applyNumberFormat="1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7" fillId="2" borderId="2" xfId="0" applyFont="1" applyFill="1" applyBorder="1" applyAlignment="1">
      <alignment horizontal="left"/>
    </xf>
    <xf numFmtId="166" fontId="7" fillId="2" borderId="2" xfId="1" applyNumberFormat="1" applyFont="1" applyFill="1" applyBorder="1" applyAlignment="1">
      <alignment horizontal="left"/>
    </xf>
    <xf numFmtId="169" fontId="6" fillId="0" borderId="3" xfId="0" applyNumberFormat="1" applyFont="1" applyBorder="1" applyAlignment="1">
      <alignment horizontal="center" vertical="top"/>
    </xf>
    <xf numFmtId="169" fontId="6" fillId="0" borderId="3" xfId="3" applyNumberFormat="1" applyFont="1" applyBorder="1" applyAlignment="1">
      <alignment horizontal="center" vertical="top"/>
    </xf>
    <xf numFmtId="169" fontId="6" fillId="0" borderId="3" xfId="0" applyNumberFormat="1" applyFont="1" applyBorder="1" applyAlignment="1">
      <alignment horizontal="center"/>
    </xf>
    <xf numFmtId="169" fontId="0" fillId="0" borderId="3" xfId="0" applyNumberFormat="1" applyBorder="1" applyAlignment="1">
      <alignment horizontal="center"/>
    </xf>
    <xf numFmtId="169" fontId="6" fillId="0" borderId="3" xfId="2" applyNumberFormat="1" applyFont="1" applyBorder="1" applyAlignment="1">
      <alignment horizontal="center" vertical="top"/>
    </xf>
    <xf numFmtId="0" fontId="6" fillId="0" borderId="2" xfId="0" applyFont="1" applyBorder="1" applyAlignment="1">
      <alignment horizontal="left" vertical="top"/>
    </xf>
    <xf numFmtId="0" fontId="8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top"/>
    </xf>
    <xf numFmtId="0" fontId="6" fillId="0" borderId="3" xfId="0" applyFont="1" applyBorder="1" applyAlignment="1">
      <alignment horizontal="center"/>
    </xf>
    <xf numFmtId="9" fontId="6" fillId="0" borderId="3" xfId="0" applyNumberFormat="1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169" fontId="6" fillId="0" borderId="3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left" vertical="top"/>
    </xf>
    <xf numFmtId="0" fontId="6" fillId="0" borderId="0" xfId="0" applyFont="1" applyAlignment="1">
      <alignment vertical="top"/>
    </xf>
    <xf numFmtId="167" fontId="6" fillId="0" borderId="3" xfId="0" applyNumberFormat="1" applyFont="1" applyBorder="1" applyAlignment="1">
      <alignment horizontal="left" vertical="top"/>
    </xf>
    <xf numFmtId="1" fontId="6" fillId="0" borderId="3" xfId="4" applyNumberFormat="1" applyFont="1" applyBorder="1" applyAlignment="1">
      <alignment horizontal="left"/>
    </xf>
    <xf numFmtId="1" fontId="6" fillId="0" borderId="3" xfId="4" applyNumberFormat="1" applyFont="1" applyBorder="1"/>
    <xf numFmtId="0" fontId="6" fillId="0" borderId="0" xfId="0" applyFont="1"/>
    <xf numFmtId="169" fontId="0" fillId="0" borderId="0" xfId="0" applyNumberFormat="1" applyAlignment="1">
      <alignment horizontal="center"/>
    </xf>
    <xf numFmtId="169" fontId="0" fillId="0" borderId="0" xfId="0" applyNumberFormat="1"/>
    <xf numFmtId="169" fontId="11" fillId="0" borderId="0" xfId="0" applyNumberFormat="1" applyFont="1" applyAlignment="1">
      <alignment horizontal="left"/>
    </xf>
    <xf numFmtId="169" fontId="10" fillId="0" borderId="1" xfId="0" applyNumberFormat="1" applyFont="1" applyBorder="1" applyAlignment="1">
      <alignment horizontal="left"/>
    </xf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NumberFormat="1"/>
  </cellXfs>
  <cellStyles count="8">
    <cellStyle name="Comma" xfId="1" builtinId="3"/>
    <cellStyle name="Currency 2" xfId="5" xr:uid="{A81C9AD0-E40D-468B-B8F5-ED39715D119D}"/>
    <cellStyle name="Normal" xfId="0" builtinId="0"/>
    <cellStyle name="Normal 2" xfId="4" xr:uid="{00567253-E6EE-4273-BD25-0EAAC1D295AB}"/>
    <cellStyle name="Normal 2 2" xfId="3" xr:uid="{259F0539-C18D-46EE-8CE3-77EEA1240A04}"/>
    <cellStyle name="Normal 2 3" xfId="2" xr:uid="{FB04BCF5-35F1-4DC7-9AB7-EA895C3B83CB}"/>
    <cellStyle name="Normal 2 4" xfId="6" xr:uid="{057EEDD1-2E1B-4B1D-8F08-D7B70C536B12}"/>
    <cellStyle name="Normal 3" xfId="7" xr:uid="{B693E344-9B55-4437-8A81-2C7EEF8816C6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huinc-my.sharepoint.com/Users/Derrick%20Loi/Downloads/COHU%20SMC%20Master%20Price%20List%20Rev%201%20&#8211;%201%20Oct%202016%20(MYR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aysia Only"/>
      <sheetName val="V-LOOP"/>
      <sheetName val="Sheet2"/>
      <sheetName val="Sheet1"/>
    </sheetNames>
    <sheetDataSet>
      <sheetData sheetId="0">
        <row r="1">
          <cell r="A1" t="str">
            <v>Price For Malaysia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MPN</v>
          </cell>
          <cell r="B2" t="str">
            <v>New part no.(replacement p/n.correct p/n &amp; Rasco P/N.)</v>
          </cell>
          <cell r="C2" t="str">
            <v>COHU SAP P/N</v>
          </cell>
          <cell r="D2" t="str">
            <v>COHU SysPro P/N</v>
          </cell>
          <cell r="E2" t="str">
            <v>Part Description</v>
          </cell>
          <cell r="F2" t="str">
            <v>CIP Price for Malaysia in MYR Effective Oct 2016</v>
          </cell>
        </row>
        <row r="3">
          <cell r="A3">
            <v>130184</v>
          </cell>
          <cell r="B3">
            <v>0</v>
          </cell>
          <cell r="C3">
            <v>1325020</v>
          </cell>
          <cell r="D3">
            <v>0</v>
          </cell>
          <cell r="E3">
            <v>0</v>
          </cell>
          <cell r="F3">
            <v>9.9666000000000015</v>
          </cell>
        </row>
        <row r="4">
          <cell r="A4">
            <v>230451</v>
          </cell>
          <cell r="B4">
            <v>0</v>
          </cell>
          <cell r="C4">
            <v>1325016</v>
          </cell>
          <cell r="D4">
            <v>0</v>
          </cell>
          <cell r="E4">
            <v>0</v>
          </cell>
          <cell r="F4">
            <v>9.9666000000000015</v>
          </cell>
        </row>
        <row r="5">
          <cell r="A5" t="str">
            <v xml:space="preserve"> ISE40-01-22L Obsolete</v>
          </cell>
          <cell r="B5" t="str">
            <v>ISE40A-01-R</v>
          </cell>
          <cell r="C5">
            <v>1360355</v>
          </cell>
          <cell r="D5">
            <v>0</v>
          </cell>
          <cell r="E5">
            <v>0</v>
          </cell>
          <cell r="F5">
            <v>301.8</v>
          </cell>
        </row>
        <row r="6">
          <cell r="A6" t="str">
            <v> KK3P-06E</v>
          </cell>
          <cell r="B6">
            <v>0</v>
          </cell>
          <cell r="C6">
            <v>1360755</v>
          </cell>
          <cell r="D6">
            <v>0</v>
          </cell>
          <cell r="E6">
            <v>0</v>
          </cell>
          <cell r="F6">
            <v>7.66</v>
          </cell>
        </row>
        <row r="7">
          <cell r="A7" t="str">
            <v>10-VQ110U-5L-X607</v>
          </cell>
          <cell r="B7">
            <v>0</v>
          </cell>
          <cell r="C7" t="str">
            <v>D1004165</v>
          </cell>
          <cell r="D7">
            <v>1800655</v>
          </cell>
          <cell r="E7" t="str">
            <v>VALVE, 3 PORT, NC, 3.1W, VAC</v>
          </cell>
          <cell r="F7">
            <v>129.1</v>
          </cell>
        </row>
        <row r="8">
          <cell r="A8" t="str">
            <v>11-MSQA20R</v>
          </cell>
          <cell r="B8">
            <v>0</v>
          </cell>
          <cell r="C8">
            <v>1261955</v>
          </cell>
          <cell r="D8">
            <v>0</v>
          </cell>
          <cell r="E8">
            <v>0</v>
          </cell>
          <cell r="F8">
            <v>1708.5221999999999</v>
          </cell>
        </row>
        <row r="9">
          <cell r="A9" t="str">
            <v>12-MGPL12-30</v>
          </cell>
          <cell r="B9">
            <v>0</v>
          </cell>
          <cell r="C9">
            <v>1261887</v>
          </cell>
          <cell r="D9">
            <v>0</v>
          </cell>
          <cell r="E9">
            <v>0</v>
          </cell>
          <cell r="F9">
            <v>557.24760000000003</v>
          </cell>
        </row>
        <row r="10">
          <cell r="A10" t="str">
            <v>12-MGPL12-75</v>
          </cell>
          <cell r="B10">
            <v>0</v>
          </cell>
          <cell r="C10">
            <v>1261886</v>
          </cell>
          <cell r="D10">
            <v>0</v>
          </cell>
          <cell r="E10">
            <v>0</v>
          </cell>
          <cell r="F10">
            <v>622.95659999999998</v>
          </cell>
        </row>
        <row r="11">
          <cell r="A11" t="str">
            <v>AC20-KJN005B</v>
          </cell>
          <cell r="B11">
            <v>0</v>
          </cell>
          <cell r="C11">
            <v>1585184</v>
          </cell>
          <cell r="D11">
            <v>0</v>
          </cell>
          <cell r="E11" t="str">
            <v>AIR-TREATMENT-MOTOR-TORQUE</v>
          </cell>
          <cell r="F11">
            <v>351.98660000000001</v>
          </cell>
        </row>
        <row r="12">
          <cell r="A12" t="str">
            <v>AC30-KLI251A</v>
          </cell>
          <cell r="B12">
            <v>0</v>
          </cell>
          <cell r="C12">
            <v>1360646</v>
          </cell>
          <cell r="D12">
            <v>0</v>
          </cell>
          <cell r="E12">
            <v>0</v>
          </cell>
          <cell r="F12">
            <v>1048.8743999999999</v>
          </cell>
        </row>
        <row r="13">
          <cell r="A13" t="str">
            <v>AC40D-03-R-A</v>
          </cell>
          <cell r="B13">
            <v>0</v>
          </cell>
          <cell r="C13" t="str">
            <v>D1002080</v>
          </cell>
          <cell r="D13">
            <v>3604377</v>
          </cell>
          <cell r="E13" t="str">
            <v>REGULATOR,FILTER MIST SEPORATR</v>
          </cell>
          <cell r="F13">
            <v>211.3468</v>
          </cell>
        </row>
        <row r="14">
          <cell r="A14" t="str">
            <v>AC40D-N03G-Z-A</v>
          </cell>
          <cell r="B14">
            <v>0</v>
          </cell>
          <cell r="C14" t="str">
            <v>D1000208</v>
          </cell>
          <cell r="D14">
            <v>3604279</v>
          </cell>
          <cell r="E14" t="str">
            <v>FILTER REGULATOR ASSY,SMC</v>
          </cell>
          <cell r="F14">
            <v>276.60500000000002</v>
          </cell>
        </row>
        <row r="15">
          <cell r="A15" t="str">
            <v>AC40-KLI252A</v>
          </cell>
          <cell r="B15">
            <v>0</v>
          </cell>
          <cell r="C15">
            <v>1360647</v>
          </cell>
          <cell r="D15">
            <v>0</v>
          </cell>
          <cell r="E15">
            <v>0</v>
          </cell>
          <cell r="F15">
            <v>1197.4473000000003</v>
          </cell>
        </row>
        <row r="16">
          <cell r="A16" t="str">
            <v>AD27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67.593343999999988</v>
          </cell>
        </row>
        <row r="17">
          <cell r="A17" t="str">
            <v>AD27-C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82.595968000000013</v>
          </cell>
        </row>
        <row r="18">
          <cell r="A18" t="str">
            <v>AD38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114.96575999999999</v>
          </cell>
        </row>
        <row r="19">
          <cell r="A19" t="str">
            <v>AF10-M5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29.393727999999999</v>
          </cell>
        </row>
        <row r="20">
          <cell r="A20" t="str">
            <v>AF20-01C</v>
          </cell>
          <cell r="B20">
            <v>0</v>
          </cell>
          <cell r="C20">
            <v>4020028</v>
          </cell>
          <cell r="D20">
            <v>0</v>
          </cell>
          <cell r="E20">
            <v>0</v>
          </cell>
          <cell r="F20">
            <v>55.89674999999999</v>
          </cell>
        </row>
        <row r="21">
          <cell r="A21" t="str">
            <v>AF20-F01</v>
          </cell>
          <cell r="B21">
            <v>0</v>
          </cell>
          <cell r="C21" t="str">
            <v>G1003800</v>
          </cell>
          <cell r="D21" t="str">
            <v>80.0000.1799/  80.0000.0764</v>
          </cell>
          <cell r="E21" t="str">
            <v>Air Filter micro filter</v>
          </cell>
          <cell r="F21">
            <v>32.084416000000004</v>
          </cell>
        </row>
        <row r="22">
          <cell r="A22" t="str">
            <v>AF20-F01C</v>
          </cell>
          <cell r="B22">
            <v>0</v>
          </cell>
          <cell r="C22" t="str">
            <v>G1003807</v>
          </cell>
          <cell r="D22" t="str">
            <v>80.0000.8589</v>
          </cell>
          <cell r="E22" t="str">
            <v>AIR FILTER</v>
          </cell>
          <cell r="F22">
            <v>65.065728000000007</v>
          </cell>
        </row>
        <row r="23">
          <cell r="A23" t="str">
            <v>AF20P-050AS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10.355072</v>
          </cell>
        </row>
        <row r="24">
          <cell r="A24" t="str">
            <v>AF20P-060S</v>
          </cell>
          <cell r="B24">
            <v>0</v>
          </cell>
          <cell r="C24">
            <v>0</v>
          </cell>
          <cell r="D24" t="str">
            <v>80.0000.0899</v>
          </cell>
          <cell r="E24" t="str">
            <v>Air Filter Insert for 80.0000.1799</v>
          </cell>
          <cell r="F24">
            <v>4.28064</v>
          </cell>
        </row>
        <row r="25">
          <cell r="A25" t="str">
            <v>AF22P-050AS</v>
          </cell>
          <cell r="B25">
            <v>0</v>
          </cell>
          <cell r="C25">
            <v>1360147</v>
          </cell>
          <cell r="D25">
            <v>0</v>
          </cell>
          <cell r="E25" t="str">
            <v>ANGLE-BRACKET-FIXING-FILTER</v>
          </cell>
          <cell r="F25">
            <v>6.45</v>
          </cell>
        </row>
        <row r="26">
          <cell r="A26" t="str">
            <v>AF30-F02</v>
          </cell>
          <cell r="B26" t="str">
            <v>AF30-F02-A</v>
          </cell>
          <cell r="C26" t="str">
            <v>G1005462</v>
          </cell>
          <cell r="D26" t="str">
            <v>80.0001.1277</v>
          </cell>
          <cell r="E26">
            <v>0</v>
          </cell>
          <cell r="F26">
            <v>42.276415999999998</v>
          </cell>
        </row>
        <row r="27">
          <cell r="A27" t="str">
            <v>AF30-F03B-6</v>
          </cell>
          <cell r="B27" t="str">
            <v>AF30-F03B-6-A</v>
          </cell>
          <cell r="C27">
            <v>4001236</v>
          </cell>
          <cell r="D27">
            <v>0</v>
          </cell>
          <cell r="E27" t="str">
            <v>FILTER-PNEUMATIC G3/8 + BRACKET</v>
          </cell>
          <cell r="F27">
            <v>59.843699999999998</v>
          </cell>
        </row>
        <row r="28">
          <cell r="A28" t="str">
            <v>AF30-F03D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96.457087999999999</v>
          </cell>
        </row>
        <row r="29">
          <cell r="A29" t="str">
            <v>AF30P-050AS</v>
          </cell>
          <cell r="B29">
            <v>0</v>
          </cell>
          <cell r="C29">
            <v>0</v>
          </cell>
          <cell r="D29" t="str">
            <v>80.0001.1371</v>
          </cell>
          <cell r="E29" t="str">
            <v>Mounting Angle (AF30)</v>
          </cell>
          <cell r="F29">
            <v>13.0046</v>
          </cell>
        </row>
        <row r="30">
          <cell r="A30" t="str">
            <v>AF30P-060S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13.661199999999999</v>
          </cell>
        </row>
        <row r="31">
          <cell r="A31" t="str">
            <v>AF40-F04</v>
          </cell>
          <cell r="B31">
            <v>0</v>
          </cell>
          <cell r="C31">
            <v>0</v>
          </cell>
          <cell r="D31" t="str">
            <v>80.0000.7507</v>
          </cell>
          <cell r="E31" t="str">
            <v>Filter</v>
          </cell>
          <cell r="F31">
            <v>55.605200000000004</v>
          </cell>
        </row>
        <row r="32">
          <cell r="A32" t="str">
            <v>AF40P-060S</v>
          </cell>
          <cell r="B32">
            <v>0</v>
          </cell>
          <cell r="C32">
            <v>0</v>
          </cell>
          <cell r="D32">
            <v>3602655</v>
          </cell>
          <cell r="E32" t="str">
            <v>FILTER ELEMENT,FILTER-RGLTR</v>
          </cell>
          <cell r="F32">
            <v>19.160960000000003</v>
          </cell>
        </row>
        <row r="33">
          <cell r="A33" t="str">
            <v>AFD20-F02C-A</v>
          </cell>
          <cell r="B33">
            <v>0</v>
          </cell>
          <cell r="C33">
            <v>1360694</v>
          </cell>
          <cell r="D33">
            <v>0</v>
          </cell>
          <cell r="E33" t="str">
            <v>FILTER-PNEUMATIC SUBMICRONICAL</v>
          </cell>
          <cell r="F33">
            <v>100.4157</v>
          </cell>
        </row>
        <row r="34">
          <cell r="A34" t="str">
            <v>AFD30P-060AS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56.626752000000003</v>
          </cell>
        </row>
        <row r="35">
          <cell r="A35" t="str">
            <v>AFD40P-060AS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61.681984</v>
          </cell>
        </row>
        <row r="36">
          <cell r="A36" t="str">
            <v>AFM20-01C</v>
          </cell>
          <cell r="B36">
            <v>0</v>
          </cell>
          <cell r="C36">
            <v>4020029</v>
          </cell>
          <cell r="D36">
            <v>0</v>
          </cell>
          <cell r="E36">
            <v>0</v>
          </cell>
          <cell r="F36">
            <v>69.947009999999992</v>
          </cell>
        </row>
        <row r="37">
          <cell r="A37" t="str">
            <v>AFM20-F01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76.684607999999997</v>
          </cell>
        </row>
        <row r="38">
          <cell r="A38" t="str">
            <v>AFM20-F02-C</v>
          </cell>
          <cell r="B38" t="str">
            <v>AFM20-F02-C-A</v>
          </cell>
          <cell r="C38">
            <v>1361042</v>
          </cell>
          <cell r="D38">
            <v>0</v>
          </cell>
          <cell r="E38" t="str">
            <v>FILTER-PNEUMATIC-MICRO.</v>
          </cell>
          <cell r="F38">
            <v>98.166600000000003</v>
          </cell>
        </row>
        <row r="39">
          <cell r="A39" t="str">
            <v>AFM20P-060AS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44.885567999999999</v>
          </cell>
        </row>
        <row r="40">
          <cell r="A40" t="str">
            <v>AFM30-F03D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133.55596800000001</v>
          </cell>
        </row>
        <row r="41">
          <cell r="A41" t="str">
            <v>AFM30P-060AS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56.626752000000003</v>
          </cell>
        </row>
        <row r="42">
          <cell r="A42" t="str">
            <v>AFM40P-060AS</v>
          </cell>
          <cell r="B42">
            <v>0</v>
          </cell>
          <cell r="C42">
            <v>0</v>
          </cell>
          <cell r="D42">
            <v>3602656</v>
          </cell>
          <cell r="E42" t="str">
            <v>FILTER ELEMENT,MIST SEPARATOR</v>
          </cell>
          <cell r="F42">
            <v>61.681984</v>
          </cell>
        </row>
        <row r="43">
          <cell r="A43" t="str">
            <v>AKB04B-04S</v>
          </cell>
          <cell r="B43">
            <v>0</v>
          </cell>
          <cell r="C43">
            <v>1360962</v>
          </cell>
          <cell r="D43">
            <v>0</v>
          </cell>
          <cell r="E43" t="str">
            <v>VALVE-NONRETURN AKB04B-04S</v>
          </cell>
          <cell r="F43">
            <v>62.136899999999997</v>
          </cell>
        </row>
        <row r="44">
          <cell r="A44" t="str">
            <v>AKH03-00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15.084160000000001</v>
          </cell>
        </row>
        <row r="45">
          <cell r="A45" t="str">
            <v>AKH04-00</v>
          </cell>
          <cell r="B45">
            <v>0</v>
          </cell>
          <cell r="C45">
            <v>4001705</v>
          </cell>
          <cell r="D45" t="str">
            <v>80.0000.8333</v>
          </cell>
          <cell r="E45" t="str">
            <v>Rⁿckschlagventil</v>
          </cell>
          <cell r="F45">
            <v>13.266750000000002</v>
          </cell>
        </row>
        <row r="46">
          <cell r="A46" t="str">
            <v>AKH04A-01S</v>
          </cell>
          <cell r="B46">
            <v>0</v>
          </cell>
          <cell r="C46">
            <v>1360862</v>
          </cell>
          <cell r="D46">
            <v>0</v>
          </cell>
          <cell r="E46" t="str">
            <v>VALVE-RETAINER 1/8</v>
          </cell>
          <cell r="F46">
            <v>14.295015000000001</v>
          </cell>
        </row>
        <row r="47">
          <cell r="A47" t="str">
            <v>AKH06-00</v>
          </cell>
          <cell r="B47">
            <v>0</v>
          </cell>
          <cell r="C47">
            <v>1360937</v>
          </cell>
          <cell r="D47">
            <v>1800573</v>
          </cell>
          <cell r="E47" t="str">
            <v>CHECK VALVE, ONE TOUCH 6MM</v>
          </cell>
          <cell r="F47">
            <v>11.907</v>
          </cell>
        </row>
        <row r="48">
          <cell r="A48" t="str">
            <v>AKH06B-M5</v>
          </cell>
          <cell r="B48">
            <v>0</v>
          </cell>
          <cell r="C48">
            <v>0</v>
          </cell>
          <cell r="D48" t="str">
            <v>80.0001.0312</v>
          </cell>
          <cell r="E48" t="str">
            <v>Pneumatic Fitting</v>
          </cell>
          <cell r="F48">
            <v>17.530239999999999</v>
          </cell>
        </row>
        <row r="49">
          <cell r="A49" t="str">
            <v>AKH08-00</v>
          </cell>
          <cell r="B49">
            <v>0</v>
          </cell>
          <cell r="C49">
            <v>0</v>
          </cell>
          <cell r="D49" t="str">
            <v>80.0001.1174</v>
          </cell>
          <cell r="E49" t="str">
            <v>Non-return valve</v>
          </cell>
          <cell r="F49">
            <v>22.993151999999998</v>
          </cell>
        </row>
        <row r="50">
          <cell r="A50" t="str">
            <v>AKH10-00</v>
          </cell>
          <cell r="B50">
            <v>0</v>
          </cell>
          <cell r="C50">
            <v>0</v>
          </cell>
          <cell r="D50" t="str">
            <v>80.0001.1545</v>
          </cell>
          <cell r="E50" t="str">
            <v>Rⁿckschlagventil</v>
          </cell>
          <cell r="F50">
            <v>34.44896</v>
          </cell>
        </row>
        <row r="51">
          <cell r="A51" t="str">
            <v>AKH12A-04S</v>
          </cell>
          <cell r="B51">
            <v>0</v>
          </cell>
          <cell r="C51">
            <v>0</v>
          </cell>
          <cell r="D51" t="str">
            <v>80.0000.7506</v>
          </cell>
          <cell r="E51" t="str">
            <v>Rⁿckschlagventil 1/2"</v>
          </cell>
          <cell r="F51">
            <v>53.566799999999994</v>
          </cell>
        </row>
        <row r="52">
          <cell r="A52" t="str">
            <v>AMC310-03</v>
          </cell>
          <cell r="B52">
            <v>0</v>
          </cell>
          <cell r="C52">
            <v>1321004</v>
          </cell>
          <cell r="D52">
            <v>0</v>
          </cell>
          <cell r="E52" t="str">
            <v>FILTER-PNEUMATIC G3/8</v>
          </cell>
          <cell r="F52">
            <v>132.7851</v>
          </cell>
        </row>
        <row r="53">
          <cell r="A53" t="str">
            <v>AMC320-03B</v>
          </cell>
          <cell r="B53">
            <v>0</v>
          </cell>
          <cell r="C53">
            <v>91005540</v>
          </cell>
          <cell r="D53">
            <v>0</v>
          </cell>
          <cell r="E53">
            <v>0</v>
          </cell>
          <cell r="F53">
            <v>144.29519999999999</v>
          </cell>
        </row>
        <row r="54">
          <cell r="A54" t="str">
            <v>AMC510-06</v>
          </cell>
          <cell r="B54">
            <v>0</v>
          </cell>
          <cell r="C54">
            <v>1321040</v>
          </cell>
          <cell r="D54">
            <v>0</v>
          </cell>
          <cell r="E54">
            <v>0</v>
          </cell>
          <cell r="F54">
            <v>175.42980000000003</v>
          </cell>
        </row>
        <row r="55">
          <cell r="A55" t="str">
            <v>AMP420-F06</v>
          </cell>
          <cell r="B55">
            <v>0</v>
          </cell>
          <cell r="C55">
            <v>1360426</v>
          </cell>
          <cell r="D55">
            <v>0</v>
          </cell>
          <cell r="E55">
            <v>0</v>
          </cell>
          <cell r="F55">
            <v>454.62690000000003</v>
          </cell>
        </row>
        <row r="56">
          <cell r="A56" t="str">
            <v>AN10-01</v>
          </cell>
          <cell r="B56">
            <v>0</v>
          </cell>
          <cell r="C56">
            <v>1360837</v>
          </cell>
          <cell r="D56">
            <v>3604265</v>
          </cell>
          <cell r="E56" t="str">
            <v>MUFFLER,R1/8",COMPACT</v>
          </cell>
          <cell r="F56">
            <v>5.7623999999999995</v>
          </cell>
        </row>
        <row r="57">
          <cell r="A57" t="str">
            <v>AN101-01</v>
          </cell>
          <cell r="B57">
            <v>0</v>
          </cell>
          <cell r="C57">
            <v>4020101</v>
          </cell>
          <cell r="D57" t="str">
            <v>A0000017082</v>
          </cell>
          <cell r="E57" t="str">
            <v>MUFFLER 1/8"R</v>
          </cell>
          <cell r="F57">
            <v>6.6451840000000004</v>
          </cell>
        </row>
        <row r="58">
          <cell r="A58" t="str">
            <v>AN103-01</v>
          </cell>
          <cell r="B58">
            <v>0</v>
          </cell>
          <cell r="C58">
            <v>0</v>
          </cell>
          <cell r="D58">
            <v>3602841</v>
          </cell>
          <cell r="E58" t="str">
            <v>SILENCER,COMPACT,1/8 PORT</v>
          </cell>
          <cell r="F58">
            <v>5.544448</v>
          </cell>
        </row>
        <row r="59">
          <cell r="A59" t="str">
            <v>AN103-KM6</v>
          </cell>
          <cell r="B59">
            <v>0</v>
          </cell>
          <cell r="C59">
            <v>4000838</v>
          </cell>
          <cell r="D59">
            <v>0</v>
          </cell>
          <cell r="E59" t="str">
            <v>SILENCER-MALE ON SHAFT D= 6</v>
          </cell>
          <cell r="F59">
            <v>9.4581759999999999</v>
          </cell>
        </row>
        <row r="60">
          <cell r="A60" t="str">
            <v>AN103-X233</v>
          </cell>
          <cell r="B60" t="str">
            <v>AN10-C06</v>
          </cell>
          <cell r="C60">
            <v>4020100</v>
          </cell>
          <cell r="D60">
            <v>0</v>
          </cell>
          <cell r="E60" t="str">
            <v>SILENCER</v>
          </cell>
          <cell r="F60">
            <v>15.7437</v>
          </cell>
        </row>
        <row r="61">
          <cell r="A61" t="str">
            <v>AN110-01</v>
          </cell>
          <cell r="B61">
            <v>0</v>
          </cell>
          <cell r="C61" t="str">
            <v>1313008/  G1003858</v>
          </cell>
          <cell r="D61" t="str">
            <v>80.0000.0731</v>
          </cell>
          <cell r="E61" t="str">
            <v>Silencer</v>
          </cell>
          <cell r="F61">
            <v>6.6044160000000005</v>
          </cell>
        </row>
        <row r="62">
          <cell r="A62" t="str">
            <v>AN120-M5</v>
          </cell>
          <cell r="B62">
            <v>0</v>
          </cell>
          <cell r="C62">
            <v>1130563</v>
          </cell>
          <cell r="D62" t="str">
            <v>A0000017084/ 80.0001.0240</v>
          </cell>
          <cell r="E62" t="str">
            <v>Damper</v>
          </cell>
          <cell r="F62">
            <v>3.93</v>
          </cell>
        </row>
        <row r="63">
          <cell r="A63" t="str">
            <v>AN15-C08</v>
          </cell>
          <cell r="B63">
            <v>0</v>
          </cell>
          <cell r="C63" t="str">
            <v>1313020/ G1003743</v>
          </cell>
          <cell r="D63" t="str">
            <v>80.0000.0697</v>
          </cell>
          <cell r="E63" t="str">
            <v>Noise damper</v>
          </cell>
          <cell r="F63">
            <v>8.98</v>
          </cell>
        </row>
        <row r="64">
          <cell r="A64" t="str">
            <v>AN20-02</v>
          </cell>
          <cell r="B64">
            <v>0</v>
          </cell>
          <cell r="C64" t="str">
            <v>1313009/  D1002582</v>
          </cell>
          <cell r="D64">
            <v>3604409</v>
          </cell>
          <cell r="E64" t="str">
            <v>MUFFLER,1/4 R(PT) M</v>
          </cell>
          <cell r="F64">
            <v>10.6134</v>
          </cell>
        </row>
        <row r="65">
          <cell r="A65" t="str">
            <v>AN200-KM10</v>
          </cell>
          <cell r="B65">
            <v>0</v>
          </cell>
          <cell r="C65">
            <v>0</v>
          </cell>
          <cell r="D65">
            <v>3603780</v>
          </cell>
          <cell r="E65" t="str">
            <v>SILENCER,10MM,ONE-TOUCH</v>
          </cell>
          <cell r="F65">
            <v>9.23</v>
          </cell>
        </row>
        <row r="66">
          <cell r="A66" t="str">
            <v>AN200-KM8</v>
          </cell>
          <cell r="B66">
            <v>0</v>
          </cell>
          <cell r="C66">
            <v>91100350</v>
          </cell>
          <cell r="D66" t="str">
            <v>A0000016451</v>
          </cell>
          <cell r="E66" t="str">
            <v>SILENCER</v>
          </cell>
          <cell r="F66">
            <v>15.082200000000002</v>
          </cell>
        </row>
        <row r="67">
          <cell r="A67" t="str">
            <v>AN203-02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5.3406080000000005</v>
          </cell>
        </row>
        <row r="68">
          <cell r="A68" t="str">
            <v>AN203-KM8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6.9305599999999998</v>
          </cell>
        </row>
        <row r="69">
          <cell r="A69" t="str">
            <v>AN20-C10</v>
          </cell>
          <cell r="B69">
            <v>0</v>
          </cell>
          <cell r="C69">
            <v>1313018</v>
          </cell>
          <cell r="D69">
            <v>0</v>
          </cell>
          <cell r="E69" t="str">
            <v>SILENCER-MALE ON SHAFT D=10</v>
          </cell>
          <cell r="F69">
            <v>15.082200000000002</v>
          </cell>
        </row>
        <row r="70">
          <cell r="A70" t="str">
            <v>AN300-03</v>
          </cell>
          <cell r="B70">
            <v>0</v>
          </cell>
          <cell r="C70">
            <v>91007390</v>
          </cell>
          <cell r="D70">
            <v>0</v>
          </cell>
          <cell r="E70" t="str">
            <v>SILENCER-3/8NPT 30DB 84X25MM BRONZE</v>
          </cell>
          <cell r="F70">
            <v>11.907</v>
          </cell>
        </row>
        <row r="71">
          <cell r="A71" t="str">
            <v>AN30-03</v>
          </cell>
          <cell r="B71">
            <v>0</v>
          </cell>
          <cell r="C71">
            <v>1313015</v>
          </cell>
          <cell r="D71">
            <v>0</v>
          </cell>
          <cell r="E71" t="str">
            <v>SILENCER-MALE G3/8</v>
          </cell>
          <cell r="F71">
            <v>8.6044</v>
          </cell>
        </row>
        <row r="72">
          <cell r="A72" t="str">
            <v>AN303-03</v>
          </cell>
          <cell r="B72">
            <v>0</v>
          </cell>
          <cell r="C72">
            <v>4001088</v>
          </cell>
          <cell r="D72">
            <v>0</v>
          </cell>
          <cell r="E72" t="str">
            <v>SILENCER-MALE G3/8</v>
          </cell>
          <cell r="F72">
            <v>11.907</v>
          </cell>
        </row>
        <row r="73">
          <cell r="A73" t="str">
            <v>AN40-04</v>
          </cell>
          <cell r="B73">
            <v>0</v>
          </cell>
          <cell r="C73">
            <v>1313013</v>
          </cell>
          <cell r="D73">
            <v>0</v>
          </cell>
          <cell r="E73" t="str">
            <v>SILENCER-MALE G1/2</v>
          </cell>
          <cell r="F73">
            <v>14.1561</v>
          </cell>
        </row>
        <row r="74">
          <cell r="A74" t="str">
            <v>AN40-N04</v>
          </cell>
          <cell r="B74">
            <v>0</v>
          </cell>
          <cell r="C74">
            <v>91008740</v>
          </cell>
          <cell r="D74">
            <v>0</v>
          </cell>
          <cell r="E74" t="str">
            <v>SILENCER-1/2NPT 30DB 92X30MM</v>
          </cell>
          <cell r="F74">
            <v>14.1561</v>
          </cell>
        </row>
        <row r="75">
          <cell r="A75" t="str">
            <v>ANA1-C12</v>
          </cell>
          <cell r="B75">
            <v>0</v>
          </cell>
          <cell r="C75">
            <v>1360738</v>
          </cell>
          <cell r="D75">
            <v>0</v>
          </cell>
          <cell r="E75" t="str">
            <v>SILENCER-MALE ON SHAFT D=12</v>
          </cell>
          <cell r="F75">
            <v>18.634454999999999</v>
          </cell>
        </row>
        <row r="76">
          <cell r="A76" t="str">
            <v>ANB1-C06</v>
          </cell>
          <cell r="B76">
            <v>0</v>
          </cell>
          <cell r="C76">
            <v>1360148</v>
          </cell>
          <cell r="D76">
            <v>0</v>
          </cell>
          <cell r="E76" t="str">
            <v>SILENCER-MALE ON ROD D= 6</v>
          </cell>
          <cell r="F76">
            <v>18.918900000000001</v>
          </cell>
        </row>
        <row r="77">
          <cell r="A77" t="str">
            <v>AQ1500-M5</v>
          </cell>
          <cell r="B77">
            <v>0</v>
          </cell>
          <cell r="C77">
            <v>0</v>
          </cell>
          <cell r="D77">
            <v>1800321</v>
          </cell>
          <cell r="E77" t="str">
            <v>VALVE,QUICK EXHAUST</v>
          </cell>
          <cell r="F77">
            <v>30.98368</v>
          </cell>
        </row>
        <row r="78">
          <cell r="A78" t="str">
            <v>AQ340F-06-00</v>
          </cell>
          <cell r="B78">
            <v>0</v>
          </cell>
          <cell r="C78">
            <v>91100010</v>
          </cell>
          <cell r="D78">
            <v>0</v>
          </cell>
          <cell r="E78" t="str">
            <v>VALVE-EXHAUST</v>
          </cell>
          <cell r="F78">
            <v>30.252599999999997</v>
          </cell>
        </row>
        <row r="79">
          <cell r="A79" t="str">
            <v>AR1000-M5-1</v>
          </cell>
          <cell r="B79">
            <v>0</v>
          </cell>
          <cell r="C79">
            <v>1322039</v>
          </cell>
          <cell r="D79">
            <v>0</v>
          </cell>
          <cell r="E79" t="str">
            <v>VALVE-PRESSURE REDUCER M5  2BARS</v>
          </cell>
          <cell r="F79">
            <v>29.3706</v>
          </cell>
        </row>
        <row r="80">
          <cell r="A80" t="str">
            <v>AR10-M5B</v>
          </cell>
          <cell r="B80">
            <v>0</v>
          </cell>
          <cell r="C80">
            <v>1322034</v>
          </cell>
          <cell r="D80">
            <v>0</v>
          </cell>
          <cell r="E80" t="str">
            <v>VALVE-PRESSURE-REDUCER  7BARS + BRACKET</v>
          </cell>
          <cell r="F80">
            <v>26.812799999999999</v>
          </cell>
        </row>
        <row r="81">
          <cell r="A81" t="str">
            <v>AR10-M5BG</v>
          </cell>
          <cell r="B81">
            <v>0</v>
          </cell>
          <cell r="C81">
            <v>4001166</v>
          </cell>
          <cell r="D81">
            <v>0</v>
          </cell>
          <cell r="E81" t="str">
            <v>REGULATOR-PRESSURE M5 W/GAUGE 10-32</v>
          </cell>
          <cell r="F81">
            <v>56.844900000000003</v>
          </cell>
        </row>
        <row r="82">
          <cell r="A82" t="str">
            <v>AR10-M5BG-Z</v>
          </cell>
          <cell r="B82">
            <v>0</v>
          </cell>
          <cell r="C82">
            <v>91001370</v>
          </cell>
          <cell r="D82">
            <v>3603996</v>
          </cell>
          <cell r="E82" t="str">
            <v>REGULATOR/GAUGE, SMC</v>
          </cell>
          <cell r="F82">
            <v>56.844900000000003</v>
          </cell>
        </row>
        <row r="83">
          <cell r="A83" t="str">
            <v>AR20-01GH</v>
          </cell>
          <cell r="B83">
            <v>0</v>
          </cell>
          <cell r="C83">
            <v>4020030</v>
          </cell>
          <cell r="D83">
            <v>0</v>
          </cell>
          <cell r="E83" t="str">
            <v>REGULATOR-AIR AR20-01GH</v>
          </cell>
          <cell r="F83">
            <v>44.684324999999994</v>
          </cell>
        </row>
        <row r="84">
          <cell r="A84" t="str">
            <v>AR20-02BG</v>
          </cell>
          <cell r="B84">
            <v>0</v>
          </cell>
          <cell r="C84">
            <v>4001275</v>
          </cell>
          <cell r="D84">
            <v>0</v>
          </cell>
          <cell r="E84" t="str">
            <v>REGULATOR-AIR AR20-02BG</v>
          </cell>
          <cell r="F84">
            <v>51.775360000000006</v>
          </cell>
        </row>
        <row r="85">
          <cell r="A85" t="str">
            <v>AR20-F01H</v>
          </cell>
          <cell r="B85">
            <v>0</v>
          </cell>
          <cell r="C85">
            <v>1322005</v>
          </cell>
          <cell r="D85" t="str">
            <v>80.0000.1722</v>
          </cell>
          <cell r="E85" t="str">
            <v>Pressure Regulator</v>
          </cell>
          <cell r="F85">
            <v>31.685849999999995</v>
          </cell>
        </row>
        <row r="86">
          <cell r="A86" t="str">
            <v>AR20-F02</v>
          </cell>
          <cell r="B86">
            <v>0</v>
          </cell>
          <cell r="C86">
            <v>1360832</v>
          </cell>
          <cell r="D86">
            <v>0</v>
          </cell>
          <cell r="E86">
            <v>0</v>
          </cell>
          <cell r="F86">
            <v>42.247799999999998</v>
          </cell>
        </row>
        <row r="87">
          <cell r="A87" t="str">
            <v>AR20-F02-1</v>
          </cell>
          <cell r="B87">
            <v>0</v>
          </cell>
          <cell r="C87">
            <v>1360831</v>
          </cell>
          <cell r="D87">
            <v>0</v>
          </cell>
          <cell r="E87">
            <v>0</v>
          </cell>
          <cell r="F87">
            <v>42.247799999999998</v>
          </cell>
        </row>
        <row r="88">
          <cell r="A88" t="str">
            <v>AR20K-F01</v>
          </cell>
          <cell r="B88">
            <v>0</v>
          </cell>
          <cell r="C88">
            <v>1584954</v>
          </cell>
          <cell r="D88">
            <v>0</v>
          </cell>
          <cell r="E88">
            <v>0</v>
          </cell>
          <cell r="F88">
            <v>47.725999999999999</v>
          </cell>
        </row>
        <row r="89">
          <cell r="A89" t="str">
            <v>AR20-N02BG-Z</v>
          </cell>
          <cell r="B89">
            <v>0</v>
          </cell>
          <cell r="C89" t="str">
            <v>D1002705</v>
          </cell>
          <cell r="D89">
            <v>3602676</v>
          </cell>
          <cell r="E89" t="str">
            <v>REGULATOR WITH GAUGE &amp; BRACKET</v>
          </cell>
          <cell r="F89">
            <v>55.4925</v>
          </cell>
        </row>
        <row r="90">
          <cell r="A90" t="str">
            <v>AR20P-260S</v>
          </cell>
          <cell r="B90">
            <v>0</v>
          </cell>
          <cell r="C90" t="str">
            <v>G1003862</v>
          </cell>
          <cell r="D90" t="str">
            <v>80.0000.1720</v>
          </cell>
          <cell r="E90" t="str">
            <v>Pressure regulator clamping</v>
          </cell>
          <cell r="F90">
            <v>2.0791679999999997</v>
          </cell>
        </row>
        <row r="91">
          <cell r="A91" t="str">
            <v>AR20P-270AS</v>
          </cell>
          <cell r="B91">
            <v>0</v>
          </cell>
          <cell r="C91">
            <v>1360834</v>
          </cell>
          <cell r="D91">
            <v>3602658</v>
          </cell>
          <cell r="E91" t="str">
            <v>BRACKET ASSY,REGULATOR</v>
          </cell>
          <cell r="F91">
            <v>4.3217999999999996</v>
          </cell>
        </row>
        <row r="92">
          <cell r="A92" t="str">
            <v>AR20P-390S</v>
          </cell>
          <cell r="B92">
            <v>0</v>
          </cell>
          <cell r="C92">
            <v>0</v>
          </cell>
          <cell r="D92" t="str">
            <v>80.0000.1721</v>
          </cell>
          <cell r="E92" t="str">
            <v>Pressure Regulator Adapter</v>
          </cell>
          <cell r="F92">
            <v>12.393471999999999</v>
          </cell>
        </row>
        <row r="93">
          <cell r="A93" t="str">
            <v>AR25-N02GH-Z-A</v>
          </cell>
          <cell r="B93">
            <v>0</v>
          </cell>
          <cell r="C93" t="str">
            <v>D1001050</v>
          </cell>
          <cell r="D93">
            <v>3604280</v>
          </cell>
          <cell r="E93" t="str">
            <v>REGULATOR,AIR</v>
          </cell>
          <cell r="F93">
            <v>55.52924999999999</v>
          </cell>
        </row>
        <row r="94">
          <cell r="A94" t="str">
            <v>AR30-F03</v>
          </cell>
          <cell r="B94">
            <v>0</v>
          </cell>
          <cell r="C94">
            <v>1360833</v>
          </cell>
          <cell r="D94">
            <v>0</v>
          </cell>
          <cell r="E94">
            <v>0</v>
          </cell>
          <cell r="F94">
            <v>56.3598</v>
          </cell>
        </row>
        <row r="95">
          <cell r="A95" t="str">
            <v>AR30P-270AS</v>
          </cell>
          <cell r="B95">
            <v>0</v>
          </cell>
          <cell r="C95" t="str">
            <v>1360835/  1585959</v>
          </cell>
          <cell r="D95">
            <v>0</v>
          </cell>
          <cell r="E95" t="str">
            <v>BRACKET-FIXATION-REGULATOR + NUT</v>
          </cell>
          <cell r="F95">
            <v>3.8587500000000001</v>
          </cell>
        </row>
        <row r="96">
          <cell r="A96" t="str">
            <v>AR40-F04E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89.608063999999999</v>
          </cell>
        </row>
        <row r="97">
          <cell r="A97" t="str">
            <v>ARJ1020F-M5-04</v>
          </cell>
          <cell r="B97">
            <v>0</v>
          </cell>
          <cell r="C97">
            <v>1360138</v>
          </cell>
          <cell r="D97" t="str">
            <v>A0000012606</v>
          </cell>
          <cell r="E97" t="str">
            <v>PRESSURE REGULATOR</v>
          </cell>
          <cell r="F97">
            <v>27.361600000000003</v>
          </cell>
        </row>
        <row r="98">
          <cell r="A98" t="str">
            <v>ARJ210-M5BG</v>
          </cell>
          <cell r="B98">
            <v>0</v>
          </cell>
          <cell r="C98" t="str">
            <v>G1003849</v>
          </cell>
          <cell r="D98" t="str">
            <v>80.0000.1898</v>
          </cell>
          <cell r="E98" t="str">
            <v>Pressure Regulator</v>
          </cell>
          <cell r="F98">
            <v>60.662784000000002</v>
          </cell>
        </row>
        <row r="99">
          <cell r="A99" t="str">
            <v>ARJ210-M5BG-1</v>
          </cell>
          <cell r="B99">
            <v>0</v>
          </cell>
          <cell r="C99">
            <v>4000693</v>
          </cell>
          <cell r="D99">
            <v>0</v>
          </cell>
          <cell r="E99" t="str">
            <v>MINIATURE REGULATOR W/PRESS.GAUGE 0-2BAR</v>
          </cell>
          <cell r="F99">
            <v>77.836500000000001</v>
          </cell>
        </row>
        <row r="100">
          <cell r="A100" t="str">
            <v>ARM10F1-06G</v>
          </cell>
          <cell r="B100">
            <v>0</v>
          </cell>
          <cell r="C100">
            <v>4001534</v>
          </cell>
          <cell r="D100">
            <v>0</v>
          </cell>
          <cell r="E100" t="str">
            <v>REGUL-PRESSURE ARM10F W/GAUGE DIA 4</v>
          </cell>
          <cell r="F100">
            <v>73.068799999999996</v>
          </cell>
        </row>
        <row r="101">
          <cell r="A101" t="str">
            <v>ARX20-F02BG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57.319808000000002</v>
          </cell>
        </row>
        <row r="102">
          <cell r="A102" t="str">
            <v>AS1000F-04</v>
          </cell>
          <cell r="B102">
            <v>0</v>
          </cell>
          <cell r="C102">
            <v>1260458</v>
          </cell>
          <cell r="D102">
            <v>0</v>
          </cell>
          <cell r="E102" t="str">
            <v>REDUCER-FLOW</v>
          </cell>
          <cell r="F102">
            <v>17.110800000000001</v>
          </cell>
        </row>
        <row r="103">
          <cell r="A103" t="str">
            <v>AS1000-M5</v>
          </cell>
          <cell r="B103">
            <v>0</v>
          </cell>
          <cell r="C103">
            <v>1360604</v>
          </cell>
          <cell r="D103">
            <v>0</v>
          </cell>
          <cell r="E103" t="str">
            <v>LIMITER-FLOW</v>
          </cell>
          <cell r="F103">
            <v>22.402799999999999</v>
          </cell>
        </row>
        <row r="104">
          <cell r="A104" t="str">
            <v>AS1001F-04</v>
          </cell>
          <cell r="B104">
            <v>0</v>
          </cell>
          <cell r="C104">
            <v>91005000</v>
          </cell>
          <cell r="D104">
            <v>0</v>
          </cell>
          <cell r="E104" t="str">
            <v>FLOW CONTROL-INLINE M5X4MM</v>
          </cell>
          <cell r="F104">
            <v>13.415220000000001</v>
          </cell>
        </row>
        <row r="105">
          <cell r="A105" t="str">
            <v>AS1001F-04-10-X250</v>
          </cell>
          <cell r="B105">
            <v>0</v>
          </cell>
          <cell r="C105">
            <v>0</v>
          </cell>
          <cell r="D105" t="str">
            <v>80.0001.1985</v>
          </cell>
          <cell r="E105" t="str">
            <v>Fixed Throttle 1.0 Tube 4</v>
          </cell>
          <cell r="F105">
            <v>43.7</v>
          </cell>
        </row>
        <row r="106">
          <cell r="A106" t="str">
            <v>AS1001F-04-15-X250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43.7</v>
          </cell>
        </row>
        <row r="107">
          <cell r="A107" t="str">
            <v>AS1001F-04-1-X250</v>
          </cell>
          <cell r="B107">
            <v>0</v>
          </cell>
          <cell r="C107">
            <v>0</v>
          </cell>
          <cell r="D107" t="str">
            <v>80.0001.1374</v>
          </cell>
          <cell r="E107" t="str">
            <v>Fixed Throttle (0.1mm)</v>
          </cell>
          <cell r="F107">
            <v>43.7</v>
          </cell>
        </row>
        <row r="108">
          <cell r="A108" t="str">
            <v>AS1001F-04-2-X250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43.7</v>
          </cell>
        </row>
        <row r="109">
          <cell r="A109" t="str">
            <v>AS1001F-04-3-X250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43.7</v>
          </cell>
        </row>
        <row r="110">
          <cell r="A110" t="str">
            <v>AS1001F-04-4-X250</v>
          </cell>
          <cell r="B110">
            <v>0</v>
          </cell>
          <cell r="C110">
            <v>0</v>
          </cell>
          <cell r="D110" t="str">
            <v>80.0001.1023</v>
          </cell>
          <cell r="E110" t="str">
            <v>Fixed throttle (0.4mm)</v>
          </cell>
          <cell r="F110">
            <v>43.7</v>
          </cell>
        </row>
        <row r="111">
          <cell r="A111" t="str">
            <v>AS1001F-04-5-X250</v>
          </cell>
          <cell r="B111">
            <v>0</v>
          </cell>
          <cell r="C111">
            <v>0</v>
          </cell>
          <cell r="D111" t="str">
            <v>80.0001.1024</v>
          </cell>
          <cell r="E111" t="str">
            <v>Fixed throttle (0.5mm)</v>
          </cell>
          <cell r="F111">
            <v>43.7</v>
          </cell>
        </row>
        <row r="112">
          <cell r="A112" t="str">
            <v>AS1001F-04-6-X250</v>
          </cell>
          <cell r="B112">
            <v>0</v>
          </cell>
          <cell r="C112">
            <v>0</v>
          </cell>
          <cell r="D112" t="str">
            <v>80.0001.1036</v>
          </cell>
          <cell r="E112" t="str">
            <v>Fixed throttle (0.6mm)</v>
          </cell>
          <cell r="F112">
            <v>43.7</v>
          </cell>
        </row>
        <row r="113">
          <cell r="A113" t="str">
            <v>AS1001F-04-8-X250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43.7</v>
          </cell>
        </row>
        <row r="114">
          <cell r="A114" t="str">
            <v>AS1001F-04-9-X250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43.7</v>
          </cell>
        </row>
        <row r="115">
          <cell r="A115" t="str">
            <v>AS1001F-23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16.429504000000001</v>
          </cell>
        </row>
        <row r="116">
          <cell r="A116" t="str">
            <v>AS1001F-23-2-X250</v>
          </cell>
          <cell r="B116">
            <v>0</v>
          </cell>
          <cell r="C116">
            <v>0</v>
          </cell>
          <cell r="D116" t="str">
            <v>80.0001.1349</v>
          </cell>
          <cell r="E116">
            <v>0</v>
          </cell>
          <cell r="F116">
            <v>44.885567999999999</v>
          </cell>
        </row>
        <row r="117">
          <cell r="A117" t="str">
            <v>AS1001F-23-5-X250</v>
          </cell>
          <cell r="B117">
            <v>0</v>
          </cell>
          <cell r="C117">
            <v>0</v>
          </cell>
          <cell r="D117" t="str">
            <v>80.0001.1410</v>
          </cell>
          <cell r="E117">
            <v>0</v>
          </cell>
          <cell r="F117">
            <v>44.885567999999999</v>
          </cell>
        </row>
        <row r="118">
          <cell r="A118" t="str">
            <v>AS1002F-02</v>
          </cell>
          <cell r="B118">
            <v>0</v>
          </cell>
          <cell r="C118" t="str">
            <v>3010169/ 1586372</v>
          </cell>
          <cell r="D118">
            <v>0</v>
          </cell>
          <cell r="E118" t="str">
            <v>RESTRICTOR-TUBE REVER.-LOCK 2-2</v>
          </cell>
          <cell r="F118">
            <v>19.894000000000002</v>
          </cell>
        </row>
        <row r="119">
          <cell r="A119" t="str">
            <v>AS1002F-04</v>
          </cell>
          <cell r="B119">
            <v>0</v>
          </cell>
          <cell r="C119" t="str">
            <v>1316013/  D1002143/ D1004280</v>
          </cell>
          <cell r="D119" t="str">
            <v>/3603934/ 38430419-000</v>
          </cell>
          <cell r="E119" t="str">
            <v>FLOW CONTRO/ONE TOUCH FITTINGS</v>
          </cell>
          <cell r="F119">
            <v>11.172000000000001</v>
          </cell>
        </row>
        <row r="120">
          <cell r="A120" t="str">
            <v>AS1002F-06</v>
          </cell>
          <cell r="B120">
            <v>0</v>
          </cell>
          <cell r="C120">
            <v>1316027</v>
          </cell>
          <cell r="D120">
            <v>0</v>
          </cell>
          <cell r="E120" t="str">
            <v>STOPPER-SCREW-KNURLED 6-6</v>
          </cell>
          <cell r="F120">
            <v>11.4072</v>
          </cell>
        </row>
        <row r="121">
          <cell r="A121" t="str">
            <v>AS1002F-23</v>
          </cell>
          <cell r="B121">
            <v>0</v>
          </cell>
          <cell r="C121">
            <v>1361157</v>
          </cell>
          <cell r="D121">
            <v>0</v>
          </cell>
          <cell r="E121" t="str">
            <v>STOPPER-SCREW-KNURLED 3.2-3.2</v>
          </cell>
          <cell r="F121">
            <v>14.7</v>
          </cell>
        </row>
        <row r="122">
          <cell r="A122" t="str">
            <v>AS1002F-23-4-X250</v>
          </cell>
          <cell r="B122">
            <v>0</v>
          </cell>
          <cell r="C122">
            <v>0</v>
          </cell>
          <cell r="D122" t="str">
            <v> 80.0001.1331</v>
          </cell>
          <cell r="E122">
            <v>0</v>
          </cell>
          <cell r="F122" t="str">
            <v>MYR44.55 </v>
          </cell>
        </row>
        <row r="123">
          <cell r="A123" t="str">
            <v>AS1200-M3</v>
          </cell>
          <cell r="B123">
            <v>0</v>
          </cell>
          <cell r="C123">
            <v>1361024</v>
          </cell>
          <cell r="D123">
            <v>0</v>
          </cell>
          <cell r="E123" t="str">
            <v>RESTRICTOR-TUBE REVER.-LOCK M3-M3</v>
          </cell>
          <cell r="F123">
            <v>18.654299999999999</v>
          </cell>
        </row>
        <row r="124">
          <cell r="A124" t="str">
            <v>AS1201F-M3-23</v>
          </cell>
          <cell r="B124">
            <v>0</v>
          </cell>
          <cell r="C124">
            <v>0</v>
          </cell>
          <cell r="D124" t="str">
            <v>80.0000.3773</v>
          </cell>
          <cell r="E124" t="str">
            <v>Pneumatic throttle</v>
          </cell>
          <cell r="F124">
            <v>21.05</v>
          </cell>
        </row>
        <row r="125">
          <cell r="A125" t="str">
            <v>AS1201F-M5-02A</v>
          </cell>
          <cell r="B125">
            <v>0</v>
          </cell>
          <cell r="C125">
            <v>1361170</v>
          </cell>
          <cell r="D125">
            <v>0</v>
          </cell>
          <cell r="E125" t="str">
            <v>RESTRICTOR-SCREW-KNURLED M5 D=2</v>
          </cell>
          <cell r="F125">
            <v>11.595360000000001</v>
          </cell>
        </row>
        <row r="126">
          <cell r="A126" t="str">
            <v>AS1201F-M5-04</v>
          </cell>
          <cell r="B126" t="str">
            <v>AS1201F-M5-04A</v>
          </cell>
          <cell r="C126">
            <v>1316011</v>
          </cell>
          <cell r="D126" t="str">
            <v>A0000017276</v>
          </cell>
          <cell r="E126" t="str">
            <v>FLOW CONTROL</v>
          </cell>
          <cell r="F126">
            <v>10.26</v>
          </cell>
        </row>
        <row r="127">
          <cell r="A127" t="str">
            <v>AS1201F-M5-04-5-X250</v>
          </cell>
          <cell r="B127">
            <v>0</v>
          </cell>
          <cell r="C127">
            <v>0</v>
          </cell>
          <cell r="D127" t="str">
            <v>80.0001.1020</v>
          </cell>
          <cell r="E127" t="str">
            <v>Fixed throttle (0.5mm)</v>
          </cell>
          <cell r="F127">
            <v>39.178048000000004</v>
          </cell>
        </row>
        <row r="128">
          <cell r="A128" t="str">
            <v>AS1201F-M5-04-J</v>
          </cell>
          <cell r="B128">
            <v>0</v>
          </cell>
          <cell r="C128" t="str">
            <v>G1003727</v>
          </cell>
          <cell r="D128" t="str">
            <v>80.0000.0347</v>
          </cell>
          <cell r="E128" t="str">
            <v>Pressure Regulator (silver) out</v>
          </cell>
          <cell r="F128">
            <v>14.798783999999999</v>
          </cell>
        </row>
        <row r="129">
          <cell r="A129" t="str">
            <v>AS1201F-M5-06</v>
          </cell>
          <cell r="B129" t="str">
            <v>AS1201F-M5-06A</v>
          </cell>
          <cell r="C129" t="str">
            <v>91004520/ D1005057</v>
          </cell>
          <cell r="D129">
            <v>3603420</v>
          </cell>
          <cell r="E129" t="str">
            <v>FLOWCTRL,6MM OD,M5  METEROUT</v>
          </cell>
          <cell r="F129">
            <v>11.245500000000002</v>
          </cell>
        </row>
        <row r="130">
          <cell r="A130" t="str">
            <v>AS1201F-M5-06A</v>
          </cell>
          <cell r="B130">
            <v>0</v>
          </cell>
          <cell r="C130">
            <v>1316022</v>
          </cell>
          <cell r="D130">
            <v>0</v>
          </cell>
          <cell r="E130" t="str">
            <v>RESTRICTOR-SCREW-KNURLED M5 D=6 CYLINDER</v>
          </cell>
          <cell r="F130">
            <v>11.245500000000002</v>
          </cell>
        </row>
        <row r="131">
          <cell r="A131" t="str">
            <v>AS1201F-M5-23</v>
          </cell>
          <cell r="B131">
            <v>0</v>
          </cell>
          <cell r="C131">
            <v>0</v>
          </cell>
          <cell r="D131" t="str">
            <v>80.0001.0295</v>
          </cell>
          <cell r="E131">
            <v>0</v>
          </cell>
          <cell r="F131">
            <v>11.456199999999999</v>
          </cell>
        </row>
        <row r="132">
          <cell r="A132" t="str">
            <v>AS1201FM-M5-04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18.671744</v>
          </cell>
        </row>
        <row r="133">
          <cell r="A133" t="str">
            <v>AS1201FM-M5-23</v>
          </cell>
          <cell r="B133">
            <v>0</v>
          </cell>
          <cell r="C133">
            <v>0</v>
          </cell>
          <cell r="D133" t="str">
            <v>80.0001.0966</v>
          </cell>
          <cell r="E133" t="str">
            <v>Throttle (Slow Motion)</v>
          </cell>
          <cell r="F133">
            <v>20.710144</v>
          </cell>
        </row>
        <row r="134">
          <cell r="A134" t="str">
            <v>AS1201FS-M5-02</v>
          </cell>
          <cell r="B134">
            <v>0</v>
          </cell>
          <cell r="C134">
            <v>1586367</v>
          </cell>
          <cell r="D134">
            <v>0</v>
          </cell>
          <cell r="E134" t="str">
            <v>FLOWMETER WITH LABEL / ELBOWED DIAM=2</v>
          </cell>
          <cell r="F134">
            <v>29.4</v>
          </cell>
        </row>
        <row r="135">
          <cell r="A135" t="str">
            <v>AS1201FS-M5-04</v>
          </cell>
          <cell r="B135">
            <v>0</v>
          </cell>
          <cell r="C135">
            <v>1586360</v>
          </cell>
          <cell r="D135">
            <v>0</v>
          </cell>
          <cell r="E135" t="str">
            <v>FLOWMETER WITH LABEL / ELBOWED DIAM=4</v>
          </cell>
          <cell r="F135">
            <v>27.048000000000002</v>
          </cell>
        </row>
        <row r="136">
          <cell r="A136" t="str">
            <v>AS1211F-M3-23</v>
          </cell>
          <cell r="B136">
            <v>0</v>
          </cell>
          <cell r="C136">
            <v>0</v>
          </cell>
          <cell r="D136" t="str">
            <v>80.0001.0011</v>
          </cell>
          <cell r="E136" t="str">
            <v>Pneumatic Fitting</v>
          </cell>
          <cell r="F136">
            <v>21.05</v>
          </cell>
        </row>
        <row r="137">
          <cell r="A137" t="str">
            <v>AS1211F-M5-04</v>
          </cell>
          <cell r="B137" t="str">
            <v>AS1211F-M5-04A</v>
          </cell>
          <cell r="C137">
            <v>1316020</v>
          </cell>
          <cell r="D137" t="str">
            <v>A0000017050</v>
          </cell>
          <cell r="E137" t="str">
            <v>FITTING</v>
          </cell>
          <cell r="F137">
            <v>11.211200000000002</v>
          </cell>
        </row>
        <row r="138">
          <cell r="A138" t="str">
            <v>AS1211F-M5-04-J</v>
          </cell>
          <cell r="B138">
            <v>0</v>
          </cell>
          <cell r="C138" t="str">
            <v>G1003706</v>
          </cell>
          <cell r="D138" t="str">
            <v>80.0000.0312</v>
          </cell>
          <cell r="E138" t="str">
            <v>Pressure Regulator (black) in</v>
          </cell>
          <cell r="F138">
            <v>14.798783999999999</v>
          </cell>
        </row>
        <row r="139">
          <cell r="A139" t="str">
            <v>AS1211F-M5-06</v>
          </cell>
          <cell r="B139">
            <v>0</v>
          </cell>
          <cell r="C139">
            <v>1360368</v>
          </cell>
          <cell r="D139">
            <v>0</v>
          </cell>
          <cell r="E139">
            <v>0</v>
          </cell>
          <cell r="F139">
            <v>11.245500000000002</v>
          </cell>
        </row>
        <row r="140">
          <cell r="A140" t="str">
            <v>AS1211F-M5-06A</v>
          </cell>
          <cell r="B140">
            <v>0</v>
          </cell>
          <cell r="C140">
            <v>91011620</v>
          </cell>
          <cell r="D140">
            <v>0</v>
          </cell>
          <cell r="E140" t="str">
            <v>FLOW CONTROL-ELBOW M5X6MM METER IN</v>
          </cell>
          <cell r="F140">
            <v>14.994</v>
          </cell>
        </row>
        <row r="141">
          <cell r="A141" t="str">
            <v>AS1211F-M5-23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14.513408000000002</v>
          </cell>
        </row>
        <row r="142">
          <cell r="A142" t="str">
            <v>AS1211FS-M5-04</v>
          </cell>
          <cell r="B142">
            <v>0</v>
          </cell>
          <cell r="C142">
            <v>1586371</v>
          </cell>
          <cell r="D142">
            <v>0</v>
          </cell>
          <cell r="E142" t="str">
            <v>FLOWMETER WITH LABEL/ELBOWED D=4 VACUUM</v>
          </cell>
          <cell r="F142">
            <v>27.048000000000002</v>
          </cell>
        </row>
        <row r="143">
          <cell r="A143" t="str">
            <v>AS1301F-M3-23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19.650176000000002</v>
          </cell>
        </row>
        <row r="144">
          <cell r="A144" t="str">
            <v>AS1301F-M5-04</v>
          </cell>
          <cell r="B144">
            <v>0</v>
          </cell>
          <cell r="C144">
            <v>0</v>
          </cell>
          <cell r="D144" t="str">
            <v>A0000016187</v>
          </cell>
          <cell r="E144" t="str">
            <v>VALVE, FLOW_CONTROL  C</v>
          </cell>
          <cell r="F144">
            <v>14.024191999999999</v>
          </cell>
        </row>
        <row r="145">
          <cell r="A145" t="str">
            <v>AS1301F-M5-04A</v>
          </cell>
          <cell r="B145">
            <v>0</v>
          </cell>
          <cell r="C145">
            <v>4020080</v>
          </cell>
          <cell r="D145">
            <v>0</v>
          </cell>
          <cell r="E145" t="str">
            <v>FLOWMETER</v>
          </cell>
          <cell r="F145">
            <v>14.994</v>
          </cell>
        </row>
        <row r="146">
          <cell r="A146" t="str">
            <v>AS1301F-M5-06A</v>
          </cell>
          <cell r="B146">
            <v>0</v>
          </cell>
          <cell r="C146">
            <v>1260459</v>
          </cell>
          <cell r="D146">
            <v>0</v>
          </cell>
          <cell r="E146" t="str">
            <v>REDUCER-FLOW</v>
          </cell>
          <cell r="F146">
            <v>14.994</v>
          </cell>
        </row>
        <row r="147">
          <cell r="A147" t="str">
            <v>AS1311F-M5-04A</v>
          </cell>
          <cell r="B147">
            <v>0</v>
          </cell>
          <cell r="C147">
            <v>91007540</v>
          </cell>
          <cell r="D147">
            <v>0</v>
          </cell>
          <cell r="E147" t="str">
            <v>FLOW CONTROL-UNIV M5X4MM METER-IN</v>
          </cell>
          <cell r="F147">
            <v>14.994</v>
          </cell>
        </row>
        <row r="148">
          <cell r="A148" t="str">
            <v>AS2001F-04</v>
          </cell>
          <cell r="B148">
            <v>0</v>
          </cell>
          <cell r="C148">
            <v>4000569</v>
          </cell>
          <cell r="D148">
            <v>0</v>
          </cell>
          <cell r="E148" t="str">
            <v>FLOW CONTRO-INLINE 1/8X4MM</v>
          </cell>
          <cell r="F148">
            <v>22.402799999999999</v>
          </cell>
        </row>
        <row r="149">
          <cell r="A149" t="str">
            <v>AS2001F-06</v>
          </cell>
          <cell r="B149">
            <v>0</v>
          </cell>
          <cell r="C149">
            <v>0</v>
          </cell>
          <cell r="D149" t="str">
            <v>80.0001.2055</v>
          </cell>
          <cell r="E149" t="str">
            <v>Choke Valve</v>
          </cell>
          <cell r="F149">
            <v>22.789311999999999</v>
          </cell>
        </row>
        <row r="150">
          <cell r="A150" t="str">
            <v>AS2002F-03</v>
          </cell>
          <cell r="B150">
            <v>0</v>
          </cell>
          <cell r="C150" t="str">
            <v>D1003087</v>
          </cell>
          <cell r="D150">
            <v>1800641</v>
          </cell>
          <cell r="E150" t="str">
            <v>VALVE,FLOW CONTROL</v>
          </cell>
          <cell r="F150">
            <v>18.595500000000001</v>
          </cell>
        </row>
        <row r="151">
          <cell r="A151" t="str">
            <v>AS2002F-04</v>
          </cell>
          <cell r="B151">
            <v>0</v>
          </cell>
          <cell r="C151" t="str">
            <v>D1002142</v>
          </cell>
          <cell r="D151">
            <v>1800607</v>
          </cell>
          <cell r="E151" t="str">
            <v>VALVE  FLOW CONTROL/4MM TUBE</v>
          </cell>
          <cell r="F151">
            <v>23.890048</v>
          </cell>
        </row>
        <row r="152">
          <cell r="A152" t="str">
            <v>AS2051F-06</v>
          </cell>
          <cell r="B152">
            <v>0</v>
          </cell>
          <cell r="C152">
            <v>91005340</v>
          </cell>
          <cell r="D152">
            <v>0</v>
          </cell>
          <cell r="E152" t="str">
            <v>FLOW CONTROL-INLINE 1/4X6MM</v>
          </cell>
          <cell r="F152">
            <v>23.75226</v>
          </cell>
        </row>
        <row r="153">
          <cell r="A153" t="str">
            <v>AS2051F-08</v>
          </cell>
          <cell r="B153">
            <v>0</v>
          </cell>
          <cell r="C153">
            <v>1316037</v>
          </cell>
          <cell r="D153">
            <v>0</v>
          </cell>
          <cell r="E153" t="str">
            <v>STOPPER WITH SCREW-KNURLED 8-8</v>
          </cell>
          <cell r="F153">
            <v>18.753525</v>
          </cell>
        </row>
        <row r="154">
          <cell r="A154" t="str">
            <v>AS2052F-06</v>
          </cell>
          <cell r="B154">
            <v>0</v>
          </cell>
          <cell r="C154">
            <v>1316016</v>
          </cell>
          <cell r="D154">
            <v>0</v>
          </cell>
          <cell r="E154" t="str">
            <v>RESTRICTOR D=6</v>
          </cell>
          <cell r="F154">
            <v>18.757200000000001</v>
          </cell>
        </row>
        <row r="155">
          <cell r="A155" t="str">
            <v>AS2201F-01-04</v>
          </cell>
          <cell r="B155">
            <v>0</v>
          </cell>
          <cell r="C155">
            <v>4020145</v>
          </cell>
          <cell r="D155">
            <v>0</v>
          </cell>
          <cell r="E155" t="str">
            <v>VALVE FLOW CONTROL 1/8-4</v>
          </cell>
          <cell r="F155">
            <v>17</v>
          </cell>
        </row>
        <row r="156">
          <cell r="A156" t="str">
            <v>AS2201F-01-04S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20.791679999999996</v>
          </cell>
        </row>
        <row r="157">
          <cell r="A157" t="str">
            <v>AS2201F-01-04SA</v>
          </cell>
          <cell r="B157">
            <v>0</v>
          </cell>
          <cell r="C157">
            <v>1360592</v>
          </cell>
          <cell r="D157">
            <v>0</v>
          </cell>
          <cell r="E157" t="str">
            <v>STOPPER-SCREW-KNURLED G1/8 D=4</v>
          </cell>
          <cell r="F157">
            <v>17.003</v>
          </cell>
        </row>
        <row r="158">
          <cell r="A158" t="str">
            <v>AS2201F-01-06SA</v>
          </cell>
          <cell r="B158">
            <v>0</v>
          </cell>
          <cell r="C158">
            <v>91006040</v>
          </cell>
          <cell r="D158">
            <v>0</v>
          </cell>
          <cell r="E158" t="str">
            <v>RESTRICTOR 1/8-06</v>
          </cell>
          <cell r="F158">
            <v>20.1096</v>
          </cell>
        </row>
        <row r="159">
          <cell r="A159" t="str">
            <v>AS2201F-02-04S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23.441600000000001</v>
          </cell>
        </row>
        <row r="160">
          <cell r="A160" t="str">
            <v>AS2201F-U02-08</v>
          </cell>
          <cell r="B160">
            <v>0</v>
          </cell>
          <cell r="C160">
            <v>4001093</v>
          </cell>
          <cell r="D160">
            <v>0</v>
          </cell>
          <cell r="E160" t="str">
            <v>RESTRICTOR AS-2201F-U02-08 1/4</v>
          </cell>
          <cell r="F160">
            <v>23.1525</v>
          </cell>
        </row>
        <row r="161">
          <cell r="A161" t="str">
            <v>AS2211F-01-04</v>
          </cell>
          <cell r="B161">
            <v>0</v>
          </cell>
          <cell r="C161">
            <v>0</v>
          </cell>
          <cell r="D161" t="str">
            <v>80.0001.1961</v>
          </cell>
          <cell r="E161" t="str">
            <v>Pressure Regulator</v>
          </cell>
          <cell r="F161">
            <v>19.405567999999999</v>
          </cell>
        </row>
        <row r="162">
          <cell r="A162" t="str">
            <v>AS2211F-01-06</v>
          </cell>
          <cell r="B162">
            <v>0</v>
          </cell>
          <cell r="C162">
            <v>0</v>
          </cell>
          <cell r="D162" t="str">
            <v>80.0001.1962</v>
          </cell>
          <cell r="E162" t="str">
            <v>Pressure Regulator</v>
          </cell>
          <cell r="F162">
            <v>18.835599999999999</v>
          </cell>
        </row>
        <row r="163">
          <cell r="A163" t="str">
            <v>AS2211F-01-23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19.935551999999998</v>
          </cell>
        </row>
        <row r="164">
          <cell r="A164" t="str">
            <v>AS3001F-10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33.674368000000001</v>
          </cell>
        </row>
        <row r="165">
          <cell r="A165" t="str">
            <v>AS3002F-11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53.895296000000002</v>
          </cell>
        </row>
        <row r="166">
          <cell r="A166" t="str">
            <v>AS3201F-02-06S</v>
          </cell>
          <cell r="B166">
            <v>0</v>
          </cell>
          <cell r="C166">
            <v>91002720</v>
          </cell>
          <cell r="D166">
            <v>0</v>
          </cell>
          <cell r="E166">
            <v>0</v>
          </cell>
          <cell r="F166">
            <v>28.003499999999999</v>
          </cell>
        </row>
        <row r="167">
          <cell r="A167" t="str">
            <v>ASN2-01-S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13.534975999999999</v>
          </cell>
        </row>
        <row r="168">
          <cell r="A168" t="str">
            <v>ASV120F-M3-04</v>
          </cell>
          <cell r="B168">
            <v>0</v>
          </cell>
          <cell r="C168">
            <v>1361116</v>
          </cell>
          <cell r="D168">
            <v>0</v>
          </cell>
          <cell r="E168" t="str">
            <v>RESTRICTOR-FOR-EXHAUST RAPID M3</v>
          </cell>
          <cell r="F168">
            <v>67.076099999999997</v>
          </cell>
        </row>
        <row r="169">
          <cell r="A169" t="str">
            <v>ASV310F-02-06S</v>
          </cell>
          <cell r="B169">
            <v>0</v>
          </cell>
          <cell r="C169">
            <v>1360121</v>
          </cell>
          <cell r="D169">
            <v>0</v>
          </cell>
          <cell r="E169" t="str">
            <v>RESTRICTOR FOR EXHAUST RAPID G 1/4</v>
          </cell>
          <cell r="F169">
            <v>48.421799999999998</v>
          </cell>
        </row>
        <row r="170">
          <cell r="A170" t="str">
            <v>AV3000-03-5YO</v>
          </cell>
          <cell r="B170">
            <v>0</v>
          </cell>
          <cell r="C170">
            <v>1301051</v>
          </cell>
          <cell r="D170">
            <v>0</v>
          </cell>
          <cell r="E170" t="str">
            <v>ELECTROVALVE 3/2 NC PROGRESSIVE</v>
          </cell>
          <cell r="F170">
            <v>254.51579999999998</v>
          </cell>
        </row>
        <row r="171">
          <cell r="A171" t="str">
            <v>AW20-F01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55.729856000000005</v>
          </cell>
        </row>
        <row r="172">
          <cell r="A172" t="str">
            <v>AW30-03H-A</v>
          </cell>
          <cell r="B172">
            <v>0</v>
          </cell>
          <cell r="C172">
            <v>1321027</v>
          </cell>
          <cell r="D172">
            <v>0</v>
          </cell>
          <cell r="E172" t="str">
            <v>FILTER-REGULATOR G3/8</v>
          </cell>
          <cell r="F172">
            <v>60.142599999999995</v>
          </cell>
        </row>
        <row r="173">
          <cell r="A173" t="str">
            <v>AW30-F03-R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82.14752</v>
          </cell>
        </row>
        <row r="174">
          <cell r="A174" t="str">
            <v>AXT661-13A-10</v>
          </cell>
          <cell r="B174">
            <v>0</v>
          </cell>
          <cell r="C174">
            <v>91500550</v>
          </cell>
          <cell r="D174">
            <v>0</v>
          </cell>
          <cell r="E174" t="str">
            <v>CONNECTOR-PLUG 3W DCPOS 1000MM</v>
          </cell>
          <cell r="F174">
            <v>7.8056999999999999</v>
          </cell>
        </row>
        <row r="175">
          <cell r="A175" t="str">
            <v>AXT661-14A</v>
          </cell>
          <cell r="B175">
            <v>0</v>
          </cell>
          <cell r="C175" t="str">
            <v>D1001998</v>
          </cell>
          <cell r="D175">
            <v>2002225</v>
          </cell>
          <cell r="E175" t="str">
            <v>CONN ASSY,PLUG 300MM VQ100 SER</v>
          </cell>
          <cell r="F175">
            <v>4.41</v>
          </cell>
        </row>
        <row r="176">
          <cell r="A176" t="str">
            <v>AXT661-14A-10</v>
          </cell>
          <cell r="B176">
            <v>0</v>
          </cell>
          <cell r="C176">
            <v>91500540</v>
          </cell>
          <cell r="D176" t="str">
            <v>80.0001.0854</v>
          </cell>
          <cell r="E176" t="str">
            <v>Connector Cable Valve</v>
          </cell>
          <cell r="F176">
            <v>4.5863999999999994</v>
          </cell>
        </row>
        <row r="177">
          <cell r="A177" t="str">
            <v>AXT661-14A-20</v>
          </cell>
          <cell r="B177">
            <v>0</v>
          </cell>
          <cell r="C177">
            <v>1360618</v>
          </cell>
          <cell r="D177" t="str">
            <v>641-636</v>
          </cell>
          <cell r="E177" t="str">
            <v>CONNECTOR, 3 POS, WITH WIRES</v>
          </cell>
          <cell r="F177">
            <v>6</v>
          </cell>
        </row>
        <row r="178">
          <cell r="A178" t="str">
            <v>AXT661-14A-30</v>
          </cell>
          <cell r="B178">
            <v>0</v>
          </cell>
          <cell r="C178">
            <v>93103450</v>
          </cell>
          <cell r="D178">
            <v>0</v>
          </cell>
          <cell r="E178">
            <v>0</v>
          </cell>
          <cell r="F178">
            <v>9.5256000000000007</v>
          </cell>
        </row>
        <row r="179">
          <cell r="A179" t="str">
            <v>AXT661-14A-6</v>
          </cell>
          <cell r="B179">
            <v>0</v>
          </cell>
          <cell r="C179">
            <v>0</v>
          </cell>
          <cell r="D179" t="str">
            <v>80.0001.1091</v>
          </cell>
          <cell r="E179" t="str">
            <v>Cable with Plug</v>
          </cell>
          <cell r="F179">
            <v>5.6252000000000004</v>
          </cell>
        </row>
        <row r="180">
          <cell r="A180" t="str">
            <v>AXT661-14AN-6</v>
          </cell>
          <cell r="B180">
            <v>0</v>
          </cell>
          <cell r="C180">
            <v>1304073</v>
          </cell>
          <cell r="D180" t="str">
            <v>A0000017636</v>
          </cell>
          <cell r="E180" t="str">
            <v>LEAD WIRE, NEG. COM, 600MM LG.</v>
          </cell>
          <cell r="F180">
            <v>7.1001000000000012</v>
          </cell>
        </row>
        <row r="181">
          <cell r="A181" t="str">
            <v>AXT662-1-1</v>
          </cell>
          <cell r="B181">
            <v>0</v>
          </cell>
          <cell r="C181">
            <v>1301260</v>
          </cell>
          <cell r="D181">
            <v>0</v>
          </cell>
          <cell r="E181" t="str">
            <v>SEATING-UNIT WITHOUT SEAL M5</v>
          </cell>
          <cell r="F181">
            <v>15.787799999999999</v>
          </cell>
        </row>
        <row r="182">
          <cell r="A182" t="str">
            <v>B120</v>
          </cell>
          <cell r="B182">
            <v>0</v>
          </cell>
          <cell r="C182">
            <v>1325001</v>
          </cell>
          <cell r="D182">
            <v>0</v>
          </cell>
          <cell r="E182" t="str">
            <v>BRACKET-AN. FASTENING AW/AR B1</v>
          </cell>
          <cell r="F182">
            <v>3.7043999999999997</v>
          </cell>
        </row>
        <row r="183">
          <cell r="A183" t="str">
            <v>B210L</v>
          </cell>
          <cell r="B183">
            <v>0</v>
          </cell>
          <cell r="C183">
            <v>4020045</v>
          </cell>
          <cell r="D183">
            <v>0</v>
          </cell>
          <cell r="E183" t="str">
            <v>BRACKET</v>
          </cell>
          <cell r="F183">
            <v>1.323</v>
          </cell>
        </row>
        <row r="184">
          <cell r="A184" t="str">
            <v>B220</v>
          </cell>
          <cell r="B184">
            <v>0</v>
          </cell>
          <cell r="C184">
            <v>1325011</v>
          </cell>
          <cell r="D184" t="str">
            <v>611-877</v>
          </cell>
          <cell r="E184" t="str">
            <v>GAUGE BRACKET</v>
          </cell>
          <cell r="F184">
            <v>3.9689999999999999</v>
          </cell>
        </row>
        <row r="185">
          <cell r="A185" t="str">
            <v>B240A</v>
          </cell>
          <cell r="B185">
            <v>0</v>
          </cell>
          <cell r="C185" t="str">
            <v>G1003852</v>
          </cell>
          <cell r="D185" t="str">
            <v>80.0000.0765</v>
          </cell>
          <cell r="E185" t="str">
            <v>BEFESTIGUNGSWINKEL (MIKROFILTER)</v>
          </cell>
          <cell r="F185">
            <v>4.4029440000000006</v>
          </cell>
        </row>
        <row r="186">
          <cell r="A186" t="str">
            <v>B320</v>
          </cell>
          <cell r="B186">
            <v>0</v>
          </cell>
          <cell r="C186">
            <v>1325018</v>
          </cell>
          <cell r="D186">
            <v>0</v>
          </cell>
          <cell r="E186" t="str">
            <v>BRACKET-ANGLE-FASTEN. B320</v>
          </cell>
          <cell r="F186">
            <v>5.2919999999999998</v>
          </cell>
        </row>
        <row r="187">
          <cell r="A187" t="str">
            <v>BA-06</v>
          </cell>
          <cell r="B187">
            <v>0</v>
          </cell>
          <cell r="C187">
            <v>99010660</v>
          </cell>
          <cell r="D187">
            <v>0</v>
          </cell>
          <cell r="E187">
            <v>0</v>
          </cell>
          <cell r="F187">
            <v>9.9666000000000015</v>
          </cell>
        </row>
        <row r="188">
          <cell r="A188" t="str">
            <v>BE30</v>
          </cell>
          <cell r="B188">
            <v>0</v>
          </cell>
          <cell r="C188">
            <v>1325008</v>
          </cell>
          <cell r="D188">
            <v>0</v>
          </cell>
          <cell r="E188" t="str">
            <v>BRACKET-ANG-FAST. BE 30</v>
          </cell>
          <cell r="F188">
            <v>12.8772</v>
          </cell>
        </row>
        <row r="189">
          <cell r="A189" t="str">
            <v>BE50</v>
          </cell>
          <cell r="B189">
            <v>0</v>
          </cell>
          <cell r="C189">
            <v>1325025</v>
          </cell>
          <cell r="D189">
            <v>0</v>
          </cell>
          <cell r="E189">
            <v>0</v>
          </cell>
          <cell r="F189">
            <v>14.729399999999998</v>
          </cell>
        </row>
        <row r="190">
          <cell r="A190" t="str">
            <v>BJ2-006</v>
          </cell>
          <cell r="B190">
            <v>0</v>
          </cell>
          <cell r="C190">
            <v>0</v>
          </cell>
          <cell r="D190" t="str">
            <v>80.0000.8699</v>
          </cell>
          <cell r="E190" t="str">
            <v>Sensor Fitting</v>
          </cell>
          <cell r="F190">
            <v>6.13</v>
          </cell>
        </row>
        <row r="191">
          <cell r="A191" t="str">
            <v>BJ2-008</v>
          </cell>
          <cell r="B191">
            <v>0</v>
          </cell>
          <cell r="C191">
            <v>1250167</v>
          </cell>
          <cell r="D191" t="str">
            <v>80.0000.0362</v>
          </cell>
          <cell r="E191" t="str">
            <v>Sensor Fitting</v>
          </cell>
          <cell r="F191">
            <v>6.13</v>
          </cell>
        </row>
        <row r="192">
          <cell r="A192" t="str">
            <v>BJ2-010</v>
          </cell>
          <cell r="B192">
            <v>0</v>
          </cell>
          <cell r="C192" t="str">
            <v>1250072/ G1004085</v>
          </cell>
          <cell r="D192" t="str">
            <v>1411640/ 80.0000.0364</v>
          </cell>
          <cell r="E192" t="str">
            <v>S/B SWITCH, MOUNTING BAND</v>
          </cell>
          <cell r="F192">
            <v>6.13</v>
          </cell>
        </row>
        <row r="193">
          <cell r="A193" t="str">
            <v>BJ2-012</v>
          </cell>
          <cell r="B193">
            <v>0</v>
          </cell>
          <cell r="C193">
            <v>1250078</v>
          </cell>
          <cell r="D193">
            <v>0</v>
          </cell>
          <cell r="E193" t="str">
            <v>Sensor Fiting</v>
          </cell>
          <cell r="F193">
            <v>6.13</v>
          </cell>
        </row>
        <row r="194">
          <cell r="A194" t="str">
            <v>BJ2-016</v>
          </cell>
          <cell r="B194">
            <v>0</v>
          </cell>
          <cell r="C194">
            <v>1250068</v>
          </cell>
          <cell r="D194" t="str">
            <v>1502183/ 80.0000.0365</v>
          </cell>
          <cell r="E194" t="str">
            <v>MTG.BAND, AIR CYLINDER</v>
          </cell>
          <cell r="F194">
            <v>7.35</v>
          </cell>
        </row>
        <row r="195">
          <cell r="A195" t="str">
            <v>BM1-02</v>
          </cell>
          <cell r="B195">
            <v>0</v>
          </cell>
          <cell r="C195">
            <v>1250065</v>
          </cell>
          <cell r="D195">
            <v>0</v>
          </cell>
          <cell r="E195">
            <v>0</v>
          </cell>
          <cell r="F195">
            <v>7.0118999999999998</v>
          </cell>
        </row>
        <row r="196">
          <cell r="A196" t="str">
            <v>BM1-04</v>
          </cell>
          <cell r="B196">
            <v>0</v>
          </cell>
          <cell r="C196">
            <v>93301270</v>
          </cell>
          <cell r="D196">
            <v>0</v>
          </cell>
          <cell r="E196" t="str">
            <v>BRACKET-MTG SWITCH DIA 40MM</v>
          </cell>
          <cell r="F196">
            <v>7.4088000000000003</v>
          </cell>
        </row>
        <row r="197">
          <cell r="A197" t="str">
            <v>BM2-020</v>
          </cell>
          <cell r="B197">
            <v>0</v>
          </cell>
          <cell r="C197">
            <v>1250079</v>
          </cell>
          <cell r="D197" t="str">
            <v>80.0001.2483</v>
          </cell>
          <cell r="E197" t="str">
            <v>Sensor Fixing</v>
          </cell>
          <cell r="F197">
            <v>9.9666000000000015</v>
          </cell>
        </row>
        <row r="198">
          <cell r="A198" t="str">
            <v>BM2-025</v>
          </cell>
          <cell r="B198">
            <v>0</v>
          </cell>
          <cell r="C198">
            <v>1250080</v>
          </cell>
          <cell r="D198">
            <v>0</v>
          </cell>
          <cell r="E198" t="str">
            <v>COLLAR-FIXING-SENSOR 25</v>
          </cell>
          <cell r="F198">
            <v>7.4749500000000015</v>
          </cell>
        </row>
        <row r="199">
          <cell r="A199" t="str">
            <v>BM2-032</v>
          </cell>
          <cell r="B199">
            <v>0</v>
          </cell>
          <cell r="C199">
            <v>1250238</v>
          </cell>
          <cell r="D199">
            <v>0</v>
          </cell>
          <cell r="E199" t="str">
            <v>COLLAR BM2-032</v>
          </cell>
          <cell r="F199">
            <v>9.9666000000000015</v>
          </cell>
        </row>
        <row r="200">
          <cell r="A200" t="str">
            <v>BM2-040</v>
          </cell>
          <cell r="B200">
            <v>0</v>
          </cell>
          <cell r="C200">
            <v>1250083</v>
          </cell>
          <cell r="D200">
            <v>0</v>
          </cell>
          <cell r="E200">
            <v>0</v>
          </cell>
          <cell r="F200">
            <v>9.9666000000000015</v>
          </cell>
        </row>
        <row r="201">
          <cell r="A201" t="str">
            <v>BM68</v>
          </cell>
          <cell r="B201">
            <v>0</v>
          </cell>
          <cell r="C201">
            <v>1131457</v>
          </cell>
          <cell r="D201">
            <v>0</v>
          </cell>
          <cell r="E201">
            <v>0</v>
          </cell>
          <cell r="F201">
            <v>45.687599999999996</v>
          </cell>
        </row>
        <row r="202">
          <cell r="A202" t="str">
            <v>BMB4 032</v>
          </cell>
          <cell r="B202" t="str">
            <v>BMB4-032</v>
          </cell>
          <cell r="C202">
            <v>1260994</v>
          </cell>
          <cell r="D202">
            <v>0</v>
          </cell>
          <cell r="E202">
            <v>0</v>
          </cell>
          <cell r="F202">
            <v>9.9666000000000015</v>
          </cell>
        </row>
        <row r="203">
          <cell r="A203" t="str">
            <v>BMP1-032</v>
          </cell>
          <cell r="B203">
            <v>0</v>
          </cell>
          <cell r="C203">
            <v>1261031</v>
          </cell>
          <cell r="D203">
            <v>0</v>
          </cell>
          <cell r="E203">
            <v>0</v>
          </cell>
          <cell r="F203">
            <v>0.66149999999999998</v>
          </cell>
        </row>
        <row r="204">
          <cell r="A204" t="str">
            <v>BMY3-016</v>
          </cell>
          <cell r="B204">
            <v>0</v>
          </cell>
          <cell r="C204">
            <v>4001174</v>
          </cell>
          <cell r="D204">
            <v>0</v>
          </cell>
          <cell r="E204" t="str">
            <v>SWITCH SPACER</v>
          </cell>
          <cell r="F204">
            <v>4.6745999999999999</v>
          </cell>
        </row>
        <row r="205">
          <cell r="A205" t="str">
            <v>BQ-2</v>
          </cell>
          <cell r="B205">
            <v>0</v>
          </cell>
          <cell r="C205">
            <v>1130308</v>
          </cell>
          <cell r="D205" t="str">
            <v>A0000017308</v>
          </cell>
          <cell r="E205" t="str">
            <v>SWITCH MOUNTING BRACKET</v>
          </cell>
          <cell r="F205">
            <v>2.7</v>
          </cell>
        </row>
        <row r="206">
          <cell r="A206" t="str">
            <v>BQ4-012</v>
          </cell>
          <cell r="B206">
            <v>0</v>
          </cell>
          <cell r="C206">
            <v>4001351</v>
          </cell>
          <cell r="D206">
            <v>0</v>
          </cell>
          <cell r="E206" t="str">
            <v>AUTO SWITCH MOUNTING BRACKET BQ4-012</v>
          </cell>
          <cell r="F206">
            <v>1.9844999999999999</v>
          </cell>
        </row>
        <row r="207">
          <cell r="A207" t="str">
            <v>BQ5-032</v>
          </cell>
          <cell r="B207">
            <v>0</v>
          </cell>
          <cell r="C207">
            <v>4001352</v>
          </cell>
          <cell r="D207">
            <v>0</v>
          </cell>
          <cell r="E207" t="str">
            <v>AUTO SWITCH MOUNTING BRACKET BQ5-032</v>
          </cell>
          <cell r="F207">
            <v>5.9976000000000003</v>
          </cell>
        </row>
        <row r="208">
          <cell r="A208" t="str">
            <v>BT-03</v>
          </cell>
          <cell r="B208">
            <v>0</v>
          </cell>
          <cell r="C208">
            <v>1202200</v>
          </cell>
          <cell r="D208">
            <v>0</v>
          </cell>
          <cell r="E208" t="str">
            <v>FASTENING BT.03</v>
          </cell>
          <cell r="F208">
            <v>9.9666000000000015</v>
          </cell>
        </row>
        <row r="209">
          <cell r="A209" t="str">
            <v>BT-04</v>
          </cell>
          <cell r="B209">
            <v>0</v>
          </cell>
          <cell r="C209">
            <v>1202277</v>
          </cell>
          <cell r="D209">
            <v>0</v>
          </cell>
          <cell r="E209">
            <v>0</v>
          </cell>
          <cell r="F209">
            <v>6.2622</v>
          </cell>
        </row>
        <row r="210">
          <cell r="A210" t="str">
            <v>BT-05</v>
          </cell>
          <cell r="B210">
            <v>0</v>
          </cell>
          <cell r="C210">
            <v>1202433</v>
          </cell>
          <cell r="D210">
            <v>0</v>
          </cell>
          <cell r="E210" t="str">
            <v>COLLAR-FASTENING 5</v>
          </cell>
          <cell r="F210">
            <v>6.9678000000000004</v>
          </cell>
        </row>
        <row r="211">
          <cell r="A211" t="str">
            <v>BT-06</v>
          </cell>
          <cell r="B211">
            <v>0</v>
          </cell>
          <cell r="C211">
            <v>1202208</v>
          </cell>
          <cell r="D211">
            <v>0</v>
          </cell>
          <cell r="E211">
            <v>0</v>
          </cell>
          <cell r="F211">
            <v>9.9666000000000015</v>
          </cell>
        </row>
        <row r="212">
          <cell r="A212" t="str">
            <v>BUSH M1/2 X F1/4</v>
          </cell>
          <cell r="B212">
            <v>0</v>
          </cell>
          <cell r="C212">
            <v>1308011</v>
          </cell>
          <cell r="D212">
            <v>0</v>
          </cell>
          <cell r="E212">
            <v>0</v>
          </cell>
          <cell r="F212">
            <v>8</v>
          </cell>
        </row>
        <row r="213">
          <cell r="A213" t="str">
            <v>C210F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22.667007999999999</v>
          </cell>
        </row>
        <row r="214">
          <cell r="A214" t="str">
            <v>C2SF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10.151232000000002</v>
          </cell>
        </row>
        <row r="215">
          <cell r="A215" t="str">
            <v>C75C32</v>
          </cell>
          <cell r="B215">
            <v>0</v>
          </cell>
          <cell r="C215">
            <v>1202558</v>
          </cell>
          <cell r="D215">
            <v>0</v>
          </cell>
          <cell r="E215" t="str">
            <v>FORK-REAR CYLINDER 32MM</v>
          </cell>
          <cell r="F215">
            <v>39.116700000000002</v>
          </cell>
        </row>
        <row r="216">
          <cell r="A216" t="str">
            <v>C75T32</v>
          </cell>
          <cell r="B216">
            <v>0</v>
          </cell>
          <cell r="C216">
            <v>1131199</v>
          </cell>
          <cell r="D216">
            <v>0</v>
          </cell>
          <cell r="E216">
            <v>0</v>
          </cell>
          <cell r="F216">
            <v>30.036999999999999</v>
          </cell>
        </row>
        <row r="217">
          <cell r="A217" t="str">
            <v>C85C10</v>
          </cell>
          <cell r="B217">
            <v>0</v>
          </cell>
          <cell r="C217">
            <v>1202642</v>
          </cell>
          <cell r="D217" t="str">
            <v>80.0000.1129</v>
          </cell>
          <cell r="E217" t="str">
            <v>Cylinder Bracket</v>
          </cell>
          <cell r="F217">
            <v>6.400576</v>
          </cell>
        </row>
        <row r="218">
          <cell r="A218" t="str">
            <v>C85C16</v>
          </cell>
          <cell r="B218">
            <v>0</v>
          </cell>
          <cell r="C218">
            <v>1202250</v>
          </cell>
          <cell r="D218" t="str">
            <v>80.0000.0406</v>
          </cell>
          <cell r="E218" t="str">
            <v>Cylinder Bracket</v>
          </cell>
          <cell r="F218">
            <v>6.6859520000000003</v>
          </cell>
        </row>
        <row r="219">
          <cell r="A219" t="str">
            <v>C85C25</v>
          </cell>
          <cell r="B219">
            <v>0</v>
          </cell>
          <cell r="C219">
            <v>1202206</v>
          </cell>
          <cell r="D219">
            <v>0</v>
          </cell>
          <cell r="E219" t="str">
            <v>FORK-REAR CYLINDER 20-25MM</v>
          </cell>
          <cell r="F219">
            <v>7.2324000000000002</v>
          </cell>
        </row>
        <row r="220">
          <cell r="A220" t="str">
            <v>C85F25</v>
          </cell>
          <cell r="B220">
            <v>0</v>
          </cell>
          <cell r="C220">
            <v>1202541</v>
          </cell>
          <cell r="D220">
            <v>0</v>
          </cell>
          <cell r="E220" t="str">
            <v>FLANGE-FRONT D=20/25</v>
          </cell>
          <cell r="F220">
            <v>3.528</v>
          </cell>
        </row>
        <row r="221">
          <cell r="A221" t="str">
            <v>C85L10A</v>
          </cell>
          <cell r="B221">
            <v>0</v>
          </cell>
          <cell r="C221">
            <v>1202230</v>
          </cell>
          <cell r="D221">
            <v>0</v>
          </cell>
          <cell r="E221" t="str">
            <v>BRACKET-ANGLE-MOUNT. CYL. C85</v>
          </cell>
          <cell r="F221">
            <v>5.05</v>
          </cell>
        </row>
        <row r="222">
          <cell r="A222" t="str">
            <v>C85L16A</v>
          </cell>
          <cell r="B222">
            <v>0</v>
          </cell>
          <cell r="C222">
            <v>1130292</v>
          </cell>
          <cell r="D222">
            <v>0</v>
          </cell>
          <cell r="E222" t="str">
            <v>BRACKET-ANGLE-CYLINDER 12-16</v>
          </cell>
          <cell r="F222">
            <v>15.082200000000002</v>
          </cell>
        </row>
        <row r="223">
          <cell r="A223" t="str">
            <v>C85L16B</v>
          </cell>
          <cell r="B223">
            <v>0</v>
          </cell>
          <cell r="C223">
            <v>1202253</v>
          </cell>
          <cell r="D223">
            <v>0</v>
          </cell>
          <cell r="E223" t="str">
            <v>BRACKET-ANGLE-MOUNT. CYL.</v>
          </cell>
          <cell r="F223">
            <v>10.98</v>
          </cell>
        </row>
        <row r="224">
          <cell r="A224" t="str">
            <v>C85L25A</v>
          </cell>
          <cell r="B224">
            <v>0</v>
          </cell>
          <cell r="C224">
            <v>1202489</v>
          </cell>
          <cell r="D224">
            <v>0</v>
          </cell>
          <cell r="E224" t="str">
            <v>BRACKET-ANGLE-MOUNT. CYL.</v>
          </cell>
          <cell r="F224">
            <v>7.4528999999999996</v>
          </cell>
        </row>
        <row r="225">
          <cell r="A225" t="str">
            <v>C85N16-100</v>
          </cell>
          <cell r="B225">
            <v>0</v>
          </cell>
          <cell r="C225">
            <v>1261752</v>
          </cell>
          <cell r="D225">
            <v>0</v>
          </cell>
          <cell r="E225" t="str">
            <v>CYLINDER-LINEAR DE 016 0100</v>
          </cell>
          <cell r="F225">
            <v>78.909599999999998</v>
          </cell>
        </row>
        <row r="226">
          <cell r="A226" t="str">
            <v>C85N20-200</v>
          </cell>
          <cell r="B226" t="str">
            <v>CD85N20-200-B</v>
          </cell>
          <cell r="C226">
            <v>1202695</v>
          </cell>
          <cell r="D226">
            <v>0</v>
          </cell>
          <cell r="E226" t="str">
            <v>CYLINDER-LINEAR DE 020 0200</v>
          </cell>
          <cell r="F226">
            <v>158.23080000000002</v>
          </cell>
        </row>
        <row r="227">
          <cell r="A227" t="str">
            <v>C85T10</v>
          </cell>
          <cell r="B227">
            <v>0</v>
          </cell>
          <cell r="C227">
            <v>1360425</v>
          </cell>
          <cell r="D227" t="str">
            <v>80.0000.0337</v>
          </cell>
          <cell r="E227" t="str">
            <v>Cylinder Bracket</v>
          </cell>
          <cell r="F227">
            <v>45.9</v>
          </cell>
        </row>
        <row r="228">
          <cell r="A228" t="str">
            <v>C85T25</v>
          </cell>
          <cell r="B228">
            <v>0</v>
          </cell>
          <cell r="C228">
            <v>1130769</v>
          </cell>
          <cell r="D228">
            <v>0</v>
          </cell>
          <cell r="E228">
            <v>0</v>
          </cell>
          <cell r="F228">
            <v>12.1275</v>
          </cell>
        </row>
        <row r="229">
          <cell r="A229" t="str">
            <v>C95SDB32-125</v>
          </cell>
          <cell r="B229">
            <v>0</v>
          </cell>
          <cell r="C229">
            <v>1261037</v>
          </cell>
          <cell r="D229">
            <v>0</v>
          </cell>
          <cell r="E229">
            <v>0</v>
          </cell>
          <cell r="F229">
            <v>186.55</v>
          </cell>
        </row>
        <row r="230">
          <cell r="A230" t="str">
            <v>C95SDB32-25</v>
          </cell>
          <cell r="B230">
            <v>0</v>
          </cell>
          <cell r="C230">
            <v>1360271</v>
          </cell>
          <cell r="D230">
            <v>0</v>
          </cell>
          <cell r="E230">
            <v>0</v>
          </cell>
          <cell r="F230">
            <v>184.64669999999998</v>
          </cell>
        </row>
        <row r="231">
          <cell r="A231" t="str">
            <v>C95SDB40-100</v>
          </cell>
          <cell r="B231">
            <v>0</v>
          </cell>
          <cell r="C231">
            <v>1260737</v>
          </cell>
          <cell r="D231">
            <v>0</v>
          </cell>
          <cell r="E231">
            <v>0</v>
          </cell>
          <cell r="F231">
            <v>373.233</v>
          </cell>
        </row>
        <row r="232">
          <cell r="A232" t="str">
            <v>CD75E32-200-B</v>
          </cell>
          <cell r="B232">
            <v>0</v>
          </cell>
          <cell r="C232">
            <v>1202822</v>
          </cell>
          <cell r="D232">
            <v>0</v>
          </cell>
          <cell r="E232" t="str">
            <v>CYLINDER-LINEAR DE 032 0200</v>
          </cell>
          <cell r="F232">
            <v>191.43810000000002</v>
          </cell>
        </row>
        <row r="233">
          <cell r="A233" t="str">
            <v>CD75E32-350-B</v>
          </cell>
          <cell r="B233">
            <v>0</v>
          </cell>
          <cell r="C233">
            <v>1260134</v>
          </cell>
          <cell r="D233">
            <v>0</v>
          </cell>
          <cell r="E233">
            <v>0</v>
          </cell>
          <cell r="F233">
            <v>245.41650000000001</v>
          </cell>
        </row>
        <row r="234">
          <cell r="A234" t="str">
            <v>CD75E32-40-B</v>
          </cell>
          <cell r="B234">
            <v>0</v>
          </cell>
          <cell r="C234">
            <v>1202559</v>
          </cell>
          <cell r="D234">
            <v>0</v>
          </cell>
          <cell r="E234" t="str">
            <v>CYLINDER-LINEAR DE 032 0040</v>
          </cell>
          <cell r="F234">
            <v>154.83510000000001</v>
          </cell>
        </row>
        <row r="235">
          <cell r="A235" t="str">
            <v>CD75E40-50-B</v>
          </cell>
          <cell r="B235">
            <v>0</v>
          </cell>
          <cell r="C235">
            <v>1202280</v>
          </cell>
          <cell r="D235">
            <v>0</v>
          </cell>
          <cell r="E235" t="str">
            <v>CYLINDER-LINEAR DE 040 0050</v>
          </cell>
          <cell r="F235">
            <v>196.64189999999999</v>
          </cell>
        </row>
        <row r="236">
          <cell r="A236" t="str">
            <v>CD75E40-600-B</v>
          </cell>
          <cell r="B236">
            <v>0</v>
          </cell>
          <cell r="C236">
            <v>1202833</v>
          </cell>
          <cell r="D236">
            <v>0</v>
          </cell>
          <cell r="E236">
            <v>0</v>
          </cell>
          <cell r="F236">
            <v>392.22540000000004</v>
          </cell>
        </row>
        <row r="237">
          <cell r="A237" t="str">
            <v>CD75F32-25-B</v>
          </cell>
          <cell r="B237">
            <v>0</v>
          </cell>
          <cell r="C237">
            <v>1202287</v>
          </cell>
          <cell r="D237">
            <v>0</v>
          </cell>
          <cell r="E237">
            <v>0</v>
          </cell>
          <cell r="F237">
            <v>161.71469999999999</v>
          </cell>
        </row>
        <row r="238">
          <cell r="A238" t="str">
            <v>CD75WE32-40-B</v>
          </cell>
          <cell r="B238">
            <v>0</v>
          </cell>
          <cell r="C238">
            <v>1202605</v>
          </cell>
          <cell r="D238">
            <v>0</v>
          </cell>
          <cell r="E238" t="str">
            <v>CYLINDER-LINEAR DE 032 0040</v>
          </cell>
          <cell r="F238">
            <v>175.3416</v>
          </cell>
        </row>
        <row r="239">
          <cell r="A239" t="str">
            <v>CD85F16-40-B</v>
          </cell>
          <cell r="B239">
            <v>0</v>
          </cell>
          <cell r="C239">
            <v>1260891</v>
          </cell>
          <cell r="D239">
            <v>0</v>
          </cell>
          <cell r="E239">
            <v>0</v>
          </cell>
          <cell r="F239">
            <v>115.93889999999999</v>
          </cell>
        </row>
        <row r="240">
          <cell r="A240" t="str">
            <v>CD85F8-60-B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68.001024000000001</v>
          </cell>
        </row>
        <row r="241">
          <cell r="A241" t="str">
            <v>CD85KF12-65-A</v>
          </cell>
          <cell r="B241">
            <v>0</v>
          </cell>
          <cell r="C241">
            <v>1586341</v>
          </cell>
          <cell r="D241">
            <v>0</v>
          </cell>
          <cell r="E241" t="str">
            <v>CYLINDER-LINEAR DE 012 0065</v>
          </cell>
          <cell r="F241">
            <v>147.68599999999998</v>
          </cell>
        </row>
        <row r="242">
          <cell r="A242" t="str">
            <v>CD85KN12-65-A</v>
          </cell>
          <cell r="B242">
            <v>0</v>
          </cell>
          <cell r="C242">
            <v>1586284</v>
          </cell>
          <cell r="D242">
            <v>0</v>
          </cell>
          <cell r="E242" t="str">
            <v>CYLINDER-LINEAR DE 012 0065</v>
          </cell>
          <cell r="F242">
            <v>163.21899999999999</v>
          </cell>
        </row>
        <row r="243">
          <cell r="A243" t="str">
            <v>CD85N10-100-B</v>
          </cell>
          <cell r="B243">
            <v>0</v>
          </cell>
          <cell r="C243">
            <v>1202694</v>
          </cell>
          <cell r="D243">
            <v>0</v>
          </cell>
          <cell r="E243" t="str">
            <v>CYLINDER-LINEAR DE 010 0100</v>
          </cell>
          <cell r="F243">
            <v>79.291799999999995</v>
          </cell>
        </row>
        <row r="244">
          <cell r="A244" t="str">
            <v>CD85N10-10-B</v>
          </cell>
          <cell r="B244">
            <v>0</v>
          </cell>
          <cell r="C244">
            <v>1202218</v>
          </cell>
          <cell r="D244">
            <v>0</v>
          </cell>
          <cell r="E244" t="str">
            <v>CYLINDER-LINEAR DE 010 0010</v>
          </cell>
          <cell r="F244">
            <v>73.823399999999992</v>
          </cell>
        </row>
        <row r="245">
          <cell r="A245" t="str">
            <v>CD85N10-25-B</v>
          </cell>
          <cell r="B245">
            <v>0</v>
          </cell>
          <cell r="C245">
            <v>1202594</v>
          </cell>
          <cell r="D245">
            <v>0</v>
          </cell>
          <cell r="E245" t="str">
            <v>CYLINDER-LINEAR DE 010 0025</v>
          </cell>
          <cell r="F245">
            <v>74.793599999999998</v>
          </cell>
        </row>
        <row r="246">
          <cell r="A246" t="str">
            <v>CD85N10-30-B</v>
          </cell>
          <cell r="B246">
            <v>0</v>
          </cell>
          <cell r="C246">
            <v>0</v>
          </cell>
          <cell r="D246" t="str">
            <v>80.0000.0376</v>
          </cell>
          <cell r="E246" t="str">
            <v>Cylinder</v>
          </cell>
          <cell r="F246">
            <v>54.466047999999994</v>
          </cell>
        </row>
        <row r="247">
          <cell r="A247" t="str">
            <v>CD85N10-40-B</v>
          </cell>
          <cell r="B247">
            <v>0</v>
          </cell>
          <cell r="C247">
            <v>1202314</v>
          </cell>
          <cell r="D247" t="str">
            <v>80.0000.7896</v>
          </cell>
          <cell r="E247" t="str">
            <v>Cylinder</v>
          </cell>
          <cell r="F247">
            <v>54.466047999999994</v>
          </cell>
        </row>
        <row r="248">
          <cell r="A248" t="str">
            <v>CD85N10-50-B</v>
          </cell>
          <cell r="B248">
            <v>0</v>
          </cell>
          <cell r="C248">
            <v>1202340</v>
          </cell>
          <cell r="D248">
            <v>0</v>
          </cell>
          <cell r="E248" t="str">
            <v>CYLINDER-LINEAR DE 010 0050</v>
          </cell>
          <cell r="F248">
            <v>56.55</v>
          </cell>
        </row>
        <row r="249">
          <cell r="A249" t="str">
            <v>CD85N10-60-B</v>
          </cell>
          <cell r="B249">
            <v>0</v>
          </cell>
          <cell r="C249">
            <v>1262040</v>
          </cell>
          <cell r="D249">
            <v>0</v>
          </cell>
          <cell r="E249">
            <v>0</v>
          </cell>
          <cell r="F249">
            <v>76.822199999999995</v>
          </cell>
        </row>
        <row r="250">
          <cell r="A250" t="str">
            <v>CD85N10-67C-B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190.25</v>
          </cell>
        </row>
        <row r="251">
          <cell r="A251" t="str">
            <v>CD85N10-72C-B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95.13</v>
          </cell>
        </row>
        <row r="252">
          <cell r="A252" t="str">
            <v>CD85N10-80-B</v>
          </cell>
          <cell r="B252">
            <v>0</v>
          </cell>
          <cell r="C252">
            <v>1260262</v>
          </cell>
          <cell r="D252" t="str">
            <v>80.0000.2639/ 80.0001.1250</v>
          </cell>
          <cell r="E252" t="str">
            <v>Cylinder</v>
          </cell>
          <cell r="F252">
            <v>64.28</v>
          </cell>
        </row>
        <row r="253">
          <cell r="A253" t="str">
            <v>CD85N10-80C-B</v>
          </cell>
          <cell r="B253">
            <v>0</v>
          </cell>
          <cell r="C253">
            <v>0</v>
          </cell>
          <cell r="D253" t="str">
            <v>80.0000.0374</v>
          </cell>
          <cell r="E253" t="str">
            <v>Cylinder with cushion</v>
          </cell>
          <cell r="F253">
            <v>95.13</v>
          </cell>
        </row>
        <row r="254">
          <cell r="A254" t="str">
            <v>CD85N10-90-B</v>
          </cell>
          <cell r="B254">
            <v>0</v>
          </cell>
          <cell r="C254">
            <v>0</v>
          </cell>
          <cell r="D254" t="str">
            <v>80.0000.2640</v>
          </cell>
          <cell r="E254" t="str">
            <v>Cylinder</v>
          </cell>
          <cell r="F254">
            <v>61.847799999999999</v>
          </cell>
        </row>
        <row r="255">
          <cell r="A255" t="str">
            <v>CD85N12-100C-B</v>
          </cell>
          <cell r="B255">
            <v>0</v>
          </cell>
          <cell r="C255">
            <v>1260715</v>
          </cell>
          <cell r="D255">
            <v>0</v>
          </cell>
          <cell r="E255" t="str">
            <v>CYLINDER-LINEAR 012 0100</v>
          </cell>
          <cell r="F255">
            <v>168.2415</v>
          </cell>
        </row>
        <row r="256">
          <cell r="A256" t="str">
            <v>CD85N12-10-B</v>
          </cell>
          <cell r="B256">
            <v>0</v>
          </cell>
          <cell r="C256">
            <v>1202342</v>
          </cell>
          <cell r="D256">
            <v>0</v>
          </cell>
          <cell r="E256" t="str">
            <v>CYLINDER-LINEAR DE 012 0010</v>
          </cell>
          <cell r="F256">
            <v>93.183300000000003</v>
          </cell>
        </row>
        <row r="257">
          <cell r="A257" t="str">
            <v>CD85N12-125-B</v>
          </cell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78.519168000000008</v>
          </cell>
        </row>
        <row r="258">
          <cell r="A258" t="str">
            <v>CD85N12-160-B</v>
          </cell>
          <cell r="B258">
            <v>0</v>
          </cell>
          <cell r="C258">
            <v>0</v>
          </cell>
          <cell r="D258" t="str">
            <v>80.0000.0369</v>
          </cell>
          <cell r="E258" t="str">
            <v>Cylinder (Loader 160mm)</v>
          </cell>
          <cell r="F258">
            <v>87.25</v>
          </cell>
        </row>
        <row r="259">
          <cell r="A259" t="str">
            <v>CD85N12-200-B</v>
          </cell>
          <cell r="B259">
            <v>0</v>
          </cell>
          <cell r="C259" t="str">
            <v>G1004035</v>
          </cell>
          <cell r="D259" t="str">
            <v>80.0000.7897</v>
          </cell>
          <cell r="E259" t="str">
            <v>Cylinder (200mm)</v>
          </cell>
          <cell r="F259">
            <v>92.53</v>
          </cell>
        </row>
        <row r="260">
          <cell r="A260" t="str">
            <v>CD85N12-20-B</v>
          </cell>
          <cell r="B260">
            <v>0</v>
          </cell>
          <cell r="C260">
            <v>1260900</v>
          </cell>
          <cell r="D260">
            <v>0</v>
          </cell>
          <cell r="E260">
            <v>0</v>
          </cell>
          <cell r="F260">
            <v>85.730400000000003</v>
          </cell>
        </row>
        <row r="261">
          <cell r="A261" t="str">
            <v>CD85N12-25-B</v>
          </cell>
          <cell r="B261">
            <v>0</v>
          </cell>
          <cell r="C261">
            <v>1202682</v>
          </cell>
          <cell r="D261">
            <v>0</v>
          </cell>
          <cell r="E261">
            <v>0</v>
          </cell>
          <cell r="F261">
            <v>86.215500000000006</v>
          </cell>
        </row>
        <row r="262">
          <cell r="A262" t="str">
            <v>CD85N12-40-B</v>
          </cell>
          <cell r="B262">
            <v>0</v>
          </cell>
          <cell r="C262">
            <v>1202577</v>
          </cell>
          <cell r="D262">
            <v>0</v>
          </cell>
          <cell r="E262" t="str">
            <v>CYLINDER-LINEAR DE 012 0040</v>
          </cell>
          <cell r="F262">
            <v>87.538499999999999</v>
          </cell>
        </row>
        <row r="263">
          <cell r="A263" t="str">
            <v>CD85N16-100-B</v>
          </cell>
          <cell r="B263">
            <v>0</v>
          </cell>
          <cell r="C263">
            <v>1202634</v>
          </cell>
          <cell r="D263">
            <v>0</v>
          </cell>
          <cell r="E263" t="str">
            <v>CYLINDER-LINEAR DE 016 0100</v>
          </cell>
          <cell r="F263">
            <v>88.376400000000004</v>
          </cell>
        </row>
        <row r="264">
          <cell r="A264" t="str">
            <v>CD85N16-100C-B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116.270336</v>
          </cell>
        </row>
        <row r="265">
          <cell r="A265" t="str">
            <v>CD85N16-10-B</v>
          </cell>
          <cell r="B265">
            <v>0</v>
          </cell>
          <cell r="C265">
            <v>1202249</v>
          </cell>
          <cell r="D265">
            <v>0</v>
          </cell>
          <cell r="E265">
            <v>0</v>
          </cell>
          <cell r="F265">
            <v>92.521800000000013</v>
          </cell>
        </row>
        <row r="266">
          <cell r="A266" t="str">
            <v>CD85N16-125-B</v>
          </cell>
          <cell r="B266">
            <v>0</v>
          </cell>
          <cell r="C266">
            <v>1202212</v>
          </cell>
          <cell r="D266">
            <v>0</v>
          </cell>
          <cell r="E266" t="str">
            <v>CYLINDER-LINEAR DE 016 0125</v>
          </cell>
          <cell r="F266">
            <v>87.528896000000003</v>
          </cell>
        </row>
        <row r="267">
          <cell r="A267" t="str">
            <v>CD85N16-160-B</v>
          </cell>
          <cell r="B267">
            <v>0</v>
          </cell>
          <cell r="C267">
            <v>1202596</v>
          </cell>
          <cell r="D267">
            <v>0</v>
          </cell>
          <cell r="E267" t="str">
            <v>CYLINDER-LINEAR DE 016 0160</v>
          </cell>
          <cell r="F267">
            <v>109.19159999999999</v>
          </cell>
        </row>
        <row r="268">
          <cell r="A268" t="str">
            <v>CD85N16-160C-B</v>
          </cell>
          <cell r="B268">
            <v>0</v>
          </cell>
          <cell r="C268">
            <v>1260783</v>
          </cell>
          <cell r="D268" t="str">
            <v>80.0000.0372</v>
          </cell>
          <cell r="E268" t="str">
            <v>Cylinder</v>
          </cell>
          <cell r="F268">
            <v>120.78</v>
          </cell>
        </row>
        <row r="269">
          <cell r="A269" t="str">
            <v>CD85N16-200-B</v>
          </cell>
          <cell r="B269">
            <v>0</v>
          </cell>
          <cell r="C269">
            <v>1260438</v>
          </cell>
          <cell r="D269">
            <v>0</v>
          </cell>
          <cell r="E269">
            <v>0</v>
          </cell>
          <cell r="F269">
            <v>114.43950000000001</v>
          </cell>
        </row>
        <row r="270">
          <cell r="A270" t="str">
            <v>CD85N16-25-B</v>
          </cell>
          <cell r="B270">
            <v>0</v>
          </cell>
          <cell r="C270">
            <v>1202442</v>
          </cell>
          <cell r="D270">
            <v>0</v>
          </cell>
          <cell r="E270" t="str">
            <v>CYLINDER-LINEAR DE 016 0025</v>
          </cell>
          <cell r="F270">
            <v>94.418099999999995</v>
          </cell>
        </row>
        <row r="271">
          <cell r="A271" t="str">
            <v>CD85N16-30-B</v>
          </cell>
          <cell r="B271">
            <v>0</v>
          </cell>
          <cell r="C271">
            <v>1202261</v>
          </cell>
          <cell r="D271">
            <v>0</v>
          </cell>
          <cell r="E271" t="str">
            <v>CYLINDER-LINEAR DE 016 0030</v>
          </cell>
          <cell r="F271">
            <v>65.799552000000006</v>
          </cell>
        </row>
        <row r="272">
          <cell r="A272" t="str">
            <v>CD85N16-40-B</v>
          </cell>
          <cell r="B272">
            <v>0</v>
          </cell>
          <cell r="C272">
            <v>1202399</v>
          </cell>
          <cell r="D272">
            <v>0</v>
          </cell>
          <cell r="E272" t="str">
            <v>CYLINDER-LINEAR DE 016 0040</v>
          </cell>
          <cell r="F272">
            <v>95.961600000000004</v>
          </cell>
        </row>
        <row r="273">
          <cell r="A273" t="str">
            <v>CD85N16-50-B</v>
          </cell>
          <cell r="B273">
            <v>0</v>
          </cell>
          <cell r="C273">
            <v>1202220</v>
          </cell>
          <cell r="D273">
            <v>0</v>
          </cell>
          <cell r="E273" t="str">
            <v>CYLINDER-LINEAR DE 016 0050</v>
          </cell>
          <cell r="F273">
            <v>78.909599999999998</v>
          </cell>
        </row>
        <row r="274">
          <cell r="A274" t="str">
            <v>CD85N16-60-B</v>
          </cell>
          <cell r="B274">
            <v>0</v>
          </cell>
          <cell r="C274">
            <v>0</v>
          </cell>
          <cell r="D274" t="str">
            <v>80.0000.0087</v>
          </cell>
          <cell r="E274" t="str">
            <v>Cylinder</v>
          </cell>
          <cell r="F274">
            <v>75.150000000000006</v>
          </cell>
        </row>
        <row r="275">
          <cell r="A275" t="str">
            <v>CD85N16-80-B</v>
          </cell>
          <cell r="B275">
            <v>0</v>
          </cell>
          <cell r="C275">
            <v>1202213</v>
          </cell>
          <cell r="D275" t="str">
            <v>80.0001.0687</v>
          </cell>
          <cell r="E275" t="str">
            <v>Cylinder</v>
          </cell>
          <cell r="F275">
            <v>75.150000000000006</v>
          </cell>
        </row>
        <row r="276">
          <cell r="A276" t="str">
            <v>CD85N20-100-B</v>
          </cell>
          <cell r="B276">
            <v>0</v>
          </cell>
          <cell r="C276">
            <v>1202603</v>
          </cell>
          <cell r="D276">
            <v>0</v>
          </cell>
          <cell r="E276" t="str">
            <v>CYLINDER-LINEAR DE 020 0100</v>
          </cell>
          <cell r="F276">
            <v>142.7517</v>
          </cell>
        </row>
        <row r="277">
          <cell r="A277" t="str">
            <v>CD85N20-100-C-B</v>
          </cell>
          <cell r="B277" t="str">
            <v>CD85N20-100C-B</v>
          </cell>
          <cell r="C277">
            <v>1202754</v>
          </cell>
          <cell r="D277">
            <v>0</v>
          </cell>
          <cell r="E277" t="str">
            <v>CYLINDER-LINEAR DE 020 0100</v>
          </cell>
          <cell r="F277">
            <v>145.8828</v>
          </cell>
        </row>
        <row r="278">
          <cell r="A278" t="str">
            <v>CD85N20-125B</v>
          </cell>
          <cell r="B278" t="str">
            <v>CD85N20-125-B</v>
          </cell>
          <cell r="C278">
            <v>1202036</v>
          </cell>
          <cell r="D278">
            <v>0</v>
          </cell>
          <cell r="E278" t="str">
            <v>CYLINDER-LINEAR DE 020 0125</v>
          </cell>
          <cell r="F278">
            <v>145.75049999999999</v>
          </cell>
        </row>
        <row r="279">
          <cell r="A279" t="str">
            <v>CD85N20-200-B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95.13</v>
          </cell>
        </row>
        <row r="280">
          <cell r="A280" t="str">
            <v>CD85N20-20-B</v>
          </cell>
          <cell r="B280">
            <v>0</v>
          </cell>
          <cell r="C280">
            <v>1202282</v>
          </cell>
          <cell r="D280">
            <v>0</v>
          </cell>
          <cell r="E280">
            <v>0</v>
          </cell>
          <cell r="F280">
            <v>130.84469999999999</v>
          </cell>
        </row>
        <row r="281">
          <cell r="A281" t="str">
            <v>CD85N20-250-B</v>
          </cell>
          <cell r="B281">
            <v>0</v>
          </cell>
          <cell r="C281">
            <v>1260849</v>
          </cell>
          <cell r="D281">
            <v>0</v>
          </cell>
          <cell r="E281">
            <v>0</v>
          </cell>
          <cell r="F281">
            <v>164.934</v>
          </cell>
        </row>
        <row r="282">
          <cell r="A282" t="str">
            <v>CD85N20-25-B</v>
          </cell>
          <cell r="B282">
            <v>0</v>
          </cell>
          <cell r="C282">
            <v>1202233</v>
          </cell>
          <cell r="D282">
            <v>0</v>
          </cell>
          <cell r="E282">
            <v>0</v>
          </cell>
          <cell r="F282">
            <v>131.59440000000001</v>
          </cell>
        </row>
        <row r="283">
          <cell r="A283" t="str">
            <v>CD85N20-40-B</v>
          </cell>
          <cell r="B283">
            <v>0</v>
          </cell>
          <cell r="C283">
            <v>1202205</v>
          </cell>
          <cell r="D283">
            <v>0</v>
          </cell>
          <cell r="E283" t="str">
            <v>CYLINDER-LINEAR DE 020 0040</v>
          </cell>
          <cell r="F283">
            <v>148.56799999999998</v>
          </cell>
        </row>
        <row r="284">
          <cell r="A284" t="str">
            <v>CD85N20-50-B</v>
          </cell>
          <cell r="B284">
            <v>0</v>
          </cell>
          <cell r="C284">
            <v>1202146</v>
          </cell>
          <cell r="D284">
            <v>0</v>
          </cell>
          <cell r="E284" t="str">
            <v>CYLINDER-LINEAR DE 020 0050</v>
          </cell>
          <cell r="F284">
            <v>148.56799999999998</v>
          </cell>
        </row>
        <row r="285">
          <cell r="A285" t="str">
            <v>CD85N20-80-B</v>
          </cell>
          <cell r="B285">
            <v>0</v>
          </cell>
          <cell r="C285">
            <v>1202223</v>
          </cell>
          <cell r="D285">
            <v>0</v>
          </cell>
          <cell r="E285" t="str">
            <v>CYLINDER-LINEAR DE 020 0080</v>
          </cell>
          <cell r="F285">
            <v>155.32999999999998</v>
          </cell>
        </row>
        <row r="286">
          <cell r="A286" t="str">
            <v>CD85N20-80C-B</v>
          </cell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110.19590400000001</v>
          </cell>
        </row>
        <row r="287">
          <cell r="A287" t="str">
            <v>CD85N25-100-B</v>
          </cell>
          <cell r="B287">
            <v>0</v>
          </cell>
          <cell r="C287">
            <v>1202276</v>
          </cell>
          <cell r="D287">
            <v>0</v>
          </cell>
          <cell r="E287" t="str">
            <v>CYLINDER-LINEAR DE 025 0100</v>
          </cell>
          <cell r="F287">
            <v>153.37980000000002</v>
          </cell>
        </row>
        <row r="288">
          <cell r="A288" t="str">
            <v>CD85N25-125-B</v>
          </cell>
          <cell r="B288">
            <v>0</v>
          </cell>
          <cell r="C288">
            <v>1202268</v>
          </cell>
          <cell r="D288">
            <v>0</v>
          </cell>
          <cell r="E288" t="str">
            <v>CYLINDER-LINEAR DE 025 0125</v>
          </cell>
          <cell r="F288">
            <v>118.74659999999999</v>
          </cell>
        </row>
        <row r="289">
          <cell r="A289" t="str">
            <v>CD85N25-160-A</v>
          </cell>
          <cell r="B289">
            <v>0</v>
          </cell>
          <cell r="C289">
            <v>1260379</v>
          </cell>
          <cell r="D289">
            <v>0</v>
          </cell>
          <cell r="E289">
            <v>0</v>
          </cell>
          <cell r="F289">
            <v>282.9015</v>
          </cell>
        </row>
        <row r="290">
          <cell r="A290" t="str">
            <v>CD85N25-200-B</v>
          </cell>
          <cell r="B290">
            <v>0</v>
          </cell>
          <cell r="C290">
            <v>1261735</v>
          </cell>
          <cell r="D290">
            <v>0</v>
          </cell>
          <cell r="E290" t="str">
            <v>CYLINDER-LINEAR DE 025 0200</v>
          </cell>
          <cell r="F290">
            <v>173.62169999999998</v>
          </cell>
        </row>
        <row r="291">
          <cell r="A291" t="str">
            <v>CD85N25-250-B</v>
          </cell>
          <cell r="B291">
            <v>0</v>
          </cell>
          <cell r="C291">
            <v>1261952</v>
          </cell>
          <cell r="D291">
            <v>0</v>
          </cell>
          <cell r="E291">
            <v>0</v>
          </cell>
          <cell r="F291">
            <v>182.39760000000001</v>
          </cell>
        </row>
        <row r="292">
          <cell r="A292" t="str">
            <v>CD85N25-25-B</v>
          </cell>
          <cell r="B292">
            <v>0</v>
          </cell>
          <cell r="C292">
            <v>1202311</v>
          </cell>
          <cell r="D292">
            <v>0</v>
          </cell>
          <cell r="E292">
            <v>0</v>
          </cell>
          <cell r="F292">
            <v>139.31190000000001</v>
          </cell>
        </row>
        <row r="293">
          <cell r="A293" t="str">
            <v>CD85N25-300-B</v>
          </cell>
          <cell r="B293">
            <v>0</v>
          </cell>
          <cell r="C293">
            <v>1360058</v>
          </cell>
          <cell r="D293">
            <v>0</v>
          </cell>
          <cell r="E293" t="str">
            <v>CYLINDER-LINEAR DE 025 0300</v>
          </cell>
          <cell r="F293">
            <v>195.6276</v>
          </cell>
        </row>
        <row r="294">
          <cell r="A294" t="str">
            <v>CD85N25-400-B</v>
          </cell>
          <cell r="B294">
            <v>0</v>
          </cell>
          <cell r="C294">
            <v>1262187</v>
          </cell>
          <cell r="D294">
            <v>0</v>
          </cell>
          <cell r="E294" t="str">
            <v>CYLINDER-LINEAR DE 025 0400</v>
          </cell>
          <cell r="F294">
            <v>161.21</v>
          </cell>
        </row>
        <row r="295">
          <cell r="A295" t="str">
            <v>CD85N25-50-B</v>
          </cell>
          <cell r="B295">
            <v>0</v>
          </cell>
          <cell r="C295">
            <v>1202225</v>
          </cell>
          <cell r="D295">
            <v>0</v>
          </cell>
          <cell r="E295">
            <v>0</v>
          </cell>
          <cell r="F295">
            <v>143.72190000000001</v>
          </cell>
        </row>
        <row r="296">
          <cell r="A296" t="str">
            <v>CD85N25-80-B</v>
          </cell>
          <cell r="B296">
            <v>0</v>
          </cell>
          <cell r="C296">
            <v>1202288</v>
          </cell>
          <cell r="D296">
            <v>0</v>
          </cell>
          <cell r="E296">
            <v>0</v>
          </cell>
          <cell r="F296">
            <v>149.6754</v>
          </cell>
        </row>
        <row r="297">
          <cell r="A297" t="str">
            <v>CD85N8-10-B</v>
          </cell>
          <cell r="B297">
            <v>0</v>
          </cell>
          <cell r="C297">
            <v>1202322</v>
          </cell>
          <cell r="D297">
            <v>0</v>
          </cell>
          <cell r="E297" t="str">
            <v>CYLINDER-LINEAR DE 008 0010</v>
          </cell>
          <cell r="F297">
            <v>79.997400000000013</v>
          </cell>
        </row>
        <row r="298">
          <cell r="A298" t="str">
            <v>CD85N8-25-B</v>
          </cell>
          <cell r="B298">
            <v>0</v>
          </cell>
          <cell r="C298">
            <v>1202804</v>
          </cell>
          <cell r="D298">
            <v>0</v>
          </cell>
          <cell r="E298" t="str">
            <v>CYLINDER-LINEAR DE 008 0025</v>
          </cell>
          <cell r="F298">
            <v>80.967600000000004</v>
          </cell>
        </row>
        <row r="299">
          <cell r="A299" t="str">
            <v>CD85WE16-25-B</v>
          </cell>
          <cell r="B299">
            <v>0</v>
          </cell>
          <cell r="C299">
            <v>1202844</v>
          </cell>
          <cell r="D299">
            <v>0</v>
          </cell>
          <cell r="E299" t="str">
            <v>CYLINDER-LINEAR DE 016 0025</v>
          </cell>
          <cell r="F299">
            <v>115.7184</v>
          </cell>
        </row>
        <row r="300">
          <cell r="A300" t="str">
            <v>CD85WE16-5-B</v>
          </cell>
          <cell r="B300">
            <v>0</v>
          </cell>
          <cell r="C300">
            <v>1202601</v>
          </cell>
          <cell r="D300">
            <v>0</v>
          </cell>
          <cell r="E300">
            <v>0</v>
          </cell>
          <cell r="F300">
            <v>122.4657</v>
          </cell>
        </row>
        <row r="301">
          <cell r="A301" t="str">
            <v>CDBX2N10-100</v>
          </cell>
          <cell r="B301">
            <v>0</v>
          </cell>
          <cell r="C301">
            <v>99003020</v>
          </cell>
          <cell r="D301">
            <v>0</v>
          </cell>
          <cell r="E301">
            <v>0</v>
          </cell>
          <cell r="F301">
            <v>328.23629999999997</v>
          </cell>
        </row>
        <row r="302">
          <cell r="A302" t="str">
            <v>CD-J010 FOR CJ2D10</v>
          </cell>
          <cell r="B302" t="str">
            <v>CD-J010</v>
          </cell>
          <cell r="C302">
            <v>91010000</v>
          </cell>
          <cell r="D302">
            <v>0</v>
          </cell>
          <cell r="E302" t="str">
            <v>PIN-CLEVIS 10X15.2MM SST</v>
          </cell>
          <cell r="F302">
            <v>3.871</v>
          </cell>
        </row>
        <row r="303">
          <cell r="A303" t="str">
            <v>CDJ2B10-150A-H7A2</v>
          </cell>
          <cell r="B303">
            <v>0</v>
          </cell>
          <cell r="C303">
            <v>4000709</v>
          </cell>
          <cell r="D303">
            <v>0</v>
          </cell>
          <cell r="E303" t="str">
            <v>DOUBLE ACTING CYL D10 L150 C/W 2 SENSOR</v>
          </cell>
          <cell r="F303">
            <v>210.04830000000001</v>
          </cell>
        </row>
        <row r="304">
          <cell r="A304" t="str">
            <v>CDJ2B10-45-C73</v>
          </cell>
          <cell r="B304">
            <v>0</v>
          </cell>
          <cell r="C304">
            <v>4000654</v>
          </cell>
          <cell r="D304">
            <v>0</v>
          </cell>
          <cell r="E304" t="str">
            <v>CYLINDER AIR STD 10X45 DBL ACT W/SWITCH</v>
          </cell>
          <cell r="F304">
            <v>119.07</v>
          </cell>
        </row>
        <row r="305">
          <cell r="A305" t="str">
            <v>CDJ2B6-45R-B</v>
          </cell>
          <cell r="B305">
            <v>0</v>
          </cell>
          <cell r="C305">
            <v>4001167</v>
          </cell>
          <cell r="D305">
            <v>0</v>
          </cell>
          <cell r="E305" t="str">
            <v>CYLINDER-AIR STD 06X45MM STR DBL ACTING</v>
          </cell>
          <cell r="F305">
            <v>44.937900000000006</v>
          </cell>
        </row>
        <row r="306">
          <cell r="A306" t="str">
            <v>CDJ2B6-60R-B</v>
          </cell>
          <cell r="B306">
            <v>0</v>
          </cell>
          <cell r="C306">
            <v>0</v>
          </cell>
          <cell r="D306" t="str">
            <v>80.0000.8700</v>
          </cell>
          <cell r="E306" t="str">
            <v>Cylinder</v>
          </cell>
          <cell r="F306">
            <v>62.578879999999998</v>
          </cell>
        </row>
        <row r="307">
          <cell r="A307" t="str">
            <v>CDJ2D10-30-B</v>
          </cell>
          <cell r="B307">
            <v>0</v>
          </cell>
          <cell r="C307">
            <v>4001169</v>
          </cell>
          <cell r="D307">
            <v>0</v>
          </cell>
          <cell r="E307" t="str">
            <v>CYLINDER-LINEAR DE 010 0030</v>
          </cell>
          <cell r="F307">
            <v>46.834199999999996</v>
          </cell>
        </row>
        <row r="308">
          <cell r="A308" t="str">
            <v>CDJ2D10-45-B</v>
          </cell>
          <cell r="B308">
            <v>0</v>
          </cell>
          <cell r="C308">
            <v>4001242</v>
          </cell>
          <cell r="D308">
            <v>0</v>
          </cell>
          <cell r="E308" t="str">
            <v>CYLINDER-LINEAR DE 010 0045</v>
          </cell>
          <cell r="F308">
            <v>36.580950000000001</v>
          </cell>
        </row>
        <row r="309">
          <cell r="A309" t="str">
            <v>CDJ2D10-5S-F79S</v>
          </cell>
          <cell r="B309">
            <v>0</v>
          </cell>
          <cell r="C309">
            <v>91302820</v>
          </cell>
          <cell r="D309">
            <v>0</v>
          </cell>
          <cell r="E309" t="str">
            <v>CYLINDER-AIR STD 10X5MM STR</v>
          </cell>
          <cell r="F309">
            <v>95.785199999999989</v>
          </cell>
        </row>
        <row r="310">
          <cell r="A310" t="str">
            <v>CDJ2D16-30-C73L</v>
          </cell>
          <cell r="B310">
            <v>0</v>
          </cell>
          <cell r="C310">
            <v>4020082</v>
          </cell>
          <cell r="D310">
            <v>0</v>
          </cell>
          <cell r="E310" t="str">
            <v>CYLINDER DIA. 16X30 ST,DA</v>
          </cell>
          <cell r="F310">
            <v>140.01749999999998</v>
          </cell>
        </row>
        <row r="311">
          <cell r="A311" t="str">
            <v>CDJ2F16-125</v>
          </cell>
          <cell r="B311" t="str">
            <v>CDJ2F16-125Z-B</v>
          </cell>
          <cell r="C311">
            <v>1260483</v>
          </cell>
          <cell r="D311">
            <v>0</v>
          </cell>
          <cell r="E311" t="str">
            <v>CYLINDER</v>
          </cell>
          <cell r="F311">
            <v>74.088000000000008</v>
          </cell>
        </row>
        <row r="312">
          <cell r="A312" t="str">
            <v>CDJ2L10-150</v>
          </cell>
          <cell r="B312" t="str">
            <v>CDJ2L10-150Z-B</v>
          </cell>
          <cell r="C312">
            <v>1260855</v>
          </cell>
          <cell r="D312">
            <v>0</v>
          </cell>
          <cell r="E312" t="str">
            <v>CYLINDER-LINEAR DE 010 0150</v>
          </cell>
          <cell r="F312">
            <v>68.707800000000006</v>
          </cell>
        </row>
        <row r="313">
          <cell r="A313" t="str">
            <v>CDJ2L10-75</v>
          </cell>
          <cell r="B313" t="str">
            <v>CDJ2L10-75Z-B</v>
          </cell>
          <cell r="C313">
            <v>1260854</v>
          </cell>
          <cell r="D313">
            <v>0</v>
          </cell>
          <cell r="E313" t="str">
            <v>CYLINDER-LINEAR DE 010 0075</v>
          </cell>
          <cell r="F313">
            <v>55.213200000000001</v>
          </cell>
        </row>
        <row r="314">
          <cell r="A314" t="str">
            <v>CDJP2B-10-10D</v>
          </cell>
          <cell r="B314" t="str">
            <v>CDJP2B10-10D</v>
          </cell>
          <cell r="C314">
            <v>1262069</v>
          </cell>
          <cell r="D314">
            <v>0</v>
          </cell>
          <cell r="E314" t="str">
            <v>CYLINDER-LINEAR DE 010 0010</v>
          </cell>
          <cell r="F314">
            <v>73.073700000000002</v>
          </cell>
        </row>
        <row r="315">
          <cell r="A315" t="str">
            <v>CDJP2B16-20D-M9PVL</v>
          </cell>
          <cell r="B315">
            <v>0</v>
          </cell>
          <cell r="C315">
            <v>4001820</v>
          </cell>
          <cell r="D315">
            <v>0</v>
          </cell>
          <cell r="E315" t="str">
            <v>CYLINDER-LINEAR 006 0020</v>
          </cell>
          <cell r="F315">
            <v>249.68440000000001</v>
          </cell>
        </row>
        <row r="316">
          <cell r="A316" t="str">
            <v>CDJP2B4-10D</v>
          </cell>
          <cell r="B316">
            <v>0</v>
          </cell>
          <cell r="C316">
            <v>4002160</v>
          </cell>
          <cell r="D316">
            <v>0</v>
          </cell>
          <cell r="E316" t="str">
            <v>CYLINDER-LINEAR DE 004 0010</v>
          </cell>
          <cell r="F316">
            <v>68.599999999999994</v>
          </cell>
        </row>
        <row r="317">
          <cell r="A317" t="str">
            <v>CDJP2B4-5D-M9BS</v>
          </cell>
          <cell r="B317">
            <v>0</v>
          </cell>
          <cell r="C317">
            <v>4001322</v>
          </cell>
          <cell r="D317">
            <v>0</v>
          </cell>
          <cell r="E317" t="str">
            <v>CYLINDER-LINEAR DE 004 0005</v>
          </cell>
          <cell r="F317">
            <v>91.353149999999999</v>
          </cell>
        </row>
        <row r="318">
          <cell r="A318" t="str">
            <v>CDJP2B6-10D</v>
          </cell>
          <cell r="B318">
            <v>0</v>
          </cell>
          <cell r="C318">
            <v>1203001</v>
          </cell>
          <cell r="D318">
            <v>0</v>
          </cell>
          <cell r="E318" t="str">
            <v>CYLINDER-LINEAR DE 006 0010</v>
          </cell>
          <cell r="F318">
            <v>56.260574999999996</v>
          </cell>
        </row>
        <row r="319">
          <cell r="A319" t="str">
            <v>CDJP2B6-10D-M9BS</v>
          </cell>
          <cell r="B319">
            <v>0</v>
          </cell>
          <cell r="C319">
            <v>4001323</v>
          </cell>
          <cell r="D319">
            <v>0</v>
          </cell>
          <cell r="E319" t="str">
            <v>CYLINDER-AIR STD 06X10MM STR DBL ACTING</v>
          </cell>
          <cell r="F319">
            <v>128.90430000000001</v>
          </cell>
        </row>
        <row r="320">
          <cell r="A320" t="str">
            <v>CDJP2B6-5D</v>
          </cell>
          <cell r="B320">
            <v>0</v>
          </cell>
          <cell r="C320">
            <v>4001095</v>
          </cell>
          <cell r="D320">
            <v>0</v>
          </cell>
          <cell r="E320" t="str">
            <v>CYLINDER-AIR STD 06X5MM STR DBL ACTING</v>
          </cell>
          <cell r="F320">
            <v>63.680400000000006</v>
          </cell>
        </row>
        <row r="321">
          <cell r="A321" t="str">
            <v>CDJPB10-10D</v>
          </cell>
          <cell r="B321">
            <v>0</v>
          </cell>
          <cell r="C321">
            <v>1202440</v>
          </cell>
          <cell r="D321">
            <v>0</v>
          </cell>
          <cell r="E321" t="str">
            <v>CYLINDER-LINEAR DE 010 0010</v>
          </cell>
          <cell r="F321">
            <v>87.494399999999999</v>
          </cell>
        </row>
        <row r="322">
          <cell r="A322" t="str">
            <v>CDJPB10-20D</v>
          </cell>
          <cell r="B322">
            <v>0</v>
          </cell>
          <cell r="C322">
            <v>1202073</v>
          </cell>
          <cell r="D322">
            <v>0</v>
          </cell>
          <cell r="E322" t="str">
            <v>CYLINDER-LINEAR DE 010 0020</v>
          </cell>
          <cell r="F322">
            <v>90.625500000000002</v>
          </cell>
        </row>
        <row r="323">
          <cell r="A323" t="str">
            <v>CDJPB10-5D</v>
          </cell>
          <cell r="B323" t="str">
            <v>CDJP2B10-5D</v>
          </cell>
          <cell r="C323">
            <v>1202278</v>
          </cell>
          <cell r="D323">
            <v>0</v>
          </cell>
          <cell r="E323" t="str">
            <v>CYLINDER-LINEAR DE 010 0005</v>
          </cell>
          <cell r="F323">
            <v>90.718599999999995</v>
          </cell>
        </row>
        <row r="324">
          <cell r="A324" t="str">
            <v>CDJPB15-10D</v>
          </cell>
          <cell r="B324">
            <v>0</v>
          </cell>
          <cell r="C324">
            <v>1202506</v>
          </cell>
          <cell r="D324">
            <v>0</v>
          </cell>
          <cell r="E324" t="str">
            <v>CYLINDER-LINEAR DE 015 0010</v>
          </cell>
          <cell r="F324">
            <v>115.199</v>
          </cell>
        </row>
        <row r="325">
          <cell r="A325" t="str">
            <v>CDJPB15-15D</v>
          </cell>
          <cell r="B325">
            <v>0</v>
          </cell>
          <cell r="C325">
            <v>1202512</v>
          </cell>
          <cell r="D325">
            <v>0</v>
          </cell>
          <cell r="E325" t="str">
            <v>CYLINDER-LINEAR DE 015 0015</v>
          </cell>
          <cell r="F325">
            <v>116.914</v>
          </cell>
        </row>
        <row r="326">
          <cell r="A326" t="str">
            <v>CDJPB15-20D</v>
          </cell>
          <cell r="B326" t="str">
            <v>CDJP2B16-20D</v>
          </cell>
          <cell r="C326">
            <v>1203005</v>
          </cell>
          <cell r="D326">
            <v>0</v>
          </cell>
          <cell r="E326" t="str">
            <v>CYLINDER-LINEAR DE 015 0020</v>
          </cell>
          <cell r="F326">
            <v>122.157</v>
          </cell>
        </row>
        <row r="327">
          <cell r="A327" t="str">
            <v>CDJPB15-30D</v>
          </cell>
          <cell r="B327">
            <v>0</v>
          </cell>
          <cell r="C327">
            <v>1202607</v>
          </cell>
          <cell r="D327">
            <v>0</v>
          </cell>
          <cell r="E327" t="str">
            <v>CYLINDER-LINEAR DE 015 0030</v>
          </cell>
          <cell r="F327">
            <v>122.157</v>
          </cell>
        </row>
        <row r="328">
          <cell r="A328" t="str">
            <v>CDJPB15-5D</v>
          </cell>
          <cell r="B328">
            <v>0</v>
          </cell>
          <cell r="C328">
            <v>1203004</v>
          </cell>
          <cell r="D328">
            <v>0</v>
          </cell>
          <cell r="E328" t="str">
            <v>CYLINDER-LINEAR DE 015 0005</v>
          </cell>
          <cell r="F328">
            <v>99.974699999999999</v>
          </cell>
        </row>
        <row r="329">
          <cell r="A329" t="str">
            <v>CDJPB6-5D</v>
          </cell>
          <cell r="B329" t="str">
            <v>CDJP2B6-5D</v>
          </cell>
          <cell r="C329">
            <v>1202516</v>
          </cell>
          <cell r="D329">
            <v>0</v>
          </cell>
          <cell r="E329" t="str">
            <v>CYLINDER-LINEAR DE 006 0005</v>
          </cell>
          <cell r="F329">
            <v>77.547399999999996</v>
          </cell>
        </row>
        <row r="330">
          <cell r="A330" t="str">
            <v>CDM2B20-250</v>
          </cell>
          <cell r="B330">
            <v>0</v>
          </cell>
          <cell r="C330">
            <v>4000827</v>
          </cell>
          <cell r="D330">
            <v>0</v>
          </cell>
          <cell r="E330" t="str">
            <v>CYLINDER-LINEAR DE 020 0250</v>
          </cell>
          <cell r="F330">
            <v>100.85669999999999</v>
          </cell>
        </row>
        <row r="331">
          <cell r="A331" t="str">
            <v>CDM2C25-30</v>
          </cell>
          <cell r="B331">
            <v>0</v>
          </cell>
          <cell r="C331">
            <v>97004830</v>
          </cell>
          <cell r="D331">
            <v>0</v>
          </cell>
          <cell r="E331">
            <v>0</v>
          </cell>
          <cell r="F331">
            <v>98.254800000000003</v>
          </cell>
        </row>
        <row r="332">
          <cell r="A332" t="str">
            <v>CDM2L20-250</v>
          </cell>
          <cell r="B332">
            <v>0</v>
          </cell>
          <cell r="C332">
            <v>1260481</v>
          </cell>
          <cell r="D332">
            <v>0</v>
          </cell>
          <cell r="E332" t="str">
            <v>CYLINDER</v>
          </cell>
          <cell r="F332">
            <v>120.9222</v>
          </cell>
        </row>
        <row r="333">
          <cell r="A333" t="str">
            <v>CDQ2B12-10D</v>
          </cell>
          <cell r="B333">
            <v>0</v>
          </cell>
          <cell r="C333">
            <v>1202390</v>
          </cell>
          <cell r="D333">
            <v>0</v>
          </cell>
          <cell r="E333" t="str">
            <v>CYLINDER-LINEAR DE 012 0010</v>
          </cell>
          <cell r="F333">
            <v>68.928300000000007</v>
          </cell>
        </row>
        <row r="334">
          <cell r="A334" t="str">
            <v>CDQ2B12-10DC</v>
          </cell>
          <cell r="B334">
            <v>0</v>
          </cell>
          <cell r="C334">
            <v>1260480</v>
          </cell>
          <cell r="D334">
            <v>0</v>
          </cell>
          <cell r="E334" t="str">
            <v>CYLINDER-COMPACT DE 012 0010</v>
          </cell>
          <cell r="F334">
            <v>67.869900000000001</v>
          </cell>
        </row>
        <row r="335">
          <cell r="A335" t="str">
            <v>CDQ2B12-15D</v>
          </cell>
          <cell r="B335" t="str">
            <v>CDQ2B12-15DCZ</v>
          </cell>
          <cell r="C335">
            <v>1260556</v>
          </cell>
          <cell r="D335">
            <v>0</v>
          </cell>
          <cell r="E335" t="str">
            <v>CYLINDER-LINEAR DE 012 0015</v>
          </cell>
          <cell r="F335">
            <v>74.676000000000002</v>
          </cell>
        </row>
        <row r="336">
          <cell r="A336" t="str">
            <v>CDQ2B12-15DC</v>
          </cell>
          <cell r="B336">
            <v>0</v>
          </cell>
          <cell r="C336">
            <v>1131587</v>
          </cell>
          <cell r="D336">
            <v>0</v>
          </cell>
          <cell r="E336" t="str">
            <v>CYLINDER-LINEAR DE 012 0015</v>
          </cell>
          <cell r="F336">
            <v>70.021000000000001</v>
          </cell>
        </row>
        <row r="337">
          <cell r="A337" t="str">
            <v>CDQ2B12-20D</v>
          </cell>
          <cell r="B337">
            <v>0</v>
          </cell>
          <cell r="C337">
            <v>1202238</v>
          </cell>
          <cell r="D337">
            <v>0</v>
          </cell>
          <cell r="E337" t="str">
            <v>CYLINDER-LINEAR DE 012 0020</v>
          </cell>
          <cell r="F337">
            <v>44.408699999999996</v>
          </cell>
        </row>
        <row r="338">
          <cell r="A338" t="str">
            <v>CDQ2B12-20DCZ</v>
          </cell>
          <cell r="B338">
            <v>0</v>
          </cell>
          <cell r="C338">
            <v>4001929</v>
          </cell>
          <cell r="D338">
            <v>0</v>
          </cell>
          <cell r="E338" t="str">
            <v>CYLINDER-LINEAR DE 012 0020</v>
          </cell>
          <cell r="F338">
            <v>59.211599999999997</v>
          </cell>
        </row>
        <row r="339">
          <cell r="A339" t="str">
            <v>CDQ2B12-5D</v>
          </cell>
          <cell r="B339">
            <v>0</v>
          </cell>
          <cell r="C339">
            <v>1202219</v>
          </cell>
          <cell r="D339">
            <v>0</v>
          </cell>
          <cell r="E339" t="str">
            <v>CYLINDER-LINEAR DE 012 0005</v>
          </cell>
          <cell r="F339">
            <v>51.449999999999996</v>
          </cell>
        </row>
        <row r="340">
          <cell r="A340" t="str">
            <v>CDQ2B16-10D</v>
          </cell>
          <cell r="B340" t="str">
            <v xml:space="preserve">CDQ2B16-10DCZ </v>
          </cell>
          <cell r="C340">
            <v>1202321</v>
          </cell>
          <cell r="D340">
            <v>0</v>
          </cell>
          <cell r="E340" t="str">
            <v>CYLINDER-LINEAR DE 016 0010</v>
          </cell>
          <cell r="F340">
            <v>68.575500000000005</v>
          </cell>
        </row>
        <row r="341">
          <cell r="A341" t="str">
            <v>CDQ2B16-10T</v>
          </cell>
          <cell r="B341">
            <v>0</v>
          </cell>
          <cell r="C341">
            <v>97004480</v>
          </cell>
          <cell r="D341">
            <v>0</v>
          </cell>
          <cell r="E341">
            <v>0</v>
          </cell>
          <cell r="F341">
            <v>48.951000000000001</v>
          </cell>
        </row>
        <row r="342">
          <cell r="A342" t="str">
            <v>CDQ2B16-15D</v>
          </cell>
          <cell r="B342">
            <v>0</v>
          </cell>
          <cell r="C342">
            <v>1261747</v>
          </cell>
          <cell r="D342">
            <v>0</v>
          </cell>
          <cell r="E342" t="str">
            <v>CYLINDER-LINEAR DE 016 0015</v>
          </cell>
          <cell r="F342">
            <v>52.420200000000001</v>
          </cell>
        </row>
        <row r="343">
          <cell r="A343" t="str">
            <v>CDQ2B16-20D</v>
          </cell>
          <cell r="B343">
            <v>0</v>
          </cell>
          <cell r="C343">
            <v>1202330</v>
          </cell>
          <cell r="D343">
            <v>0</v>
          </cell>
          <cell r="E343" t="str">
            <v>CYLINDER-LINEAR DE 016 0020</v>
          </cell>
          <cell r="F343">
            <v>70.604100000000003</v>
          </cell>
        </row>
        <row r="344">
          <cell r="A344" t="str">
            <v>CDQ2B16-25D</v>
          </cell>
          <cell r="B344">
            <v>0</v>
          </cell>
          <cell r="C344">
            <v>1202319</v>
          </cell>
          <cell r="D344">
            <v>0</v>
          </cell>
          <cell r="E344" t="str">
            <v>CYLINDER-LINEAR DE 016 0025</v>
          </cell>
          <cell r="F344">
            <v>70.383599999999987</v>
          </cell>
        </row>
        <row r="345">
          <cell r="A345" t="str">
            <v>CDQ2B16-30D</v>
          </cell>
          <cell r="B345">
            <v>0</v>
          </cell>
          <cell r="C345">
            <v>1202221</v>
          </cell>
          <cell r="D345">
            <v>0</v>
          </cell>
          <cell r="E345" t="str">
            <v>CYLINDER-LINEAR DE 016 0030</v>
          </cell>
          <cell r="F345">
            <v>74.573099999999997</v>
          </cell>
        </row>
        <row r="346">
          <cell r="A346" t="str">
            <v>CDQ2B16-5D</v>
          </cell>
          <cell r="B346">
            <v>0</v>
          </cell>
          <cell r="C346">
            <v>1202240</v>
          </cell>
          <cell r="D346">
            <v>0</v>
          </cell>
          <cell r="E346" t="str">
            <v>CYLINDER-LINEAR DE 016 0005</v>
          </cell>
          <cell r="F346">
            <v>67.517099999999999</v>
          </cell>
        </row>
        <row r="347">
          <cell r="A347" t="str">
            <v>CDQ2B16-5DC</v>
          </cell>
          <cell r="B347">
            <v>0</v>
          </cell>
          <cell r="C347">
            <v>1202215</v>
          </cell>
          <cell r="D347">
            <v>0</v>
          </cell>
          <cell r="E347" t="str">
            <v>CYLINDER-LINEAR DE 016 0005</v>
          </cell>
          <cell r="F347">
            <v>66.502800000000008</v>
          </cell>
        </row>
        <row r="348">
          <cell r="A348" t="str">
            <v>CDQ2B16-5DZ</v>
          </cell>
          <cell r="B348">
            <v>0</v>
          </cell>
          <cell r="C348">
            <v>1262177</v>
          </cell>
          <cell r="D348">
            <v>0</v>
          </cell>
          <cell r="E348" t="str">
            <v>CYLINDER-LINEAR DE 016 0005</v>
          </cell>
          <cell r="F348">
            <v>50.96</v>
          </cell>
        </row>
        <row r="349">
          <cell r="A349" t="str">
            <v>CDQ2B20-10D</v>
          </cell>
          <cell r="B349">
            <v>0</v>
          </cell>
          <cell r="C349">
            <v>1202339</v>
          </cell>
          <cell r="D349">
            <v>0</v>
          </cell>
          <cell r="E349" t="str">
            <v>CYLINDER-LINEAR DE 020 0010</v>
          </cell>
          <cell r="F349">
            <v>55.665225000000007</v>
          </cell>
        </row>
        <row r="350">
          <cell r="A350" t="str">
            <v>CDQ2B20-10DCM</v>
          </cell>
          <cell r="B350">
            <v>0</v>
          </cell>
          <cell r="C350">
            <v>91300430</v>
          </cell>
          <cell r="D350">
            <v>0</v>
          </cell>
          <cell r="E350" t="str">
            <v>CYLINDER-AIR COMPACT 20X10MMST DBL ACT</v>
          </cell>
          <cell r="F350">
            <v>59.667300000000004</v>
          </cell>
        </row>
        <row r="351">
          <cell r="A351" t="str">
            <v>CDQ2B20-15D</v>
          </cell>
          <cell r="B351">
            <v>0</v>
          </cell>
          <cell r="C351">
            <v>1202331</v>
          </cell>
          <cell r="D351" t="str">
            <v>80.0000.0260</v>
          </cell>
          <cell r="E351" t="str">
            <v>Pneumatic Cylinder</v>
          </cell>
          <cell r="F351">
            <v>53.406080000000003</v>
          </cell>
        </row>
        <row r="352">
          <cell r="A352" t="str">
            <v>CDQ2B20-20D</v>
          </cell>
          <cell r="B352">
            <v>0</v>
          </cell>
          <cell r="C352">
            <v>1202202</v>
          </cell>
          <cell r="D352">
            <v>0</v>
          </cell>
          <cell r="E352" t="str">
            <v>CYLINDER-LINEAR DE 020 0020</v>
          </cell>
          <cell r="F352">
            <v>76.645800000000008</v>
          </cell>
        </row>
        <row r="353">
          <cell r="A353" t="str">
            <v>CDQ2B20-25DCZ</v>
          </cell>
          <cell r="B353">
            <v>0</v>
          </cell>
          <cell r="C353">
            <v>1260705</v>
          </cell>
          <cell r="D353">
            <v>0</v>
          </cell>
          <cell r="E353">
            <v>0</v>
          </cell>
          <cell r="F353">
            <v>58.491300000000003</v>
          </cell>
        </row>
        <row r="354">
          <cell r="A354" t="str">
            <v>CDQ2B20-30D</v>
          </cell>
          <cell r="B354" t="str">
            <v>CDQ2B20-30DCZ</v>
          </cell>
          <cell r="C354">
            <v>1202266</v>
          </cell>
          <cell r="D354">
            <v>0</v>
          </cell>
          <cell r="E354" t="str">
            <v>CYLINDER-LINEAR DE 020 0030</v>
          </cell>
          <cell r="F354">
            <v>76.557600000000008</v>
          </cell>
        </row>
        <row r="355">
          <cell r="A355" t="str">
            <v>CDQ2B20-40D</v>
          </cell>
          <cell r="B355">
            <v>0</v>
          </cell>
          <cell r="C355">
            <v>1202239</v>
          </cell>
          <cell r="D355">
            <v>0</v>
          </cell>
          <cell r="E355" t="str">
            <v>CYLINDER-LINEAR DE 020 0040</v>
          </cell>
          <cell r="F355">
            <v>81.496799999999993</v>
          </cell>
        </row>
        <row r="356">
          <cell r="A356" t="str">
            <v>CDQ2B20-50D</v>
          </cell>
          <cell r="B356">
            <v>0</v>
          </cell>
          <cell r="C356">
            <v>1202320</v>
          </cell>
          <cell r="D356">
            <v>0</v>
          </cell>
          <cell r="E356" t="str">
            <v>CYLINDER-LINEAR DE 020 0050</v>
          </cell>
          <cell r="F356">
            <v>83.745899999999992</v>
          </cell>
        </row>
        <row r="357">
          <cell r="A357" t="str">
            <v>CDQ2B20-5D</v>
          </cell>
          <cell r="B357" t="str">
            <v>CDQ2B20-5DCZ</v>
          </cell>
          <cell r="C357">
            <v>1202232</v>
          </cell>
          <cell r="D357">
            <v>0</v>
          </cell>
          <cell r="E357" t="str">
            <v>CYLINDER-LINEAR DE 020 0005</v>
          </cell>
          <cell r="F357">
            <v>72.676800000000014</v>
          </cell>
        </row>
        <row r="358">
          <cell r="A358" t="str">
            <v>CDQ2B25-10D</v>
          </cell>
          <cell r="B358">
            <v>0</v>
          </cell>
          <cell r="C358">
            <v>1202463</v>
          </cell>
          <cell r="D358">
            <v>0</v>
          </cell>
          <cell r="E358" t="str">
            <v>CYLINDER-LINEAR DE 025 0010</v>
          </cell>
          <cell r="F358">
            <v>60.122999999999998</v>
          </cell>
        </row>
        <row r="359">
          <cell r="A359" t="str">
            <v>CDQ2B25-15D</v>
          </cell>
          <cell r="B359">
            <v>0</v>
          </cell>
          <cell r="C359">
            <v>1202226</v>
          </cell>
          <cell r="D359">
            <v>0</v>
          </cell>
          <cell r="E359" t="str">
            <v>CYLINDER-LINEAR DE 025 0015</v>
          </cell>
          <cell r="F359">
            <v>84.760199999999998</v>
          </cell>
        </row>
        <row r="360">
          <cell r="A360" t="str">
            <v>CDQ2B25-20D</v>
          </cell>
          <cell r="B360">
            <v>0</v>
          </cell>
          <cell r="C360">
            <v>1202341</v>
          </cell>
          <cell r="D360">
            <v>0</v>
          </cell>
          <cell r="E360" t="str">
            <v>CYLINDER-LINEAR DE 025 0020</v>
          </cell>
          <cell r="F360">
            <v>86.391899999999993</v>
          </cell>
        </row>
        <row r="361">
          <cell r="A361" t="str">
            <v>CDQ2B25-25D</v>
          </cell>
          <cell r="B361">
            <v>0</v>
          </cell>
          <cell r="C361">
            <v>4001276</v>
          </cell>
          <cell r="D361">
            <v>0</v>
          </cell>
          <cell r="E361" t="str">
            <v>CYLINDER-LINEAR DE 025 0025</v>
          </cell>
          <cell r="F361">
            <v>71.265599999999992</v>
          </cell>
        </row>
        <row r="362">
          <cell r="A362" t="str">
            <v>CDQ2B25-25DCZ</v>
          </cell>
          <cell r="B362">
            <v>0</v>
          </cell>
          <cell r="C362">
            <v>4001930</v>
          </cell>
          <cell r="D362">
            <v>0</v>
          </cell>
          <cell r="E362" t="str">
            <v>CYLINDER-LINEAR DE 025 0025</v>
          </cell>
          <cell r="F362">
            <v>59.387999999999991</v>
          </cell>
        </row>
        <row r="363">
          <cell r="A363" t="str">
            <v>CDQ2B25-30D</v>
          </cell>
          <cell r="B363">
            <v>0</v>
          </cell>
          <cell r="C363">
            <v>97004670</v>
          </cell>
          <cell r="D363">
            <v>0</v>
          </cell>
          <cell r="E363">
            <v>0</v>
          </cell>
          <cell r="F363">
            <v>90.894999999999996</v>
          </cell>
        </row>
        <row r="364">
          <cell r="A364" t="str">
            <v>CDQ2B25-50D</v>
          </cell>
          <cell r="B364">
            <v>0</v>
          </cell>
          <cell r="C364">
            <v>7025540</v>
          </cell>
          <cell r="D364">
            <v>0</v>
          </cell>
          <cell r="E364">
            <v>0</v>
          </cell>
          <cell r="F364">
            <v>94.594500000000011</v>
          </cell>
        </row>
        <row r="365">
          <cell r="A365" t="str">
            <v>CDQ2B25-5D</v>
          </cell>
          <cell r="B365">
            <v>0</v>
          </cell>
          <cell r="C365">
            <v>1202823</v>
          </cell>
          <cell r="D365">
            <v>0</v>
          </cell>
          <cell r="E365">
            <v>0</v>
          </cell>
          <cell r="F365">
            <v>82.202400000000011</v>
          </cell>
        </row>
        <row r="366">
          <cell r="A366" t="str">
            <v>CDQ2B25-5DC</v>
          </cell>
          <cell r="B366" t="str">
            <v>CDQ2B25-5DCZ</v>
          </cell>
          <cell r="C366">
            <v>1202224</v>
          </cell>
          <cell r="D366">
            <v>0</v>
          </cell>
          <cell r="E366">
            <v>0</v>
          </cell>
          <cell r="F366">
            <v>81.143999999999991</v>
          </cell>
        </row>
        <row r="367">
          <cell r="A367" t="str">
            <v>CDQ2B32-20DM-F79L</v>
          </cell>
          <cell r="B367">
            <v>0</v>
          </cell>
          <cell r="C367">
            <v>91300740</v>
          </cell>
          <cell r="D367">
            <v>0</v>
          </cell>
          <cell r="E367">
            <v>0</v>
          </cell>
          <cell r="F367">
            <v>206.07929999999999</v>
          </cell>
        </row>
        <row r="368">
          <cell r="A368" t="str">
            <v>CDQ2D32-20D</v>
          </cell>
          <cell r="B368">
            <v>0</v>
          </cell>
          <cell r="C368">
            <v>1262035</v>
          </cell>
          <cell r="D368">
            <v>0</v>
          </cell>
          <cell r="E368">
            <v>0</v>
          </cell>
          <cell r="F368">
            <v>127.49310000000003</v>
          </cell>
        </row>
        <row r="369">
          <cell r="A369" t="str">
            <v>CDQ2KB16-5D</v>
          </cell>
          <cell r="B369" t="str">
            <v xml:space="preserve">CDQ2KB16-5DZ </v>
          </cell>
          <cell r="C369">
            <v>1202137</v>
          </cell>
          <cell r="D369">
            <v>0</v>
          </cell>
          <cell r="E369" t="str">
            <v>CYLINDER-LINEAR DE 016 0005</v>
          </cell>
          <cell r="F369">
            <v>124.93530000000001</v>
          </cell>
        </row>
        <row r="370">
          <cell r="A370" t="str">
            <v>CDQMA32-25</v>
          </cell>
          <cell r="B370">
            <v>0</v>
          </cell>
          <cell r="C370">
            <v>1261020</v>
          </cell>
          <cell r="D370">
            <v>0</v>
          </cell>
          <cell r="E370">
            <v>0</v>
          </cell>
          <cell r="F370">
            <v>297.38099999999997</v>
          </cell>
        </row>
        <row r="371">
          <cell r="A371" t="str">
            <v>CDQMB16-5</v>
          </cell>
          <cell r="B371">
            <v>0</v>
          </cell>
          <cell r="C371">
            <v>1262066</v>
          </cell>
          <cell r="D371">
            <v>0</v>
          </cell>
          <cell r="E371" t="str">
            <v>CYLINDER-LINEAR DE 016 0005</v>
          </cell>
          <cell r="F371">
            <v>109.67670000000001</v>
          </cell>
        </row>
        <row r="372">
          <cell r="A372" t="str">
            <v>CDQSB12-10D</v>
          </cell>
          <cell r="B372">
            <v>0</v>
          </cell>
          <cell r="C372">
            <v>0</v>
          </cell>
          <cell r="D372" t="str">
            <v>80.0001.0562</v>
          </cell>
          <cell r="E372">
            <v>0</v>
          </cell>
          <cell r="F372">
            <v>47.535488000000001</v>
          </cell>
        </row>
        <row r="373">
          <cell r="A373" t="str">
            <v>CDQSB12-10T</v>
          </cell>
          <cell r="B373">
            <v>0</v>
          </cell>
          <cell r="C373">
            <v>0</v>
          </cell>
          <cell r="D373">
            <v>0</v>
          </cell>
          <cell r="E373" t="str">
            <v>Cylinder</v>
          </cell>
          <cell r="F373">
            <v>86.8</v>
          </cell>
        </row>
        <row r="374">
          <cell r="A374" t="str">
            <v>CDQSB12-15D</v>
          </cell>
          <cell r="B374">
            <v>0</v>
          </cell>
          <cell r="C374">
            <v>1262068</v>
          </cell>
          <cell r="D374" t="str">
            <v>80.0000.8163</v>
          </cell>
          <cell r="E374" t="str">
            <v>Cylinder</v>
          </cell>
          <cell r="F374">
            <v>61.804288</v>
          </cell>
        </row>
        <row r="375">
          <cell r="A375" t="str">
            <v>CDQSB12-30D</v>
          </cell>
          <cell r="B375">
            <v>0</v>
          </cell>
          <cell r="C375">
            <v>0</v>
          </cell>
          <cell r="D375" t="str">
            <v>80.0001.0481</v>
          </cell>
          <cell r="E375" t="str">
            <v>Pneumatic cylinder</v>
          </cell>
          <cell r="F375">
            <v>75.665407999999999</v>
          </cell>
        </row>
        <row r="376">
          <cell r="A376" t="str">
            <v>CDQSB12-30DM</v>
          </cell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77.866879999999995</v>
          </cell>
        </row>
        <row r="377">
          <cell r="A377" t="str">
            <v>CDQSB12-40DC</v>
          </cell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90.178816000000012</v>
          </cell>
        </row>
        <row r="378">
          <cell r="A378" t="str">
            <v>CDQSB12-5D</v>
          </cell>
          <cell r="B378">
            <v>0</v>
          </cell>
          <cell r="C378">
            <v>0</v>
          </cell>
          <cell r="D378" t="str">
            <v>3604390/ 80.0001.0102</v>
          </cell>
          <cell r="E378" t="str">
            <v>COMP CYL,20MM,5MM STRK,DBL ACT</v>
          </cell>
          <cell r="F378">
            <v>45.456319999999998</v>
          </cell>
        </row>
        <row r="379">
          <cell r="A379" t="str">
            <v>CDQSB12-75DC</v>
          </cell>
          <cell r="B379">
            <v>0</v>
          </cell>
          <cell r="C379">
            <v>0</v>
          </cell>
          <cell r="D379" t="str">
            <v>80.0001.0181</v>
          </cell>
          <cell r="E379" t="str">
            <v>Cylinder</v>
          </cell>
          <cell r="F379">
            <v>88.955776</v>
          </cell>
        </row>
        <row r="380">
          <cell r="A380" t="str">
            <v>CDQSB16-10D</v>
          </cell>
          <cell r="B380">
            <v>0</v>
          </cell>
          <cell r="C380">
            <v>1260552</v>
          </cell>
          <cell r="D380">
            <v>0</v>
          </cell>
          <cell r="E380">
            <v>0</v>
          </cell>
          <cell r="F380">
            <v>81.629099999999994</v>
          </cell>
        </row>
        <row r="381">
          <cell r="A381" t="str">
            <v>CDQSB16-10SM-M9PVLS</v>
          </cell>
          <cell r="B381">
            <v>0</v>
          </cell>
          <cell r="C381">
            <v>3010032</v>
          </cell>
          <cell r="D381">
            <v>0</v>
          </cell>
          <cell r="E381" t="str">
            <v>SUPER COMPACT CYLINDER</v>
          </cell>
          <cell r="F381">
            <v>156.42270000000002</v>
          </cell>
        </row>
        <row r="382">
          <cell r="A382" t="str">
            <v>CDQSB16-20D</v>
          </cell>
          <cell r="B382">
            <v>0</v>
          </cell>
          <cell r="C382">
            <v>0</v>
          </cell>
          <cell r="D382" t="str">
            <v>80.0001.0519</v>
          </cell>
          <cell r="E382" t="str">
            <v>Cylinder CDQSB16 - 20 D</v>
          </cell>
          <cell r="F382">
            <v>64.617280000000008</v>
          </cell>
        </row>
        <row r="383">
          <cell r="A383" t="str">
            <v>CDQSB16-25DC</v>
          </cell>
          <cell r="B383">
            <v>0</v>
          </cell>
          <cell r="C383">
            <v>1260221</v>
          </cell>
          <cell r="D383">
            <v>0</v>
          </cell>
          <cell r="E383">
            <v>0</v>
          </cell>
          <cell r="F383">
            <v>129.21299999999999</v>
          </cell>
        </row>
        <row r="384">
          <cell r="A384" t="str">
            <v>CDQSB16-40DC</v>
          </cell>
          <cell r="B384">
            <v>0</v>
          </cell>
          <cell r="C384">
            <v>0</v>
          </cell>
          <cell r="D384" t="str">
            <v>80.0000.9469</v>
          </cell>
          <cell r="E384" t="str">
            <v>Cylinder</v>
          </cell>
          <cell r="F384">
            <v>81.658304000000015</v>
          </cell>
        </row>
        <row r="385">
          <cell r="A385" t="str">
            <v>CDQSB20-60DC</v>
          </cell>
          <cell r="B385">
            <v>0</v>
          </cell>
          <cell r="C385">
            <v>4001172</v>
          </cell>
          <cell r="D385">
            <v>0</v>
          </cell>
          <cell r="E385" t="str">
            <v>CYLINDER-LINEAR DE 020 0060</v>
          </cell>
          <cell r="F385">
            <v>126.9443</v>
          </cell>
        </row>
        <row r="386">
          <cell r="A386" t="str">
            <v>CDQSKB12-25D</v>
          </cell>
          <cell r="B386">
            <v>0</v>
          </cell>
          <cell r="C386">
            <v>0</v>
          </cell>
          <cell r="D386" t="str">
            <v>80.0000.0084</v>
          </cell>
          <cell r="E386" t="str">
            <v>Cylinder</v>
          </cell>
          <cell r="F386">
            <v>88.915007999999986</v>
          </cell>
        </row>
        <row r="387">
          <cell r="A387" t="str">
            <v>CDQSWB12-0068-CEL00408</v>
          </cell>
          <cell r="B387">
            <v>0</v>
          </cell>
          <cell r="C387">
            <v>0</v>
          </cell>
          <cell r="D387" t="str">
            <v>80.0001.1398</v>
          </cell>
          <cell r="E387" t="str">
            <v>Cylinder (Vacuum Piston)</v>
          </cell>
          <cell r="F387">
            <v>688.12307199999998</v>
          </cell>
        </row>
        <row r="388">
          <cell r="A388" t="str">
            <v>CDRB1BW10-180S</v>
          </cell>
          <cell r="B388">
            <v>0</v>
          </cell>
          <cell r="C388">
            <v>1260199</v>
          </cell>
          <cell r="D388">
            <v>0</v>
          </cell>
          <cell r="E388" t="str">
            <v>CYLINDER-ROTARY DE 010 180</v>
          </cell>
          <cell r="F388">
            <v>314.18799999999999</v>
          </cell>
        </row>
        <row r="389">
          <cell r="A389" t="str">
            <v>CDRB1BWU30-270S</v>
          </cell>
          <cell r="B389" t="str">
            <v>CDRB2BWU30-270SZ</v>
          </cell>
          <cell r="C389">
            <v>1202657</v>
          </cell>
          <cell r="D389">
            <v>0</v>
          </cell>
          <cell r="E389">
            <v>0</v>
          </cell>
          <cell r="F389">
            <v>398.26710000000003</v>
          </cell>
        </row>
        <row r="390">
          <cell r="A390" t="str">
            <v>CDRB2BW15-90SZ-S99L</v>
          </cell>
          <cell r="B390">
            <v>0</v>
          </cell>
          <cell r="C390">
            <v>91302340</v>
          </cell>
          <cell r="D390">
            <v>0</v>
          </cell>
          <cell r="E390" t="str">
            <v>ACTUATOR-ROTARY 90DEG 15MM</v>
          </cell>
          <cell r="F390">
            <v>471.94056000000006</v>
          </cell>
        </row>
        <row r="391">
          <cell r="A391" t="str">
            <v>CDRB2BWU10-180SZ-93AL</v>
          </cell>
          <cell r="B391">
            <v>0</v>
          </cell>
          <cell r="C391">
            <v>4002060</v>
          </cell>
          <cell r="D391">
            <v>0</v>
          </cell>
          <cell r="E391" t="str">
            <v>ROTARY CYLINDER SINGLE VANE DE 10 180</v>
          </cell>
          <cell r="F391">
            <v>504.5</v>
          </cell>
        </row>
        <row r="392">
          <cell r="A392" t="str">
            <v>CDRB2BWU10-90DZ-93AL</v>
          </cell>
          <cell r="B392">
            <v>0</v>
          </cell>
          <cell r="C392">
            <v>4002088</v>
          </cell>
          <cell r="D392">
            <v>0</v>
          </cell>
          <cell r="E392" t="str">
            <v>ROTARY-CYLINDER-90 DEGREE</v>
          </cell>
          <cell r="F392">
            <v>604.71390000000008</v>
          </cell>
        </row>
        <row r="393">
          <cell r="A393" t="str">
            <v>CDRB2BWU15-180S</v>
          </cell>
          <cell r="B393">
            <v>0</v>
          </cell>
          <cell r="C393">
            <v>7025935</v>
          </cell>
          <cell r="D393">
            <v>0</v>
          </cell>
          <cell r="E393">
            <v>0</v>
          </cell>
          <cell r="F393">
            <v>419.93</v>
          </cell>
        </row>
        <row r="394">
          <cell r="A394" t="str">
            <v>CDRB2BWU40-180S</v>
          </cell>
          <cell r="B394">
            <v>0</v>
          </cell>
          <cell r="C394">
            <v>1261670</v>
          </cell>
          <cell r="D394">
            <v>0</v>
          </cell>
          <cell r="E394">
            <v>0</v>
          </cell>
          <cell r="F394">
            <v>466.35750000000002</v>
          </cell>
        </row>
        <row r="395">
          <cell r="A395" t="str">
            <v>CDRBU2WU10-180S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453.82937600000002</v>
          </cell>
        </row>
        <row r="396">
          <cell r="A396" t="str">
            <v>CDRQ2BS10-360</v>
          </cell>
          <cell r="B396">
            <v>0</v>
          </cell>
          <cell r="C396">
            <v>0</v>
          </cell>
          <cell r="D396" t="str">
            <v>80.0000.6805</v>
          </cell>
          <cell r="E396" t="str">
            <v>Swivel drive</v>
          </cell>
          <cell r="F396">
            <v>438.337536</v>
          </cell>
        </row>
        <row r="397">
          <cell r="A397" t="str">
            <v>CDU10-10D</v>
          </cell>
          <cell r="B397">
            <v>0</v>
          </cell>
          <cell r="C397">
            <v>1202610</v>
          </cell>
          <cell r="D397">
            <v>3604413</v>
          </cell>
          <cell r="E397" t="str">
            <v>FREE MTN CYCLINDER,10MM SS DA</v>
          </cell>
          <cell r="F397">
            <v>72.077039999999997</v>
          </cell>
        </row>
        <row r="398">
          <cell r="A398" t="str">
            <v>CDU10-10D-M9NL</v>
          </cell>
          <cell r="B398">
            <v>0</v>
          </cell>
          <cell r="C398">
            <v>91011300</v>
          </cell>
          <cell r="D398">
            <v>0</v>
          </cell>
          <cell r="E398" t="str">
            <v>CYLINDER-AIR COMPACT 10X10MM STR W/SWTCH</v>
          </cell>
          <cell r="F398">
            <v>204.27119999999999</v>
          </cell>
        </row>
        <row r="399">
          <cell r="A399" t="str">
            <v>CDU10-20D</v>
          </cell>
          <cell r="B399">
            <v>0</v>
          </cell>
          <cell r="C399">
            <v>4000565</v>
          </cell>
          <cell r="D399">
            <v>0</v>
          </cell>
          <cell r="E399" t="str">
            <v>CYLINDER-LINEAR DE 010 0020</v>
          </cell>
          <cell r="F399">
            <v>81.717300000000009</v>
          </cell>
        </row>
        <row r="400">
          <cell r="A400" t="str">
            <v>CDU10-25D</v>
          </cell>
          <cell r="B400">
            <v>0</v>
          </cell>
          <cell r="C400">
            <v>4020127</v>
          </cell>
          <cell r="D400">
            <v>0</v>
          </cell>
          <cell r="E400" t="str">
            <v>CYLINDER FREE MOUNT DIA. 10X25</v>
          </cell>
          <cell r="F400">
            <v>81.717300000000009</v>
          </cell>
        </row>
        <row r="401">
          <cell r="A401" t="str">
            <v>CDU10-30D</v>
          </cell>
          <cell r="B401">
            <v>0</v>
          </cell>
          <cell r="C401">
            <v>1260289</v>
          </cell>
          <cell r="D401" t="str">
            <v>80.0001.0289</v>
          </cell>
          <cell r="E401" t="str">
            <v>Cylinder</v>
          </cell>
          <cell r="F401">
            <v>81.717300000000009</v>
          </cell>
        </row>
        <row r="402">
          <cell r="A402" t="str">
            <v>CDU10-40D</v>
          </cell>
          <cell r="B402">
            <v>0</v>
          </cell>
          <cell r="C402">
            <v>0</v>
          </cell>
          <cell r="D402" t="str">
            <v>80.0001.1448</v>
          </cell>
          <cell r="E402" t="str">
            <v>Cylinder</v>
          </cell>
          <cell r="F402">
            <v>140.48652799999999</v>
          </cell>
        </row>
        <row r="403">
          <cell r="A403" t="str">
            <v>CDU10-50D</v>
          </cell>
          <cell r="B403">
            <v>0</v>
          </cell>
          <cell r="C403">
            <v>0</v>
          </cell>
          <cell r="D403" t="str">
            <v>80.0001.0288</v>
          </cell>
          <cell r="E403" t="str">
            <v>Cylinder</v>
          </cell>
          <cell r="F403">
            <v>148.64012800000003</v>
          </cell>
        </row>
        <row r="404">
          <cell r="A404" t="str">
            <v>CDU10-5D</v>
          </cell>
          <cell r="B404">
            <v>0</v>
          </cell>
          <cell r="C404">
            <v>1202255</v>
          </cell>
          <cell r="D404">
            <v>0</v>
          </cell>
          <cell r="E404" t="str">
            <v>CYLINDER-LINEAR DE 010 0005</v>
          </cell>
          <cell r="F404">
            <v>72.077039999999997</v>
          </cell>
        </row>
        <row r="405">
          <cell r="A405" t="str">
            <v>CDU10-60D</v>
          </cell>
          <cell r="B405">
            <v>0</v>
          </cell>
          <cell r="C405">
            <v>0</v>
          </cell>
          <cell r="D405" t="str">
            <v>80.0000.8346</v>
          </cell>
          <cell r="E405" t="str">
            <v>Cylinder</v>
          </cell>
          <cell r="F405">
            <v>140.36422400000001</v>
          </cell>
        </row>
        <row r="406">
          <cell r="A406" t="str">
            <v>CDU16-10D</v>
          </cell>
          <cell r="B406">
            <v>0</v>
          </cell>
          <cell r="C406">
            <v>1202256</v>
          </cell>
          <cell r="D406">
            <v>0</v>
          </cell>
          <cell r="E406" t="str">
            <v>CYLINDER-LINEAR DE 016 0010</v>
          </cell>
          <cell r="F406">
            <v>94.770899999999997</v>
          </cell>
        </row>
        <row r="407">
          <cell r="A407" t="str">
            <v>CDU16-20D</v>
          </cell>
          <cell r="B407">
            <v>0</v>
          </cell>
          <cell r="C407">
            <v>1202631</v>
          </cell>
          <cell r="D407">
            <v>0</v>
          </cell>
          <cell r="E407" t="str">
            <v>CYLINDER-LINEAR DE 016 0020</v>
          </cell>
          <cell r="F407">
            <v>96.446699999999993</v>
          </cell>
        </row>
        <row r="408">
          <cell r="A408" t="str">
            <v>CDU16-30D</v>
          </cell>
          <cell r="B408">
            <v>0</v>
          </cell>
          <cell r="C408">
            <v>4001347</v>
          </cell>
          <cell r="D408" t="str">
            <v>80.0000.8390</v>
          </cell>
          <cell r="E408" t="str">
            <v>Pneumatik Cylinder</v>
          </cell>
          <cell r="F408">
            <v>70.1631</v>
          </cell>
        </row>
        <row r="409">
          <cell r="A409" t="str">
            <v>CDU16-5D</v>
          </cell>
          <cell r="B409">
            <v>0</v>
          </cell>
          <cell r="C409">
            <v>1202263</v>
          </cell>
          <cell r="D409">
            <v>0</v>
          </cell>
          <cell r="E409" t="str">
            <v>CYLINDER-LINEAR DE 016 0005</v>
          </cell>
          <cell r="F409">
            <v>94.770899999999997</v>
          </cell>
        </row>
        <row r="410">
          <cell r="A410" t="str">
            <v>CDU-20-20</v>
          </cell>
          <cell r="B410" t="str">
            <v>CDU20-20D</v>
          </cell>
          <cell r="C410">
            <v>4000652</v>
          </cell>
          <cell r="D410">
            <v>0</v>
          </cell>
          <cell r="E410" t="str">
            <v>CYLINDER CDU 20-20</v>
          </cell>
          <cell r="F410">
            <v>99.710099999999997</v>
          </cell>
        </row>
        <row r="411">
          <cell r="A411" t="str">
            <v>CDU20-30D</v>
          </cell>
          <cell r="B411">
            <v>0</v>
          </cell>
          <cell r="C411">
            <v>1202632</v>
          </cell>
          <cell r="D411">
            <v>3604147</v>
          </cell>
          <cell r="E411" t="str">
            <v>FREE MNT CYLINDER 20 BORE X 30</v>
          </cell>
          <cell r="F411">
            <v>99.710099999999997</v>
          </cell>
        </row>
        <row r="412">
          <cell r="A412" t="str">
            <v>CDU20-40D</v>
          </cell>
          <cell r="B412">
            <v>0</v>
          </cell>
          <cell r="C412">
            <v>1202837</v>
          </cell>
          <cell r="D412">
            <v>0</v>
          </cell>
          <cell r="E412">
            <v>0</v>
          </cell>
          <cell r="F412">
            <v>101.29769999999999</v>
          </cell>
        </row>
        <row r="413">
          <cell r="A413" t="str">
            <v>CDU20-50D</v>
          </cell>
          <cell r="B413">
            <v>0</v>
          </cell>
          <cell r="C413">
            <v>1202372</v>
          </cell>
          <cell r="D413">
            <v>0</v>
          </cell>
          <cell r="E413" t="str">
            <v>CYLINDER-LINEAR DE 020 0050</v>
          </cell>
          <cell r="F413">
            <v>102.9735</v>
          </cell>
        </row>
        <row r="414">
          <cell r="A414" t="str">
            <v>CDU6-20D</v>
          </cell>
          <cell r="B414">
            <v>0</v>
          </cell>
          <cell r="C414">
            <v>1202382</v>
          </cell>
          <cell r="D414">
            <v>0</v>
          </cell>
          <cell r="E414" t="str">
            <v>CYLINDER-LINEAR DE 006 0020</v>
          </cell>
          <cell r="F414">
            <v>76.822199999999995</v>
          </cell>
        </row>
        <row r="415">
          <cell r="A415" t="str">
            <v>CDU6-40D</v>
          </cell>
          <cell r="B415">
            <v>0</v>
          </cell>
          <cell r="C415">
            <v>4000991</v>
          </cell>
          <cell r="D415">
            <v>0</v>
          </cell>
          <cell r="E415" t="str">
            <v>CYLINDER-LINEAR DE 006 0040</v>
          </cell>
          <cell r="F415">
            <v>117.6588</v>
          </cell>
        </row>
        <row r="416">
          <cell r="A416" t="str">
            <v>CDU6-5D</v>
          </cell>
          <cell r="B416">
            <v>0</v>
          </cell>
          <cell r="C416">
            <v>1202254</v>
          </cell>
          <cell r="D416">
            <v>0</v>
          </cell>
          <cell r="E416" t="str">
            <v>CYLINDER-LINEAR DE 006 0005</v>
          </cell>
          <cell r="F416">
            <v>71.389080000000007</v>
          </cell>
        </row>
        <row r="417">
          <cell r="A417" t="str">
            <v>CDU6-5T</v>
          </cell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86.346624000000006</v>
          </cell>
        </row>
        <row r="418">
          <cell r="A418" t="str">
            <v>CDUJB10-10D</v>
          </cell>
          <cell r="B418">
            <v>0</v>
          </cell>
          <cell r="C418">
            <v>0</v>
          </cell>
          <cell r="D418" t="str">
            <v>3603274/ 80.0000.8263</v>
          </cell>
          <cell r="E418" t="str">
            <v>CYLINDER,MINI DBL ACT,10MM STR</v>
          </cell>
          <cell r="F418">
            <v>54.058368000000002</v>
          </cell>
        </row>
        <row r="419">
          <cell r="A419" t="str">
            <v>CDUJB10-10S</v>
          </cell>
          <cell r="B419">
            <v>0</v>
          </cell>
          <cell r="C419">
            <v>4001291</v>
          </cell>
          <cell r="D419">
            <v>3603574</v>
          </cell>
          <cell r="E419" t="str">
            <v>CYLINDER,DOOR LOCK</v>
          </cell>
          <cell r="F419">
            <v>43.692075000000003</v>
          </cell>
        </row>
        <row r="420">
          <cell r="A420" t="str">
            <v>CDUJB10-15D</v>
          </cell>
          <cell r="B420">
            <v>0</v>
          </cell>
          <cell r="C420">
            <v>1261068</v>
          </cell>
          <cell r="D420">
            <v>0</v>
          </cell>
          <cell r="E420" t="str">
            <v>CYLINDER-LINEAR DE 010 0015</v>
          </cell>
          <cell r="F420">
            <v>58.256099999999996</v>
          </cell>
        </row>
        <row r="421">
          <cell r="A421" t="str">
            <v>CDUJB10-30D</v>
          </cell>
          <cell r="B421">
            <v>0</v>
          </cell>
          <cell r="C421" t="str">
            <v>80.0000.1025</v>
          </cell>
          <cell r="D421">
            <v>0</v>
          </cell>
          <cell r="E421" t="str">
            <v>Cylinder</v>
          </cell>
          <cell r="F421">
            <v>62.334271999999999</v>
          </cell>
        </row>
        <row r="422">
          <cell r="A422" t="str">
            <v>CDUJB10-4DM</v>
          </cell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65.269568000000007</v>
          </cell>
        </row>
        <row r="423">
          <cell r="A423" t="str">
            <v>CDUJB10-6D-M9BS</v>
          </cell>
          <cell r="B423">
            <v>0</v>
          </cell>
          <cell r="C423">
            <v>4001422</v>
          </cell>
          <cell r="D423">
            <v>0</v>
          </cell>
          <cell r="E423" t="str">
            <v>CYLINDER-LINEAR DE 010 0006</v>
          </cell>
          <cell r="F423">
            <v>116.20350000000001</v>
          </cell>
        </row>
        <row r="424">
          <cell r="A424" t="str">
            <v>CDUJB10-8D</v>
          </cell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54.058368000000002</v>
          </cell>
        </row>
        <row r="425">
          <cell r="A425" t="str">
            <v>CDUJB6 15D F8PL</v>
          </cell>
          <cell r="B425" t="str">
            <v>CDUJB6-15D-F8PL</v>
          </cell>
          <cell r="C425">
            <v>1261724</v>
          </cell>
          <cell r="D425">
            <v>0</v>
          </cell>
          <cell r="E425" t="str">
            <v>CYLINDER-LINEAR 006 0015</v>
          </cell>
          <cell r="F425">
            <v>144.648</v>
          </cell>
        </row>
        <row r="426">
          <cell r="A426" t="str">
            <v>CDUJB6 4D F8PL</v>
          </cell>
          <cell r="B426" t="str">
            <v xml:space="preserve">CDUJB6-4D-F8PL </v>
          </cell>
          <cell r="C426">
            <v>3010073</v>
          </cell>
          <cell r="D426">
            <v>0</v>
          </cell>
          <cell r="E426" t="str">
            <v>CYLINDER-LINEAR 006 004</v>
          </cell>
          <cell r="F426">
            <v>170.56900000000002</v>
          </cell>
        </row>
        <row r="427">
          <cell r="A427" t="str">
            <v>CDUJB6 6DM F8P</v>
          </cell>
          <cell r="B427" t="str">
            <v>CDUJB6-6DM-F8PL</v>
          </cell>
          <cell r="C427">
            <v>1261767</v>
          </cell>
          <cell r="D427">
            <v>0</v>
          </cell>
          <cell r="E427" t="str">
            <v>CYLINDER-LINEAR DE 006 0006</v>
          </cell>
          <cell r="F427">
            <v>148.6611</v>
          </cell>
        </row>
        <row r="428">
          <cell r="A428" t="str">
            <v>CDUJB6-4D</v>
          </cell>
          <cell r="B428">
            <v>0</v>
          </cell>
          <cell r="C428">
            <v>0</v>
          </cell>
          <cell r="D428" t="str">
            <v>3604401/ 80.0001.0603</v>
          </cell>
          <cell r="E428" t="str">
            <v>MINI CYL,BS 6MM,CS4MM,DA</v>
          </cell>
          <cell r="F428">
            <v>50.430799999999998</v>
          </cell>
        </row>
        <row r="429">
          <cell r="A429" t="str">
            <v>CDUJB6-4S</v>
          </cell>
          <cell r="B429">
            <v>0</v>
          </cell>
          <cell r="C429">
            <v>0</v>
          </cell>
          <cell r="D429" t="str">
            <v>80.0000.7925</v>
          </cell>
          <cell r="E429" t="str">
            <v>Cylinder</v>
          </cell>
          <cell r="F429">
            <v>51.204608</v>
          </cell>
        </row>
        <row r="430">
          <cell r="A430" t="str">
            <v>CDUJB6-6D</v>
          </cell>
          <cell r="B430">
            <v>0</v>
          </cell>
          <cell r="C430">
            <v>0</v>
          </cell>
          <cell r="D430" t="str">
            <v>80.0000.0161</v>
          </cell>
          <cell r="E430" t="str">
            <v>Cylinder</v>
          </cell>
          <cell r="F430">
            <v>51.204608</v>
          </cell>
        </row>
        <row r="431">
          <cell r="A431" t="str">
            <v>CDUJB6-6S</v>
          </cell>
          <cell r="B431">
            <v>0</v>
          </cell>
          <cell r="C431">
            <v>0</v>
          </cell>
          <cell r="D431" t="str">
            <v>80.0000.8353</v>
          </cell>
          <cell r="E431" t="str">
            <v>Cylinder</v>
          </cell>
          <cell r="F431">
            <v>51.204608</v>
          </cell>
        </row>
        <row r="432">
          <cell r="A432" t="str">
            <v>CDUJB6-8S</v>
          </cell>
          <cell r="B432">
            <v>0</v>
          </cell>
          <cell r="C432">
            <v>0</v>
          </cell>
          <cell r="D432" t="str">
            <v>80.0000.0160</v>
          </cell>
          <cell r="E432" t="str">
            <v>Cylinder</v>
          </cell>
          <cell r="F432">
            <v>51.204608</v>
          </cell>
        </row>
        <row r="433">
          <cell r="A433" t="str">
            <v>CDUJB8-10S</v>
          </cell>
          <cell r="B433">
            <v>0</v>
          </cell>
          <cell r="C433">
            <v>0</v>
          </cell>
          <cell r="D433" t="str">
            <v>80.0000.7965</v>
          </cell>
          <cell r="E433" t="str">
            <v>Cylinder</v>
          </cell>
          <cell r="F433">
            <v>54.058368000000002</v>
          </cell>
        </row>
        <row r="434">
          <cell r="A434" t="str">
            <v>CDUJB8-15DM</v>
          </cell>
          <cell r="B434">
            <v>0</v>
          </cell>
          <cell r="C434">
            <v>0</v>
          </cell>
          <cell r="D434" t="str">
            <v>80.0000.0540</v>
          </cell>
          <cell r="E434" t="str">
            <v>Cylinder</v>
          </cell>
          <cell r="F434">
            <v>56.789823999999996</v>
          </cell>
        </row>
        <row r="435">
          <cell r="A435" t="str">
            <v>CDUJB8-6D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61.967359999999999</v>
          </cell>
        </row>
        <row r="436">
          <cell r="A436" t="str">
            <v>CDUK 20 20 D</v>
          </cell>
          <cell r="B436" t="str">
            <v>CDUK20-20D</v>
          </cell>
          <cell r="C436">
            <v>1261890</v>
          </cell>
          <cell r="D436">
            <v>0</v>
          </cell>
          <cell r="E436" t="str">
            <v>CYLINDER CDUK 20-20 D</v>
          </cell>
          <cell r="F436">
            <v>129.12480000000002</v>
          </cell>
        </row>
        <row r="437">
          <cell r="A437" t="str">
            <v>CDUK 20-10 D</v>
          </cell>
          <cell r="B437" t="str">
            <v>CDUK20-10D</v>
          </cell>
          <cell r="C437">
            <v>1261891</v>
          </cell>
          <cell r="D437">
            <v>0</v>
          </cell>
          <cell r="E437" t="str">
            <v>CYLINDER CDUK 20-10 D</v>
          </cell>
          <cell r="F437">
            <v>124.18560000000001</v>
          </cell>
        </row>
        <row r="438">
          <cell r="A438" t="str">
            <v>CDUK10-10D</v>
          </cell>
          <cell r="B438">
            <v>0</v>
          </cell>
          <cell r="C438">
            <v>1202513</v>
          </cell>
          <cell r="D438">
            <v>0</v>
          </cell>
          <cell r="E438" t="str">
            <v>CYLINDER-LINEAR DE 010 0010</v>
          </cell>
          <cell r="F438">
            <v>98.034300000000002</v>
          </cell>
        </row>
        <row r="439">
          <cell r="A439" t="str">
            <v>CDUK10-15D</v>
          </cell>
          <cell r="B439">
            <v>0</v>
          </cell>
          <cell r="C439">
            <v>4000903</v>
          </cell>
          <cell r="D439">
            <v>0</v>
          </cell>
          <cell r="E439" t="str">
            <v>CYLINDER CDUK10-15D</v>
          </cell>
          <cell r="F439">
            <v>98.034300000000002</v>
          </cell>
        </row>
        <row r="440">
          <cell r="A440" t="str">
            <v>CDUK10-20D</v>
          </cell>
          <cell r="B440">
            <v>0</v>
          </cell>
          <cell r="C440">
            <v>1202602</v>
          </cell>
          <cell r="D440">
            <v>0</v>
          </cell>
          <cell r="E440" t="str">
            <v>CYLINDER-LINEAR DE 010 0020</v>
          </cell>
          <cell r="F440">
            <v>99.710099999999997</v>
          </cell>
        </row>
        <row r="441">
          <cell r="A441" t="str">
            <v>CDUK10-30D</v>
          </cell>
          <cell r="B441">
            <v>0</v>
          </cell>
          <cell r="C441">
            <v>1260879</v>
          </cell>
          <cell r="D441">
            <v>0</v>
          </cell>
          <cell r="E441">
            <v>0</v>
          </cell>
          <cell r="F441">
            <v>99.710099999999997</v>
          </cell>
        </row>
        <row r="442">
          <cell r="A442" t="str">
            <v>CDUK10-5D</v>
          </cell>
          <cell r="B442">
            <v>0</v>
          </cell>
          <cell r="C442">
            <v>1202614</v>
          </cell>
          <cell r="D442">
            <v>0</v>
          </cell>
          <cell r="E442" t="str">
            <v>CYLINDER-LINEAR DE 010 0005</v>
          </cell>
          <cell r="F442">
            <v>98.034300000000002</v>
          </cell>
        </row>
        <row r="443">
          <cell r="A443" t="str">
            <v>CDUK10-60D-XC34</v>
          </cell>
          <cell r="B443">
            <v>0</v>
          </cell>
          <cell r="C443">
            <v>0</v>
          </cell>
          <cell r="D443" t="str">
            <v>80.0000.0080</v>
          </cell>
          <cell r="E443" t="str">
            <v>Cylinder</v>
          </cell>
          <cell r="F443">
            <v>181.05068799999998</v>
          </cell>
        </row>
        <row r="444">
          <cell r="A444" t="str">
            <v>CDUK16-10D</v>
          </cell>
          <cell r="B444">
            <v>0</v>
          </cell>
          <cell r="C444">
            <v>1202087</v>
          </cell>
          <cell r="D444">
            <v>0</v>
          </cell>
          <cell r="E444" t="str">
            <v>CYLINDER-LINEAR DE 016 0010</v>
          </cell>
          <cell r="F444">
            <v>117.6588</v>
          </cell>
        </row>
        <row r="445">
          <cell r="A445" t="str">
            <v>CDUK16-20D</v>
          </cell>
          <cell r="B445">
            <v>0</v>
          </cell>
          <cell r="C445">
            <v>1202242</v>
          </cell>
          <cell r="D445">
            <v>0</v>
          </cell>
          <cell r="E445" t="str">
            <v>CYLINDER-LINEAR DE 016 0020</v>
          </cell>
          <cell r="F445">
            <v>120.9222</v>
          </cell>
        </row>
        <row r="446">
          <cell r="A446" t="str">
            <v>CDUK16-30D</v>
          </cell>
          <cell r="B446">
            <v>0</v>
          </cell>
          <cell r="C446">
            <v>1202625</v>
          </cell>
          <cell r="D446">
            <v>0</v>
          </cell>
          <cell r="E446" t="str">
            <v>CYLINDER-LINEAR DE 016 0030</v>
          </cell>
          <cell r="F446">
            <v>120.9222</v>
          </cell>
        </row>
        <row r="447">
          <cell r="A447" t="str">
            <v>CDUK16-5D</v>
          </cell>
          <cell r="B447">
            <v>0</v>
          </cell>
          <cell r="C447">
            <v>1202683</v>
          </cell>
          <cell r="D447">
            <v>0</v>
          </cell>
          <cell r="E447" t="str">
            <v>CYLINDER-LINEAR DE 016 0005</v>
          </cell>
          <cell r="F447">
            <v>117.6588</v>
          </cell>
        </row>
        <row r="448">
          <cell r="A448" t="str">
            <v>CDUK20-40D</v>
          </cell>
          <cell r="B448">
            <v>0</v>
          </cell>
          <cell r="C448">
            <v>1202072</v>
          </cell>
          <cell r="D448">
            <v>0</v>
          </cell>
          <cell r="E448" t="str">
            <v>CYLINDER-LINEAR DE 020 0040</v>
          </cell>
          <cell r="F448">
            <v>130.7124</v>
          </cell>
        </row>
        <row r="449">
          <cell r="A449" t="str">
            <v>CDUK20-50D</v>
          </cell>
          <cell r="B449">
            <v>0</v>
          </cell>
          <cell r="C449">
            <v>1202595</v>
          </cell>
          <cell r="D449">
            <v>0</v>
          </cell>
          <cell r="E449" t="str">
            <v>CYLINDER-LINEAR DE 020 0050</v>
          </cell>
          <cell r="F449">
            <v>133.97579999999999</v>
          </cell>
        </row>
        <row r="450">
          <cell r="A450" t="str">
            <v>CDUK6-10D</v>
          </cell>
          <cell r="B450">
            <v>0</v>
          </cell>
          <cell r="C450">
            <v>1202383</v>
          </cell>
          <cell r="D450">
            <v>0</v>
          </cell>
          <cell r="E450" t="str">
            <v>CYLINDER-LINEAR DE 006 0010</v>
          </cell>
          <cell r="F450">
            <v>91.507499999999993</v>
          </cell>
        </row>
        <row r="451">
          <cell r="A451" t="str">
            <v>CDUK6-20D</v>
          </cell>
          <cell r="B451">
            <v>0</v>
          </cell>
          <cell r="C451">
            <v>1261807</v>
          </cell>
          <cell r="D451">
            <v>0</v>
          </cell>
          <cell r="E451" t="str">
            <v>CYLINDER-LINEAR DE 006 0020</v>
          </cell>
          <cell r="F451">
            <v>94.770899999999997</v>
          </cell>
        </row>
        <row r="452">
          <cell r="A452" t="str">
            <v>CDUK6-5D</v>
          </cell>
          <cell r="B452">
            <v>0</v>
          </cell>
          <cell r="C452">
            <v>1202114</v>
          </cell>
          <cell r="D452">
            <v>0</v>
          </cell>
          <cell r="E452" t="str">
            <v>CYLINDER-LINEAR DE 006 0005</v>
          </cell>
          <cell r="F452">
            <v>91.507499999999993</v>
          </cell>
        </row>
        <row r="453">
          <cell r="A453" t="str">
            <v>CDY1S 15H200 BS A72</v>
          </cell>
          <cell r="B453" t="str">
            <v>CDY1S15H-200BS-A72</v>
          </cell>
          <cell r="C453">
            <v>1261973</v>
          </cell>
          <cell r="D453">
            <v>0</v>
          </cell>
          <cell r="E453" t="str">
            <v>CYLINDER-WITHOUT-GUIDE D15 L200</v>
          </cell>
          <cell r="F453">
            <v>777.83580000000006</v>
          </cell>
        </row>
        <row r="454">
          <cell r="A454" t="str">
            <v>CDY1S15H-100</v>
          </cell>
          <cell r="B454">
            <v>0</v>
          </cell>
          <cell r="C454">
            <v>0</v>
          </cell>
          <cell r="D454" t="str">
            <v>80.0001.0516</v>
          </cell>
          <cell r="E454" t="str">
            <v>Cylinder</v>
          </cell>
          <cell r="F454">
            <v>888.45702400000005</v>
          </cell>
        </row>
        <row r="455">
          <cell r="A455" t="str">
            <v>CDY1S6H-250</v>
          </cell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1438.417344</v>
          </cell>
        </row>
        <row r="456">
          <cell r="A456" t="str">
            <v>CDY2S10H-100B-F79L</v>
          </cell>
          <cell r="B456">
            <v>0</v>
          </cell>
          <cell r="C456">
            <v>91010530</v>
          </cell>
          <cell r="D456">
            <v>0</v>
          </cell>
          <cell r="E456" t="str">
            <v>CYLINDER-RODLESS MAGNET 10X100 W/ABSORBR</v>
          </cell>
          <cell r="F456">
            <v>861.40530000000001</v>
          </cell>
        </row>
        <row r="457">
          <cell r="A457" t="str">
            <v>CD-Z015</v>
          </cell>
          <cell r="B457">
            <v>0</v>
          </cell>
          <cell r="C457">
            <v>4020130</v>
          </cell>
          <cell r="D457">
            <v>0</v>
          </cell>
          <cell r="E457" t="str">
            <v>PIN CLEVIS</v>
          </cell>
          <cell r="F457">
            <v>3.4839000000000002</v>
          </cell>
        </row>
        <row r="458">
          <cell r="A458" t="str">
            <v>CJ1B2-10SU4</v>
          </cell>
          <cell r="B458">
            <v>0</v>
          </cell>
          <cell r="C458">
            <v>1202025</v>
          </cell>
          <cell r="D458">
            <v>0</v>
          </cell>
          <cell r="E458" t="str">
            <v>CYLINDER-LINEAR SE 002,5 0010</v>
          </cell>
          <cell r="F458">
            <v>30.693599999999996</v>
          </cell>
        </row>
        <row r="459">
          <cell r="A459" t="str">
            <v>CJ1B2-5SU4</v>
          </cell>
          <cell r="B459">
            <v>0</v>
          </cell>
          <cell r="C459">
            <v>1202012</v>
          </cell>
          <cell r="D459" t="str">
            <v>A0000012517</v>
          </cell>
          <cell r="E459" t="str">
            <v>CYLINDER - BIAS</v>
          </cell>
          <cell r="F459">
            <v>29.679300000000001</v>
          </cell>
        </row>
        <row r="460">
          <cell r="A460" t="str">
            <v>CJ1B4-10SU4</v>
          </cell>
          <cell r="B460">
            <v>0</v>
          </cell>
          <cell r="C460">
            <v>0</v>
          </cell>
          <cell r="D460" t="str">
            <v>80.0000.9470</v>
          </cell>
          <cell r="E460">
            <v>0</v>
          </cell>
          <cell r="F460">
            <v>34.775103999999999</v>
          </cell>
        </row>
        <row r="461">
          <cell r="A461" t="str">
            <v>CJ1B4-5SU4</v>
          </cell>
          <cell r="B461">
            <v>0</v>
          </cell>
          <cell r="C461">
            <v>0</v>
          </cell>
          <cell r="D461" t="str">
            <v>80.0001.0010</v>
          </cell>
          <cell r="E461" t="str">
            <v>Cylinder</v>
          </cell>
          <cell r="F461">
            <v>32.125183999999997</v>
          </cell>
        </row>
        <row r="462">
          <cell r="A462" t="str">
            <v>CJ2B10-116-DUQ01799</v>
          </cell>
          <cell r="B462">
            <v>0</v>
          </cell>
          <cell r="C462" t="str">
            <v>D1001889</v>
          </cell>
          <cell r="D462">
            <v>3604269</v>
          </cell>
          <cell r="E462" t="str">
            <v>CLYINDER, CHUCK RETRACT, MTX</v>
          </cell>
          <cell r="F462">
            <v>62.573</v>
          </cell>
        </row>
        <row r="463">
          <cell r="A463" t="str">
            <v>CJ2B10-125</v>
          </cell>
          <cell r="B463">
            <v>0</v>
          </cell>
          <cell r="C463">
            <v>4001237</v>
          </cell>
          <cell r="D463">
            <v>0</v>
          </cell>
          <cell r="E463" t="str">
            <v>CYLINDER-LINEAR DE 010 0125</v>
          </cell>
          <cell r="F463">
            <v>53.934299999999993</v>
          </cell>
        </row>
        <row r="464">
          <cell r="A464" t="str">
            <v>CJ2B10-15SR</v>
          </cell>
          <cell r="B464">
            <v>0</v>
          </cell>
          <cell r="C464">
            <v>91003250</v>
          </cell>
          <cell r="D464">
            <v>0</v>
          </cell>
          <cell r="E464">
            <v>0</v>
          </cell>
          <cell r="F464">
            <v>38.631599999999999</v>
          </cell>
        </row>
        <row r="465">
          <cell r="A465" t="str">
            <v>CJ2B10-5</v>
          </cell>
          <cell r="B465">
            <v>0</v>
          </cell>
          <cell r="C465">
            <v>4001143</v>
          </cell>
          <cell r="D465">
            <v>0</v>
          </cell>
          <cell r="E465" t="str">
            <v>CYLINDER-LINEAR SE 010 0005</v>
          </cell>
          <cell r="F465">
            <v>37.264499999999998</v>
          </cell>
        </row>
        <row r="466">
          <cell r="A466" t="str">
            <v>CJ2B16-125</v>
          </cell>
          <cell r="B466">
            <v>0</v>
          </cell>
          <cell r="C466">
            <v>4001170</v>
          </cell>
          <cell r="D466">
            <v>0</v>
          </cell>
          <cell r="E466" t="str">
            <v>CYLINDER-LINEAR DE 016 0125</v>
          </cell>
          <cell r="F466">
            <v>61.607699999999994</v>
          </cell>
        </row>
        <row r="467">
          <cell r="A467" t="str">
            <v>CJ2B16-15R</v>
          </cell>
          <cell r="B467">
            <v>0</v>
          </cell>
          <cell r="C467">
            <v>4001511</v>
          </cell>
          <cell r="D467">
            <v>0</v>
          </cell>
          <cell r="E467" t="str">
            <v>CYLINDER-LINEAR DE 016 0015</v>
          </cell>
          <cell r="F467">
            <v>46.613700000000001</v>
          </cell>
        </row>
        <row r="468">
          <cell r="A468" t="str">
            <v>CJ2B16-30</v>
          </cell>
          <cell r="B468">
            <v>0</v>
          </cell>
          <cell r="C468">
            <v>1261842</v>
          </cell>
          <cell r="D468">
            <v>0</v>
          </cell>
          <cell r="E468" t="str">
            <v>CYLINDER-LINEAR 016 0030</v>
          </cell>
          <cell r="F468">
            <v>34.662599999999998</v>
          </cell>
        </row>
        <row r="469">
          <cell r="A469" t="str">
            <v>CJ2B16-50</v>
          </cell>
          <cell r="B469">
            <v>0</v>
          </cell>
          <cell r="C469">
            <v>4001171</v>
          </cell>
          <cell r="D469">
            <v>0</v>
          </cell>
          <cell r="E469" t="str">
            <v>CYLINDER-LINEAR DE 016 0050</v>
          </cell>
          <cell r="F469">
            <v>48.774599999999992</v>
          </cell>
        </row>
        <row r="470">
          <cell r="A470" t="str">
            <v>CJ2B6-15SR</v>
          </cell>
          <cell r="B470">
            <v>0</v>
          </cell>
          <cell r="C470">
            <v>91003020</v>
          </cell>
          <cell r="D470">
            <v>0</v>
          </cell>
          <cell r="E470">
            <v>0</v>
          </cell>
          <cell r="F470">
            <v>40.219200000000001</v>
          </cell>
        </row>
        <row r="471">
          <cell r="A471" t="str">
            <v>CJ2B6-20R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43.499456000000002</v>
          </cell>
        </row>
        <row r="472">
          <cell r="A472" t="str">
            <v>CJ2B6-45R</v>
          </cell>
          <cell r="B472">
            <v>0</v>
          </cell>
          <cell r="C472">
            <v>4020179</v>
          </cell>
          <cell r="D472">
            <v>0</v>
          </cell>
          <cell r="E472" t="str">
            <v>CYLINDER CJ2B6-45R</v>
          </cell>
          <cell r="F472">
            <v>44.188200000000002</v>
          </cell>
        </row>
        <row r="473">
          <cell r="A473" t="str">
            <v>CJ2B6-5SR</v>
          </cell>
          <cell r="B473">
            <v>0</v>
          </cell>
          <cell r="C473">
            <v>0</v>
          </cell>
          <cell r="D473" t="str">
            <v>80.0001.0166</v>
          </cell>
          <cell r="E473" t="str">
            <v>Cylinder (Lead Buffer)</v>
          </cell>
          <cell r="F473">
            <v>40.564159999999994</v>
          </cell>
        </row>
        <row r="474">
          <cell r="A474" t="str">
            <v>CJ2RA10-30</v>
          </cell>
          <cell r="B474">
            <v>0</v>
          </cell>
          <cell r="C474">
            <v>91003450</v>
          </cell>
          <cell r="D474">
            <v>0</v>
          </cell>
          <cell r="E474" t="str">
            <v>CYLINDER-AIR MINI 10X30MM STR</v>
          </cell>
          <cell r="F474">
            <v>40.0869</v>
          </cell>
        </row>
        <row r="475">
          <cell r="A475" t="str">
            <v>CJ-5H-4</v>
          </cell>
          <cell r="B475">
            <v>0</v>
          </cell>
          <cell r="C475">
            <v>0</v>
          </cell>
          <cell r="D475" t="str">
            <v>80.0000.1070</v>
          </cell>
          <cell r="E475" t="str">
            <v>Pneumatic Fitting ( reduced )</v>
          </cell>
          <cell r="F475">
            <v>1.8326</v>
          </cell>
        </row>
        <row r="476">
          <cell r="A476" t="str">
            <v>CJP B10-5H4-B</v>
          </cell>
          <cell r="B476" t="str">
            <v>CJPB10-5H4-B</v>
          </cell>
          <cell r="C476">
            <v>4000687</v>
          </cell>
          <cell r="D476">
            <v>0</v>
          </cell>
          <cell r="E476" t="str">
            <v>CYLINDER AIR PIN 10X5MM STR PANEL MOUNT</v>
          </cell>
          <cell r="F476">
            <v>28.792399999999997</v>
          </cell>
        </row>
        <row r="477">
          <cell r="A477" t="str">
            <v>CJPB10-5H4</v>
          </cell>
          <cell r="B477">
            <v>0</v>
          </cell>
          <cell r="C477">
            <v>4001310</v>
          </cell>
          <cell r="D477">
            <v>0</v>
          </cell>
          <cell r="E477" t="str">
            <v>CYLINDER-LINEA SE 010 0005</v>
          </cell>
          <cell r="F477">
            <v>40.616100000000003</v>
          </cell>
        </row>
        <row r="478">
          <cell r="A478" t="str">
            <v>CJPB10-5H6</v>
          </cell>
          <cell r="B478">
            <v>0</v>
          </cell>
          <cell r="C478">
            <v>1260782</v>
          </cell>
          <cell r="D478">
            <v>0</v>
          </cell>
          <cell r="E478">
            <v>0</v>
          </cell>
          <cell r="F478">
            <v>40.616100000000003</v>
          </cell>
        </row>
        <row r="479">
          <cell r="A479" t="str">
            <v>CJPB15-10H6</v>
          </cell>
          <cell r="B479">
            <v>0</v>
          </cell>
          <cell r="C479">
            <v>1260529</v>
          </cell>
          <cell r="D479">
            <v>0</v>
          </cell>
          <cell r="E479">
            <v>0</v>
          </cell>
          <cell r="F479">
            <v>50.009399999999999</v>
          </cell>
        </row>
        <row r="480">
          <cell r="A480" t="str">
            <v>CJPB15-5H6</v>
          </cell>
          <cell r="B480">
            <v>0</v>
          </cell>
          <cell r="C480">
            <v>1202128</v>
          </cell>
          <cell r="D480">
            <v>0</v>
          </cell>
          <cell r="E480" t="str">
            <v>CYLINDER-LINEAR SE 015 0005</v>
          </cell>
          <cell r="F480">
            <v>50.009399999999999</v>
          </cell>
        </row>
        <row r="481">
          <cell r="A481" t="str">
            <v>CJPB6-10</v>
          </cell>
          <cell r="B481">
            <v>0</v>
          </cell>
          <cell r="C481">
            <v>4001168</v>
          </cell>
          <cell r="D481">
            <v>0</v>
          </cell>
          <cell r="E481" t="str">
            <v>CYLINDER-LINEAR DE 006 0010 CARTRIDGE</v>
          </cell>
          <cell r="F481">
            <v>31.924479999999999</v>
          </cell>
        </row>
        <row r="482">
          <cell r="A482" t="str">
            <v>CJPB6-10H6</v>
          </cell>
          <cell r="B482">
            <v>0</v>
          </cell>
          <cell r="C482">
            <v>1202782</v>
          </cell>
          <cell r="D482">
            <v>0</v>
          </cell>
          <cell r="E482" t="str">
            <v>CYLINDER-LINEAR SE 006 0010</v>
          </cell>
          <cell r="F482">
            <v>32.854499999999994</v>
          </cell>
        </row>
        <row r="483">
          <cell r="A483" t="str">
            <v>CJPB6-15H4</v>
          </cell>
          <cell r="B483">
            <v>0</v>
          </cell>
          <cell r="C483">
            <v>4001360</v>
          </cell>
          <cell r="D483">
            <v>0</v>
          </cell>
          <cell r="E483" t="str">
            <v>CYLINDER-LINEAR SE 006 0015</v>
          </cell>
          <cell r="F483">
            <v>31.924479999999999</v>
          </cell>
        </row>
        <row r="484">
          <cell r="A484" t="str">
            <v>CJPB6-5</v>
          </cell>
          <cell r="B484">
            <v>0</v>
          </cell>
          <cell r="C484">
            <v>0</v>
          </cell>
          <cell r="D484">
            <v>0</v>
          </cell>
          <cell r="E484" t="str">
            <v>CYLINDER-LINEAR SE 006 0005</v>
          </cell>
          <cell r="F484">
            <v>31.391360000000002</v>
          </cell>
        </row>
        <row r="485">
          <cell r="A485" t="str">
            <v>CJPB6-5H4</v>
          </cell>
          <cell r="B485">
            <v>0</v>
          </cell>
          <cell r="C485" t="str">
            <v>4001988/ 4000853/ G1003702/ 4020081</v>
          </cell>
          <cell r="D485" t="str">
            <v>80.0000.8557</v>
          </cell>
          <cell r="E485" t="str">
            <v>Cylinder (tapper)</v>
          </cell>
          <cell r="F485">
            <v>22.46</v>
          </cell>
        </row>
        <row r="486">
          <cell r="A486" t="str">
            <v>CJPB6-5H6</v>
          </cell>
          <cell r="B486">
            <v>0</v>
          </cell>
          <cell r="C486">
            <v>1202663</v>
          </cell>
          <cell r="D486">
            <v>0</v>
          </cell>
          <cell r="E486" t="str">
            <v>CYLINDER-LINEAR SE 006 0005 CARTRIDGE</v>
          </cell>
          <cell r="F486">
            <v>31.213980000000003</v>
          </cell>
        </row>
        <row r="487">
          <cell r="A487" t="str">
            <v>CJPS10-10</v>
          </cell>
          <cell r="B487">
            <v>0</v>
          </cell>
          <cell r="C487">
            <v>1261853</v>
          </cell>
          <cell r="D487">
            <v>0</v>
          </cell>
          <cell r="E487" t="str">
            <v>CYLINDER-LINEAR SE 010 0010</v>
          </cell>
          <cell r="F487">
            <v>39.072599999999994</v>
          </cell>
        </row>
        <row r="488">
          <cell r="A488" t="str">
            <v>CJPS10-5</v>
          </cell>
          <cell r="B488">
            <v>0</v>
          </cell>
          <cell r="C488">
            <v>1262162</v>
          </cell>
          <cell r="D488">
            <v>0</v>
          </cell>
          <cell r="E488" t="str">
            <v>CYLINDER-MINI. SIMPLE EFFECT D=10 C=5</v>
          </cell>
          <cell r="F488">
            <v>47.872999999999998</v>
          </cell>
        </row>
        <row r="489">
          <cell r="A489" t="str">
            <v>CJPS6-5</v>
          </cell>
          <cell r="B489">
            <v>0</v>
          </cell>
          <cell r="C489">
            <v>1260555</v>
          </cell>
          <cell r="D489">
            <v>0</v>
          </cell>
          <cell r="E489" t="str">
            <v>CYLINDER-LINEAR SE 006 0005 CARTRIDGE</v>
          </cell>
          <cell r="F489">
            <v>31.266900000000003</v>
          </cell>
        </row>
        <row r="490">
          <cell r="A490" t="str">
            <v>CJ-T010B</v>
          </cell>
          <cell r="B490">
            <v>0</v>
          </cell>
          <cell r="C490">
            <v>91003600</v>
          </cell>
          <cell r="D490">
            <v>0</v>
          </cell>
          <cell r="E490">
            <v>0</v>
          </cell>
          <cell r="F490">
            <v>14.861700000000001</v>
          </cell>
        </row>
        <row r="491">
          <cell r="A491" t="str">
            <v>CJ-T016B</v>
          </cell>
          <cell r="B491">
            <v>0</v>
          </cell>
          <cell r="C491">
            <v>91302030</v>
          </cell>
          <cell r="D491">
            <v>0</v>
          </cell>
          <cell r="E491">
            <v>0</v>
          </cell>
          <cell r="F491">
            <v>14.861700000000001</v>
          </cell>
        </row>
        <row r="492">
          <cell r="A492" t="str">
            <v>CP-F006</v>
          </cell>
          <cell r="B492">
            <v>0</v>
          </cell>
          <cell r="C492">
            <v>1202384</v>
          </cell>
          <cell r="D492">
            <v>0</v>
          </cell>
          <cell r="E492" t="str">
            <v>COLLAR FOR CYLINDER D=6</v>
          </cell>
          <cell r="F492">
            <v>4.3658999999999999</v>
          </cell>
        </row>
        <row r="493">
          <cell r="A493" t="str">
            <v>CP-L006</v>
          </cell>
          <cell r="B493">
            <v>0</v>
          </cell>
          <cell r="C493">
            <v>1202851</v>
          </cell>
          <cell r="D493">
            <v>0</v>
          </cell>
          <cell r="E493" t="str">
            <v>BRACKET-ANGLE CP-L006</v>
          </cell>
          <cell r="F493">
            <v>4.3658999999999999</v>
          </cell>
        </row>
        <row r="494">
          <cell r="A494" t="str">
            <v>CP-L015</v>
          </cell>
          <cell r="B494">
            <v>0</v>
          </cell>
          <cell r="C494">
            <v>1202508</v>
          </cell>
          <cell r="D494">
            <v>0</v>
          </cell>
          <cell r="E494">
            <v>0</v>
          </cell>
          <cell r="F494">
            <v>4.3658999999999999</v>
          </cell>
        </row>
        <row r="495">
          <cell r="A495" t="str">
            <v>CQ2B12-10D</v>
          </cell>
          <cell r="B495">
            <v>0</v>
          </cell>
          <cell r="C495">
            <v>1202262</v>
          </cell>
          <cell r="D495" t="str">
            <v>80.0000.0370</v>
          </cell>
          <cell r="E495" t="str">
            <v>Cylinder</v>
          </cell>
          <cell r="F495">
            <v>49.769999999999996</v>
          </cell>
        </row>
        <row r="496">
          <cell r="A496" t="str">
            <v>CQ2B12-10D-XB6</v>
          </cell>
          <cell r="B496">
            <v>0</v>
          </cell>
          <cell r="C496">
            <v>1202424</v>
          </cell>
          <cell r="D496">
            <v>0</v>
          </cell>
          <cell r="E496" t="str">
            <v>CYLINDER-LINEAR DE 012 0010</v>
          </cell>
          <cell r="F496">
            <v>51.023700000000005</v>
          </cell>
        </row>
        <row r="497">
          <cell r="A497" t="str">
            <v>CQ2B12-10T</v>
          </cell>
          <cell r="B497">
            <v>0</v>
          </cell>
          <cell r="C497" t="str">
            <v>G1004078</v>
          </cell>
          <cell r="D497" t="str">
            <v>80.0000.0536</v>
          </cell>
          <cell r="E497" t="str">
            <v>Cylinder (desoak Jamclearer)</v>
          </cell>
          <cell r="F497">
            <v>44.65</v>
          </cell>
        </row>
        <row r="498">
          <cell r="A498" t="str">
            <v>CQ2B12-15DC</v>
          </cell>
          <cell r="B498">
            <v>0</v>
          </cell>
          <cell r="C498">
            <v>1260477</v>
          </cell>
          <cell r="D498">
            <v>0</v>
          </cell>
          <cell r="E498" t="str">
            <v>CYLINDER-LINEAR OF 012 0015</v>
          </cell>
          <cell r="F498">
            <v>56.3598</v>
          </cell>
        </row>
        <row r="499">
          <cell r="A499" t="str">
            <v>CQ2B12-20D</v>
          </cell>
          <cell r="B499">
            <v>0</v>
          </cell>
          <cell r="C499">
            <v>91011820</v>
          </cell>
          <cell r="D499">
            <v>0</v>
          </cell>
          <cell r="E499" t="str">
            <v>CYLINDER-AIR COMPACT 12X20MM STR DBL ACT</v>
          </cell>
          <cell r="F499">
            <v>56.271599999999999</v>
          </cell>
        </row>
        <row r="500">
          <cell r="A500" t="str">
            <v>CQ2B12-5D</v>
          </cell>
          <cell r="B500">
            <v>0</v>
          </cell>
          <cell r="C500">
            <v>0</v>
          </cell>
          <cell r="D500" t="str">
            <v>80.0000.2417/ 80.0000.2830</v>
          </cell>
          <cell r="E500" t="str">
            <v>Cylinder siehe 80.0000.2417</v>
          </cell>
          <cell r="F500">
            <v>27.477632000000003</v>
          </cell>
        </row>
        <row r="501">
          <cell r="A501" t="str">
            <v>CQ2B12-5T</v>
          </cell>
          <cell r="B501">
            <v>0</v>
          </cell>
          <cell r="C501">
            <v>1260840</v>
          </cell>
          <cell r="D501">
            <v>0</v>
          </cell>
          <cell r="E501">
            <v>0</v>
          </cell>
          <cell r="F501">
            <v>57.418199999999999</v>
          </cell>
        </row>
        <row r="502">
          <cell r="A502" t="str">
            <v>CQ2B16-10D</v>
          </cell>
          <cell r="B502">
            <v>0</v>
          </cell>
          <cell r="C502">
            <v>1202030</v>
          </cell>
          <cell r="D502">
            <v>0</v>
          </cell>
          <cell r="E502" t="str">
            <v>CYLINDER-LINEAR DE 016 0010</v>
          </cell>
          <cell r="F502">
            <v>59.975999999999999</v>
          </cell>
        </row>
        <row r="503">
          <cell r="A503" t="str">
            <v>CQ2B16-15D</v>
          </cell>
          <cell r="B503">
            <v>0</v>
          </cell>
          <cell r="C503">
            <v>1260142</v>
          </cell>
          <cell r="D503">
            <v>0</v>
          </cell>
          <cell r="E503">
            <v>0</v>
          </cell>
          <cell r="F503">
            <v>60.902099999999997</v>
          </cell>
        </row>
        <row r="504">
          <cell r="A504" t="str">
            <v>CQ2B16-25D</v>
          </cell>
          <cell r="B504">
            <v>0</v>
          </cell>
          <cell r="C504">
            <v>1202207</v>
          </cell>
          <cell r="D504">
            <v>0</v>
          </cell>
          <cell r="E504">
            <v>0</v>
          </cell>
          <cell r="F504">
            <v>62.622</v>
          </cell>
        </row>
        <row r="505">
          <cell r="A505" t="str">
            <v>CQ2B16-5D</v>
          </cell>
          <cell r="B505">
            <v>0</v>
          </cell>
          <cell r="C505">
            <v>1202537</v>
          </cell>
          <cell r="D505">
            <v>0</v>
          </cell>
          <cell r="E505" t="str">
            <v>CYLINDER-LINEAR DE 016 0005</v>
          </cell>
          <cell r="F505">
            <v>30.789149999999999</v>
          </cell>
        </row>
        <row r="506">
          <cell r="A506" t="str">
            <v>CQ2B16-5S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28.619135999999997</v>
          </cell>
        </row>
        <row r="507">
          <cell r="A507" t="str">
            <v>CQ2B20-10D</v>
          </cell>
          <cell r="B507">
            <v>0</v>
          </cell>
          <cell r="C507">
            <v>1202401</v>
          </cell>
          <cell r="D507">
            <v>0</v>
          </cell>
          <cell r="E507">
            <v>0</v>
          </cell>
          <cell r="F507">
            <v>66.591000000000008</v>
          </cell>
        </row>
        <row r="508">
          <cell r="A508" t="str">
            <v>CQ2B20-10S</v>
          </cell>
          <cell r="B508">
            <v>0</v>
          </cell>
          <cell r="C508" t="str">
            <v>80.0001.0871</v>
          </cell>
          <cell r="D508">
            <v>0</v>
          </cell>
          <cell r="E508" t="str">
            <v>cylinder</v>
          </cell>
          <cell r="F508">
            <v>38.851903999999998</v>
          </cell>
        </row>
        <row r="509">
          <cell r="A509" t="str">
            <v>CQ2B20-50D</v>
          </cell>
          <cell r="B509">
            <v>0</v>
          </cell>
          <cell r="C509">
            <v>1202134</v>
          </cell>
          <cell r="D509">
            <v>0</v>
          </cell>
          <cell r="E509" t="str">
            <v>CYLINDER-LINEAR DE 020 0050</v>
          </cell>
          <cell r="F509">
            <v>75.2346</v>
          </cell>
        </row>
        <row r="510">
          <cell r="A510" t="str">
            <v>CQ2B20-5D</v>
          </cell>
          <cell r="B510">
            <v>0</v>
          </cell>
          <cell r="C510">
            <v>1202116</v>
          </cell>
          <cell r="D510">
            <v>0</v>
          </cell>
          <cell r="E510" t="str">
            <v>CYLINDER-LINEAR DE 020 0005</v>
          </cell>
          <cell r="F510">
            <v>65.532600000000002</v>
          </cell>
        </row>
        <row r="511">
          <cell r="A511" t="str">
            <v>CQ2B20-5S</v>
          </cell>
          <cell r="B511">
            <v>0</v>
          </cell>
          <cell r="C511">
            <v>1203089</v>
          </cell>
          <cell r="D511">
            <v>0</v>
          </cell>
          <cell r="E511" t="str">
            <v>CYLINDER-LINEAR SE 020 0005</v>
          </cell>
          <cell r="F511">
            <v>65.929500000000004</v>
          </cell>
        </row>
        <row r="512">
          <cell r="A512" t="str">
            <v>CQ2B25-15D</v>
          </cell>
          <cell r="B512">
            <v>0</v>
          </cell>
          <cell r="C512">
            <v>1260506</v>
          </cell>
          <cell r="D512">
            <v>0</v>
          </cell>
          <cell r="E512" t="str">
            <v>CYLINDER-LINEAR DE 025 0015</v>
          </cell>
          <cell r="F512">
            <v>75.807900000000004</v>
          </cell>
        </row>
        <row r="513">
          <cell r="A513" t="str">
            <v>CQ2B25-20-D</v>
          </cell>
          <cell r="B513" t="str">
            <v>CQ2B25-20D</v>
          </cell>
          <cell r="C513">
            <v>1202604</v>
          </cell>
          <cell r="D513">
            <v>0</v>
          </cell>
          <cell r="E513" t="str">
            <v>CYLINDER-LINEAR DE 025 0020</v>
          </cell>
          <cell r="F513">
            <v>76.778099999999995</v>
          </cell>
        </row>
        <row r="514">
          <cell r="A514" t="str">
            <v>CQ2B32-10TZ</v>
          </cell>
          <cell r="B514">
            <v>0</v>
          </cell>
          <cell r="C514">
            <v>1202681</v>
          </cell>
          <cell r="D514">
            <v>0</v>
          </cell>
          <cell r="E514">
            <v>0</v>
          </cell>
          <cell r="F514">
            <v>60.049500000000002</v>
          </cell>
        </row>
        <row r="515">
          <cell r="A515" t="str">
            <v>CQ2B40-30-D</v>
          </cell>
          <cell r="B515" t="str">
            <v xml:space="preserve">CQ2B40-30DCZ </v>
          </cell>
          <cell r="C515">
            <v>1261017</v>
          </cell>
          <cell r="D515">
            <v>0</v>
          </cell>
          <cell r="E515">
            <v>0</v>
          </cell>
          <cell r="F515">
            <v>104.95800000000001</v>
          </cell>
        </row>
        <row r="516">
          <cell r="A516" t="str">
            <v>CQ2KB32-10D</v>
          </cell>
          <cell r="B516">
            <v>0</v>
          </cell>
          <cell r="C516">
            <v>1261746</v>
          </cell>
          <cell r="D516">
            <v>0</v>
          </cell>
          <cell r="E516">
            <v>0</v>
          </cell>
          <cell r="F516">
            <v>147.55860000000001</v>
          </cell>
        </row>
        <row r="517">
          <cell r="A517" t="str">
            <v>CQ2KWB20-10D</v>
          </cell>
          <cell r="B517">
            <v>0</v>
          </cell>
          <cell r="C517">
            <v>1361044</v>
          </cell>
          <cell r="D517">
            <v>0</v>
          </cell>
          <cell r="E517" t="str">
            <v>CYLINDER-LINEAR 020 0010</v>
          </cell>
          <cell r="F517">
            <v>95.476500000000001</v>
          </cell>
        </row>
        <row r="518">
          <cell r="A518" t="str">
            <v>CQ2WL12-5D</v>
          </cell>
          <cell r="B518">
            <v>0</v>
          </cell>
          <cell r="C518">
            <v>91303550</v>
          </cell>
          <cell r="D518">
            <v>0</v>
          </cell>
          <cell r="E518">
            <v>0</v>
          </cell>
          <cell r="F518">
            <v>59.182199999999995</v>
          </cell>
        </row>
        <row r="519">
          <cell r="A519" t="str">
            <v>CQ-D063</v>
          </cell>
          <cell r="B519">
            <v>0</v>
          </cell>
          <cell r="C519">
            <v>7025646</v>
          </cell>
          <cell r="D519">
            <v>0</v>
          </cell>
          <cell r="E519">
            <v>0</v>
          </cell>
          <cell r="F519">
            <v>47.892599999999995</v>
          </cell>
        </row>
        <row r="520">
          <cell r="A520" t="str">
            <v>CQSB16-10S</v>
          </cell>
          <cell r="B520">
            <v>0</v>
          </cell>
          <cell r="C520">
            <v>0</v>
          </cell>
          <cell r="D520" t="str">
            <v>80.0000.0271</v>
          </cell>
          <cell r="E520" t="str">
            <v>Cylinder</v>
          </cell>
          <cell r="F520">
            <v>41.624128000000006</v>
          </cell>
        </row>
        <row r="521">
          <cell r="A521" t="str">
            <v>CQSB25-15D</v>
          </cell>
          <cell r="B521">
            <v>0</v>
          </cell>
          <cell r="C521">
            <v>1261751</v>
          </cell>
          <cell r="D521">
            <v>0</v>
          </cell>
          <cell r="E521" t="str">
            <v>CYLINDER-LINEAR DE 025 0015</v>
          </cell>
          <cell r="F521">
            <v>79.049249999999986</v>
          </cell>
        </row>
        <row r="522">
          <cell r="A522" t="str">
            <v>CRB1BW10-180S</v>
          </cell>
          <cell r="B522" t="str">
            <v>CRB2BW10-180SZ</v>
          </cell>
          <cell r="C522">
            <v>1202028</v>
          </cell>
          <cell r="D522">
            <v>0</v>
          </cell>
          <cell r="E522" t="str">
            <v>CYLINDER-ROTARY DE 010 180</v>
          </cell>
          <cell r="F522">
            <v>208.94579999999999</v>
          </cell>
        </row>
        <row r="523">
          <cell r="A523" t="str">
            <v>CRB1BW10-90S</v>
          </cell>
          <cell r="B523" t="str">
            <v>CRB2BW10-90SZ</v>
          </cell>
          <cell r="C523">
            <v>1202027</v>
          </cell>
          <cell r="D523">
            <v>0</v>
          </cell>
          <cell r="E523" t="str">
            <v>CYLINDER-ROTARY DE 010 090</v>
          </cell>
          <cell r="F523">
            <v>198.50291999999999</v>
          </cell>
        </row>
        <row r="524">
          <cell r="A524" t="str">
            <v>CRB2BW10-180SZ</v>
          </cell>
          <cell r="B524">
            <v>0</v>
          </cell>
          <cell r="C524">
            <v>4002057</v>
          </cell>
          <cell r="D524">
            <v>0</v>
          </cell>
          <cell r="E524" t="str">
            <v>CYLINDER-ROTARY DE 010 180</v>
          </cell>
          <cell r="F524">
            <v>238.58099999999999</v>
          </cell>
        </row>
        <row r="525">
          <cell r="A525" t="str">
            <v>CRB2BW10-270SZ</v>
          </cell>
          <cell r="B525">
            <v>0</v>
          </cell>
          <cell r="C525">
            <v>1202031</v>
          </cell>
          <cell r="D525">
            <v>0</v>
          </cell>
          <cell r="E525" t="str">
            <v>CYLINDER-ROTARY DE 010 270</v>
          </cell>
          <cell r="F525">
            <v>238.58099999999999</v>
          </cell>
        </row>
        <row r="526">
          <cell r="A526" t="str">
            <v>CRB2BW10-90SZ</v>
          </cell>
          <cell r="B526">
            <v>0</v>
          </cell>
          <cell r="C526">
            <v>4002058</v>
          </cell>
          <cell r="D526">
            <v>0</v>
          </cell>
          <cell r="E526" t="str">
            <v>CYLINDER-ROTARY DE 010 090</v>
          </cell>
          <cell r="F526">
            <v>241.864</v>
          </cell>
        </row>
        <row r="527">
          <cell r="A527" t="str">
            <v>CRB2BW15-180S</v>
          </cell>
          <cell r="B527">
            <v>0</v>
          </cell>
          <cell r="C527">
            <v>7025886</v>
          </cell>
          <cell r="D527">
            <v>0</v>
          </cell>
          <cell r="E527">
            <v>0</v>
          </cell>
          <cell r="F527">
            <v>122.55</v>
          </cell>
        </row>
        <row r="528">
          <cell r="A528" t="str">
            <v>CRB2BW20-180SZ</v>
          </cell>
          <cell r="B528">
            <v>0</v>
          </cell>
          <cell r="C528">
            <v>1202511</v>
          </cell>
          <cell r="D528">
            <v>0</v>
          </cell>
          <cell r="E528" t="str">
            <v>CYLINDER-ROTARY DE 020 180</v>
          </cell>
          <cell r="F528">
            <v>201.38706000000002</v>
          </cell>
        </row>
        <row r="529">
          <cell r="A529" t="str">
            <v>CRB2BW20-270SZ</v>
          </cell>
          <cell r="B529">
            <v>0</v>
          </cell>
          <cell r="C529">
            <v>1202032</v>
          </cell>
          <cell r="D529">
            <v>0</v>
          </cell>
          <cell r="E529" t="str">
            <v>CYLINDER-ROTARY DE 020 270DEG</v>
          </cell>
          <cell r="F529">
            <v>241.864</v>
          </cell>
        </row>
        <row r="530">
          <cell r="A530" t="str">
            <v>CRB2BW30-180S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476.61868799999996</v>
          </cell>
        </row>
        <row r="531">
          <cell r="A531" t="str">
            <v>CU16-15T</v>
          </cell>
          <cell r="B531">
            <v>0</v>
          </cell>
          <cell r="C531">
            <v>0</v>
          </cell>
          <cell r="D531" t="str">
            <v>80.0001.0136</v>
          </cell>
          <cell r="E531" t="str">
            <v>Cylinder</v>
          </cell>
          <cell r="F531">
            <v>77.664999999999992</v>
          </cell>
        </row>
        <row r="532">
          <cell r="A532" t="str">
            <v>CU16-30D</v>
          </cell>
          <cell r="B532">
            <v>0</v>
          </cell>
          <cell r="C532" t="str">
            <v>D1003528</v>
          </cell>
          <cell r="D532">
            <v>3603099</v>
          </cell>
          <cell r="E532" t="str">
            <v>CYLINDER, 30MM STROKE</v>
          </cell>
          <cell r="F532">
            <v>86.337999999999994</v>
          </cell>
        </row>
        <row r="533">
          <cell r="A533" t="str">
            <v>CU16-5D</v>
          </cell>
          <cell r="B533">
            <v>0</v>
          </cell>
          <cell r="C533">
            <v>1202026</v>
          </cell>
          <cell r="D533">
            <v>0</v>
          </cell>
          <cell r="E533" t="str">
            <v>CYLINDER-LINEAR DE 016 0005</v>
          </cell>
          <cell r="F533">
            <v>75.1464</v>
          </cell>
        </row>
        <row r="534">
          <cell r="A534" t="str">
            <v>CU6-10D</v>
          </cell>
          <cell r="B534">
            <v>0</v>
          </cell>
          <cell r="C534">
            <v>97004590</v>
          </cell>
          <cell r="D534">
            <v>0</v>
          </cell>
          <cell r="E534">
            <v>0</v>
          </cell>
          <cell r="F534">
            <v>55.566000000000003</v>
          </cell>
        </row>
        <row r="535">
          <cell r="A535" t="str">
            <v>CUJB10-10D</v>
          </cell>
          <cell r="B535">
            <v>0</v>
          </cell>
          <cell r="C535">
            <v>1261069</v>
          </cell>
          <cell r="D535">
            <v>0</v>
          </cell>
          <cell r="E535">
            <v>0</v>
          </cell>
          <cell r="F535">
            <v>52.126200000000004</v>
          </cell>
        </row>
        <row r="536">
          <cell r="A536" t="str">
            <v>CUJB10-15D</v>
          </cell>
          <cell r="B536">
            <v>0</v>
          </cell>
          <cell r="C536">
            <v>1261022</v>
          </cell>
          <cell r="D536" t="str">
            <v>80.0000.0559</v>
          </cell>
          <cell r="E536" t="str">
            <v>Cylinder</v>
          </cell>
          <cell r="F536">
            <v>46.452000000000005</v>
          </cell>
        </row>
        <row r="537">
          <cell r="A537" t="str">
            <v>CUJB10-30D</v>
          </cell>
          <cell r="B537">
            <v>0</v>
          </cell>
          <cell r="C537">
            <v>0</v>
          </cell>
          <cell r="D537" t="str">
            <v>80.0000.0378</v>
          </cell>
          <cell r="E537" t="str">
            <v>Cylinder</v>
          </cell>
          <cell r="F537">
            <v>56.422912000000004</v>
          </cell>
        </row>
        <row r="538">
          <cell r="A538" t="str">
            <v>CUJB10-4D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55.362943999999999</v>
          </cell>
        </row>
        <row r="539">
          <cell r="A539" t="str">
            <v>CUJB10-4DM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32.859008000000003</v>
          </cell>
        </row>
        <row r="540">
          <cell r="A540" t="str">
            <v>CUJB10-4S</v>
          </cell>
          <cell r="B540">
            <v>0</v>
          </cell>
          <cell r="C540">
            <v>3604033</v>
          </cell>
          <cell r="D540" t="str">
            <v>80.0001.0110</v>
          </cell>
          <cell r="E540" t="str">
            <v>Cylinder</v>
          </cell>
          <cell r="F540">
            <v>48.651119999999999</v>
          </cell>
        </row>
        <row r="541">
          <cell r="A541" t="str">
            <v>CUJB10-6D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55.362943999999999</v>
          </cell>
        </row>
        <row r="542">
          <cell r="A542" t="str">
            <v>CUJB10-6S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49.533120000000004</v>
          </cell>
        </row>
        <row r="543">
          <cell r="A543" t="str">
            <v>CUJB10-8D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48.391615999999999</v>
          </cell>
        </row>
        <row r="544">
          <cell r="A544" t="str">
            <v>CUJB10-8S</v>
          </cell>
          <cell r="B544">
            <v>0</v>
          </cell>
          <cell r="C544">
            <v>0</v>
          </cell>
          <cell r="D544" t="str">
            <v>3603987/  80.0001.1447</v>
          </cell>
          <cell r="E544" t="str">
            <v>AIR CYL, 10MM BORE, 8MM STROKE</v>
          </cell>
          <cell r="F544">
            <v>48.803999999999995</v>
          </cell>
        </row>
        <row r="545">
          <cell r="A545" t="str">
            <v>CUJB4-4D</v>
          </cell>
          <cell r="B545">
            <v>0</v>
          </cell>
          <cell r="C545">
            <v>1261858</v>
          </cell>
          <cell r="D545" t="str">
            <v>80.0001.0796</v>
          </cell>
          <cell r="E545" t="str">
            <v>Cylinder</v>
          </cell>
          <cell r="F545">
            <v>60.23</v>
          </cell>
        </row>
        <row r="546">
          <cell r="A546" t="str">
            <v>CUJB4-4DM</v>
          </cell>
          <cell r="B546">
            <v>0</v>
          </cell>
          <cell r="C546">
            <v>0</v>
          </cell>
          <cell r="D546" t="str">
            <v>80.0000.7984</v>
          </cell>
          <cell r="E546" t="str">
            <v>Cylinder</v>
          </cell>
          <cell r="F546">
            <v>62.13</v>
          </cell>
        </row>
        <row r="547">
          <cell r="A547" t="str">
            <v>CUJB4-4S</v>
          </cell>
          <cell r="B547">
            <v>0</v>
          </cell>
          <cell r="C547">
            <v>0</v>
          </cell>
          <cell r="D547" t="str">
            <v>80.0001.0254</v>
          </cell>
          <cell r="E547" t="str">
            <v>Cylinder</v>
          </cell>
          <cell r="F547">
            <v>60.23</v>
          </cell>
        </row>
        <row r="548">
          <cell r="A548" t="str">
            <v>CUJB4-4SM</v>
          </cell>
          <cell r="B548">
            <v>0</v>
          </cell>
          <cell r="C548">
            <v>0</v>
          </cell>
          <cell r="D548" t="str">
            <v>80.0001.0128</v>
          </cell>
          <cell r="E548" t="str">
            <v>Cylinder</v>
          </cell>
          <cell r="F548">
            <v>62.13</v>
          </cell>
        </row>
        <row r="549">
          <cell r="A549" t="str">
            <v>CUJB4-6DM</v>
          </cell>
          <cell r="B549">
            <v>0</v>
          </cell>
          <cell r="C549">
            <v>0</v>
          </cell>
          <cell r="D549" t="str">
            <v>80.0001.0784</v>
          </cell>
          <cell r="E549" t="str">
            <v>Cylinder</v>
          </cell>
          <cell r="F549">
            <v>62.13</v>
          </cell>
        </row>
        <row r="550">
          <cell r="A550" t="str">
            <v>CUJB6-15D</v>
          </cell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45.942399999999999</v>
          </cell>
        </row>
        <row r="551">
          <cell r="A551" t="str">
            <v>CUJB6-15DM</v>
          </cell>
          <cell r="B551">
            <v>0</v>
          </cell>
          <cell r="C551" t="str">
            <v>D1002136</v>
          </cell>
          <cell r="D551">
            <v>3603202</v>
          </cell>
          <cell r="E551" t="str">
            <v>CYL  6MM BORE X 15MM STROKE</v>
          </cell>
          <cell r="F551">
            <v>59.192</v>
          </cell>
        </row>
        <row r="552">
          <cell r="A552" t="str">
            <v>CUJB6-4D</v>
          </cell>
          <cell r="B552">
            <v>0</v>
          </cell>
          <cell r="C552">
            <v>0</v>
          </cell>
          <cell r="D552" t="str">
            <v>80.0000.0070</v>
          </cell>
          <cell r="E552" t="str">
            <v>Cylinder</v>
          </cell>
          <cell r="F552">
            <v>45.497088000000005</v>
          </cell>
        </row>
        <row r="553">
          <cell r="A553" t="str">
            <v>CUJB6-4DM</v>
          </cell>
          <cell r="B553">
            <v>0</v>
          </cell>
          <cell r="C553">
            <v>0</v>
          </cell>
          <cell r="D553" t="str">
            <v>80.0000.0544</v>
          </cell>
          <cell r="E553" t="str">
            <v>Cylinder</v>
          </cell>
          <cell r="F553">
            <v>48.024703999999993</v>
          </cell>
        </row>
        <row r="554">
          <cell r="A554" t="str">
            <v>CUJB6-4S</v>
          </cell>
          <cell r="B554">
            <v>0</v>
          </cell>
          <cell r="C554">
            <v>0</v>
          </cell>
          <cell r="D554" t="str">
            <v>80.0000.0155</v>
          </cell>
          <cell r="E554" t="str">
            <v>Cylinder</v>
          </cell>
          <cell r="F554">
            <v>45.497088000000005</v>
          </cell>
        </row>
        <row r="555">
          <cell r="A555" t="str">
            <v>CUJB6-4SM</v>
          </cell>
          <cell r="B555">
            <v>0</v>
          </cell>
          <cell r="C555">
            <v>0</v>
          </cell>
          <cell r="D555" t="str">
            <v>80.0001.0151</v>
          </cell>
          <cell r="E555" t="str">
            <v>Cylinder</v>
          </cell>
          <cell r="F555">
            <v>46.923967999999995</v>
          </cell>
        </row>
        <row r="556">
          <cell r="A556" t="str">
            <v>CUJB6-6D</v>
          </cell>
          <cell r="B556">
            <v>0</v>
          </cell>
          <cell r="C556">
            <v>0</v>
          </cell>
          <cell r="D556" t="str">
            <v>80.0000.0481</v>
          </cell>
          <cell r="E556" t="str">
            <v>Cylinder</v>
          </cell>
          <cell r="F556">
            <v>45.497088000000005</v>
          </cell>
        </row>
        <row r="557">
          <cell r="A557" t="str">
            <v>CUJB6-6DM</v>
          </cell>
          <cell r="B557">
            <v>0</v>
          </cell>
          <cell r="C557" t="str">
            <v>80.0000.9677</v>
          </cell>
          <cell r="D557">
            <v>0</v>
          </cell>
          <cell r="E557">
            <v>0</v>
          </cell>
          <cell r="F557">
            <v>51.326912</v>
          </cell>
        </row>
        <row r="558">
          <cell r="A558" t="str">
            <v>CUJB6-6S</v>
          </cell>
          <cell r="B558">
            <v>0</v>
          </cell>
          <cell r="C558">
            <v>0</v>
          </cell>
          <cell r="D558" t="str">
            <v>80.0001.0133</v>
          </cell>
          <cell r="E558" t="str">
            <v>Cylinder</v>
          </cell>
          <cell r="F558">
            <v>45.497088000000005</v>
          </cell>
        </row>
        <row r="559">
          <cell r="A559" t="str">
            <v>CUJB6-6SM</v>
          </cell>
          <cell r="B559">
            <v>0</v>
          </cell>
          <cell r="C559" t="str">
            <v>80.0000.9436</v>
          </cell>
          <cell r="D559">
            <v>0</v>
          </cell>
          <cell r="E559">
            <v>0</v>
          </cell>
          <cell r="F559">
            <v>46.923967999999995</v>
          </cell>
        </row>
        <row r="560">
          <cell r="A560" t="str">
            <v>CUJB6-8DM</v>
          </cell>
          <cell r="B560">
            <v>0</v>
          </cell>
          <cell r="C560">
            <v>0</v>
          </cell>
          <cell r="D560" t="str">
            <v>80.0000.8613</v>
          </cell>
          <cell r="E560" t="str">
            <v>Cylinder</v>
          </cell>
          <cell r="F560">
            <v>46.923967999999995</v>
          </cell>
        </row>
        <row r="561">
          <cell r="A561" t="str">
            <v>CUJB6-8S</v>
          </cell>
          <cell r="B561">
            <v>0</v>
          </cell>
          <cell r="C561">
            <v>0</v>
          </cell>
          <cell r="D561" t="str">
            <v>3604505/ 80.0000.8343</v>
          </cell>
          <cell r="E561" t="str">
            <v>AIR CYL, 6MM BORE, 8MM STROKE</v>
          </cell>
          <cell r="F561">
            <v>45.497088000000005</v>
          </cell>
        </row>
        <row r="562">
          <cell r="A562" t="str">
            <v>CUJB6-8SM</v>
          </cell>
          <cell r="B562">
            <v>0</v>
          </cell>
          <cell r="C562">
            <v>0</v>
          </cell>
          <cell r="D562" t="str">
            <v>80.0000.0132</v>
          </cell>
          <cell r="E562" t="str">
            <v>Cylinder  CUJB6-8SM</v>
          </cell>
          <cell r="F562">
            <v>46.923967999999995</v>
          </cell>
        </row>
        <row r="563">
          <cell r="A563" t="str">
            <v>CUJB8-10S</v>
          </cell>
          <cell r="B563">
            <v>0</v>
          </cell>
          <cell r="C563" t="str">
            <v>D1000699</v>
          </cell>
          <cell r="D563" t="str">
            <v>80.0000.7967</v>
          </cell>
          <cell r="E563" t="str">
            <v>Cylinder</v>
          </cell>
          <cell r="F563">
            <v>46.011000000000003</v>
          </cell>
        </row>
        <row r="564">
          <cell r="A564" t="str">
            <v>CUJB8-20D</v>
          </cell>
          <cell r="B564">
            <v>0</v>
          </cell>
          <cell r="C564">
            <v>0</v>
          </cell>
          <cell r="D564" t="str">
            <v>80.0000.0685</v>
          </cell>
          <cell r="E564" t="str">
            <v>Pneumatic Cylinder</v>
          </cell>
          <cell r="F564">
            <v>47.657400000000003</v>
          </cell>
        </row>
        <row r="565">
          <cell r="A565" t="str">
            <v>CUJB8-4DM</v>
          </cell>
          <cell r="B565">
            <v>0</v>
          </cell>
          <cell r="C565">
            <v>4001570</v>
          </cell>
          <cell r="D565">
            <v>0</v>
          </cell>
          <cell r="E565" t="str">
            <v>CYLINDER-AIR-8X4MM DBL ACTING</v>
          </cell>
          <cell r="F565">
            <v>63.161000000000001</v>
          </cell>
        </row>
        <row r="566">
          <cell r="A566" t="str">
            <v>CUJB8-4S</v>
          </cell>
          <cell r="B566">
            <v>0</v>
          </cell>
          <cell r="C566">
            <v>0</v>
          </cell>
          <cell r="D566" t="str">
            <v>80.0000.1012</v>
          </cell>
          <cell r="E566">
            <v>0</v>
          </cell>
          <cell r="F566">
            <v>49.533120000000004</v>
          </cell>
        </row>
        <row r="567">
          <cell r="A567" t="str">
            <v>CUJB8-6D</v>
          </cell>
          <cell r="B567">
            <v>0</v>
          </cell>
          <cell r="C567">
            <v>0</v>
          </cell>
          <cell r="D567" t="str">
            <v>3604655/  80.0000.8342</v>
          </cell>
          <cell r="E567" t="str">
            <v>CYL,FREE MT, DBL-ACTING</v>
          </cell>
          <cell r="F567">
            <v>48.391615999999999</v>
          </cell>
        </row>
        <row r="568">
          <cell r="A568" t="str">
            <v>CUJB8-6S</v>
          </cell>
          <cell r="B568">
            <v>0</v>
          </cell>
          <cell r="C568">
            <v>0</v>
          </cell>
          <cell r="D568" t="str">
            <v>80.0001.0290</v>
          </cell>
          <cell r="E568" t="str">
            <v>Cylinder</v>
          </cell>
          <cell r="F568">
            <v>48.391615999999999</v>
          </cell>
        </row>
        <row r="569">
          <cell r="A569" t="str">
            <v>CXSJ M6-10-M9P 2</v>
          </cell>
          <cell r="B569" t="str">
            <v>CXSJM6-10-M9P</v>
          </cell>
          <cell r="C569">
            <v>1262123</v>
          </cell>
          <cell r="D569">
            <v>0</v>
          </cell>
          <cell r="E569" t="str">
            <v>CYLINDER-LINEAR BI-ROD C=10 2 SENSOR</v>
          </cell>
          <cell r="F569">
            <v>252.49699999999999</v>
          </cell>
        </row>
        <row r="570">
          <cell r="A570" t="str">
            <v>CXSJL10P-40</v>
          </cell>
          <cell r="B570">
            <v>0</v>
          </cell>
          <cell r="C570">
            <v>0</v>
          </cell>
          <cell r="D570" t="str">
            <v>80.0000.1020</v>
          </cell>
          <cell r="E570" t="str">
            <v>Cylinder</v>
          </cell>
          <cell r="F570">
            <v>566.797504</v>
          </cell>
        </row>
        <row r="571">
          <cell r="A571" t="str">
            <v>CXSJM6P-50</v>
          </cell>
          <cell r="B571">
            <v>0</v>
          </cell>
          <cell r="C571">
            <v>4001703</v>
          </cell>
          <cell r="D571">
            <v>0</v>
          </cell>
          <cell r="E571" t="str">
            <v>CYLINDER-LINEAR DE 006 0050</v>
          </cell>
          <cell r="F571">
            <v>166.06099999999998</v>
          </cell>
        </row>
        <row r="572">
          <cell r="A572" t="str">
            <v>CXSL10-20</v>
          </cell>
          <cell r="B572">
            <v>0</v>
          </cell>
          <cell r="C572">
            <v>1250311</v>
          </cell>
          <cell r="D572">
            <v>0</v>
          </cell>
          <cell r="E572" t="str">
            <v>CYLINDER-LINEAR DE 010 0020</v>
          </cell>
          <cell r="F572">
            <v>265.87889999999999</v>
          </cell>
        </row>
        <row r="573">
          <cell r="A573" t="str">
            <v>CXSL10-20-Y59AL</v>
          </cell>
          <cell r="B573">
            <v>0</v>
          </cell>
          <cell r="C573">
            <v>91004840</v>
          </cell>
          <cell r="D573">
            <v>0</v>
          </cell>
          <cell r="E573" t="str">
            <v>TIGE DOUBLE VERRIN 10X20MM STR</v>
          </cell>
          <cell r="F573">
            <v>439.57900000000001</v>
          </cell>
        </row>
        <row r="574">
          <cell r="A574" t="str">
            <v>CXSL10-30</v>
          </cell>
          <cell r="B574">
            <v>0</v>
          </cell>
          <cell r="C574">
            <v>1261840</v>
          </cell>
          <cell r="D574">
            <v>0</v>
          </cell>
          <cell r="E574">
            <v>0</v>
          </cell>
          <cell r="F574">
            <v>271.74420000000003</v>
          </cell>
        </row>
        <row r="575">
          <cell r="A575" t="str">
            <v>CXSL15-10</v>
          </cell>
          <cell r="B575">
            <v>0</v>
          </cell>
          <cell r="C575">
            <v>1260503</v>
          </cell>
          <cell r="D575">
            <v>0</v>
          </cell>
          <cell r="E575">
            <v>0</v>
          </cell>
          <cell r="F575">
            <v>281.97540000000004</v>
          </cell>
        </row>
        <row r="576">
          <cell r="A576" t="str">
            <v>CXSL15-100</v>
          </cell>
          <cell r="B576">
            <v>0</v>
          </cell>
          <cell r="C576">
            <v>91300310</v>
          </cell>
          <cell r="D576">
            <v>0</v>
          </cell>
          <cell r="E576" t="str">
            <v>CYLINDER-DUAL ROD 15X100MM STR</v>
          </cell>
          <cell r="F576">
            <v>387.19800000000004</v>
          </cell>
        </row>
        <row r="577">
          <cell r="A577" t="str">
            <v>CXSL15-20-Y59AL</v>
          </cell>
          <cell r="B577">
            <v>0</v>
          </cell>
          <cell r="C577">
            <v>1250290</v>
          </cell>
          <cell r="D577">
            <v>0</v>
          </cell>
          <cell r="E577" t="str">
            <v>CYLINDER-LINEAR DE 015 0020</v>
          </cell>
          <cell r="F577">
            <v>419.30279999999999</v>
          </cell>
        </row>
        <row r="578">
          <cell r="A578" t="str">
            <v>CXSL20-100</v>
          </cell>
          <cell r="B578">
            <v>0</v>
          </cell>
          <cell r="C578">
            <v>1250306</v>
          </cell>
          <cell r="D578">
            <v>0</v>
          </cell>
          <cell r="E578" t="str">
            <v>CYLINDER-LINEAR DE 020 0100</v>
          </cell>
          <cell r="F578">
            <v>404.70570000000004</v>
          </cell>
        </row>
        <row r="579">
          <cell r="A579" t="str">
            <v>CXSL20-20</v>
          </cell>
          <cell r="B579">
            <v>0</v>
          </cell>
          <cell r="C579">
            <v>1360381</v>
          </cell>
          <cell r="D579">
            <v>0</v>
          </cell>
          <cell r="E579">
            <v>0</v>
          </cell>
          <cell r="F579">
            <v>311.21370000000007</v>
          </cell>
        </row>
        <row r="580">
          <cell r="A580" t="str">
            <v>CXSL20-30-Y59A</v>
          </cell>
          <cell r="B580">
            <v>0</v>
          </cell>
          <cell r="C580">
            <v>91300320</v>
          </cell>
          <cell r="D580">
            <v>0</v>
          </cell>
          <cell r="E580" t="str">
            <v>CYLINDER-DUAL ROD 20X30MM STR STANDARD</v>
          </cell>
          <cell r="F580">
            <v>436.8546</v>
          </cell>
        </row>
        <row r="581">
          <cell r="A581" t="str">
            <v>CXSL20-50</v>
          </cell>
          <cell r="B581">
            <v>0</v>
          </cell>
          <cell r="C581">
            <v>1250307</v>
          </cell>
          <cell r="D581">
            <v>0</v>
          </cell>
          <cell r="E581" t="str">
            <v>CYLINDER-LINEAR DE 020 0050</v>
          </cell>
          <cell r="F581">
            <v>346.27320000000003</v>
          </cell>
        </row>
        <row r="582">
          <cell r="A582" t="str">
            <v>CXSL20-60</v>
          </cell>
          <cell r="B582">
            <v>0</v>
          </cell>
          <cell r="C582">
            <v>4000990</v>
          </cell>
          <cell r="D582">
            <v>0</v>
          </cell>
          <cell r="E582" t="str">
            <v>CYLINDER-LINEAR DE 020 0060</v>
          </cell>
          <cell r="F582">
            <v>375.51150000000001</v>
          </cell>
        </row>
        <row r="583">
          <cell r="A583" t="str">
            <v>CXSM06-40</v>
          </cell>
          <cell r="B583" t="str">
            <v>CXSM6-40</v>
          </cell>
          <cell r="C583">
            <v>1260279</v>
          </cell>
          <cell r="D583">
            <v>0</v>
          </cell>
          <cell r="E583">
            <v>0</v>
          </cell>
          <cell r="F583">
            <v>181.1628</v>
          </cell>
        </row>
        <row r="584">
          <cell r="A584" t="str">
            <v>CXSM10-10</v>
          </cell>
          <cell r="B584">
            <v>0</v>
          </cell>
          <cell r="C584">
            <v>1250119</v>
          </cell>
          <cell r="D584">
            <v>0</v>
          </cell>
          <cell r="E584" t="str">
            <v>CYLINDER-LINEAR DE 010 0010</v>
          </cell>
          <cell r="F584">
            <v>185.5728</v>
          </cell>
        </row>
        <row r="585">
          <cell r="A585" t="str">
            <v>CXSM10-20</v>
          </cell>
          <cell r="B585">
            <v>0</v>
          </cell>
          <cell r="C585">
            <v>1250353</v>
          </cell>
          <cell r="D585">
            <v>0</v>
          </cell>
          <cell r="E585" t="str">
            <v>CYLINDER-LINEAR DE 010 0020</v>
          </cell>
          <cell r="F585">
            <v>143.64472500000002</v>
          </cell>
        </row>
        <row r="586">
          <cell r="A586" t="str">
            <v>CXSM10-35</v>
          </cell>
          <cell r="B586">
            <v>0</v>
          </cell>
          <cell r="C586">
            <v>4001778</v>
          </cell>
          <cell r="D586">
            <v>0</v>
          </cell>
          <cell r="E586" t="str">
            <v>TWIN ROD CYLINDER</v>
          </cell>
          <cell r="F586">
            <v>155.70974999999999</v>
          </cell>
        </row>
        <row r="587">
          <cell r="A587" t="str">
            <v>CXSM10-50</v>
          </cell>
          <cell r="B587">
            <v>0</v>
          </cell>
          <cell r="C587">
            <v>1250132</v>
          </cell>
          <cell r="D587">
            <v>0</v>
          </cell>
          <cell r="E587">
            <v>0</v>
          </cell>
          <cell r="F587">
            <v>208.94579999999999</v>
          </cell>
        </row>
        <row r="588">
          <cell r="A588" t="str">
            <v>CXSM15-10</v>
          </cell>
          <cell r="B588">
            <v>0</v>
          </cell>
          <cell r="C588">
            <v>1250326</v>
          </cell>
          <cell r="D588">
            <v>0</v>
          </cell>
          <cell r="E588" t="str">
            <v>CYLINDER-LINEAR DE 015 0010</v>
          </cell>
          <cell r="F588">
            <v>207.44640000000001</v>
          </cell>
        </row>
        <row r="589">
          <cell r="A589" t="str">
            <v>CXSM15-20</v>
          </cell>
          <cell r="B589">
            <v>0</v>
          </cell>
          <cell r="C589">
            <v>1250359</v>
          </cell>
          <cell r="D589">
            <v>0</v>
          </cell>
          <cell r="E589" t="str">
            <v>CYLINDER-LINEAR DE 015 0020</v>
          </cell>
          <cell r="F589">
            <v>219.13289999999998</v>
          </cell>
        </row>
        <row r="590">
          <cell r="A590" t="str">
            <v>CXSM15-30</v>
          </cell>
          <cell r="B590">
            <v>0</v>
          </cell>
          <cell r="C590">
            <v>1250258</v>
          </cell>
          <cell r="D590">
            <v>0</v>
          </cell>
          <cell r="E590" t="str">
            <v>CYLINDER-LINEAR DE 015 0030</v>
          </cell>
          <cell r="F590">
            <v>230.8194</v>
          </cell>
        </row>
        <row r="591">
          <cell r="A591" t="str">
            <v>CXSM15-40</v>
          </cell>
          <cell r="B591">
            <v>0</v>
          </cell>
          <cell r="C591">
            <v>1250175</v>
          </cell>
          <cell r="D591">
            <v>0</v>
          </cell>
          <cell r="E591" t="str">
            <v>CYLINDER-LINEAR DE 015 0040</v>
          </cell>
          <cell r="F591">
            <v>242.50589999999997</v>
          </cell>
        </row>
        <row r="592">
          <cell r="A592" t="str">
            <v>CXSM15-50</v>
          </cell>
          <cell r="B592">
            <v>0</v>
          </cell>
          <cell r="C592">
            <v>1250176</v>
          </cell>
          <cell r="D592">
            <v>0</v>
          </cell>
          <cell r="E592" t="str">
            <v>CYLINDER-LINEAR DE 015 0050</v>
          </cell>
          <cell r="F592">
            <v>254.19239999999999</v>
          </cell>
        </row>
        <row r="593">
          <cell r="A593" t="str">
            <v>CXSM20-10</v>
          </cell>
          <cell r="B593">
            <v>0</v>
          </cell>
          <cell r="C593">
            <v>1250117</v>
          </cell>
          <cell r="D593">
            <v>0</v>
          </cell>
          <cell r="E593">
            <v>0</v>
          </cell>
          <cell r="F593">
            <v>224.9982</v>
          </cell>
        </row>
        <row r="594">
          <cell r="A594" t="str">
            <v>CXSM20-100</v>
          </cell>
          <cell r="B594">
            <v>0</v>
          </cell>
          <cell r="C594">
            <v>1260550</v>
          </cell>
          <cell r="D594">
            <v>0</v>
          </cell>
          <cell r="E594" t="str">
            <v>CYLINDER-LINEAR DE 020 0100</v>
          </cell>
          <cell r="F594">
            <v>363.19878000000006</v>
          </cell>
        </row>
        <row r="595">
          <cell r="A595" t="str">
            <v>CXSM20-10-Y59AL</v>
          </cell>
          <cell r="B595">
            <v>0</v>
          </cell>
          <cell r="C595">
            <v>91008340</v>
          </cell>
          <cell r="D595">
            <v>0</v>
          </cell>
          <cell r="E595" t="str">
            <v>CYLINDER-DUAL ROD 20X10MM STR SS SWITCH</v>
          </cell>
          <cell r="F595">
            <v>350.63909999999998</v>
          </cell>
        </row>
        <row r="596">
          <cell r="A596" t="str">
            <v>CXSM20-20</v>
          </cell>
          <cell r="B596">
            <v>0</v>
          </cell>
          <cell r="C596">
            <v>1250120</v>
          </cell>
          <cell r="D596">
            <v>0</v>
          </cell>
          <cell r="E596" t="str">
            <v>CYLINDER-LINEAR DE 020 0020</v>
          </cell>
          <cell r="F596">
            <v>236.68470000000002</v>
          </cell>
        </row>
        <row r="597">
          <cell r="A597" t="str">
            <v>CXSM20-20-Y59AL</v>
          </cell>
          <cell r="B597">
            <v>0</v>
          </cell>
          <cell r="C597">
            <v>91300700</v>
          </cell>
          <cell r="D597">
            <v>0</v>
          </cell>
          <cell r="E597" t="str">
            <v>CYLINDER-DUAL ROD 20X20MM STR SS SWITCH</v>
          </cell>
          <cell r="F597">
            <v>362.32560000000001</v>
          </cell>
        </row>
        <row r="598">
          <cell r="A598" t="str">
            <v>CXSM20-40</v>
          </cell>
          <cell r="B598">
            <v>0</v>
          </cell>
          <cell r="C598">
            <v>1202619</v>
          </cell>
          <cell r="D598">
            <v>0</v>
          </cell>
          <cell r="E598">
            <v>0</v>
          </cell>
          <cell r="F598">
            <v>260.05770000000001</v>
          </cell>
        </row>
        <row r="599">
          <cell r="A599" t="str">
            <v>CXSM20-50</v>
          </cell>
          <cell r="B599">
            <v>0</v>
          </cell>
          <cell r="C599">
            <v>1250136</v>
          </cell>
          <cell r="D599">
            <v>0</v>
          </cell>
          <cell r="E599" t="str">
            <v>CYLINDER-LINEAR DE 020 0050</v>
          </cell>
          <cell r="F599">
            <v>271.74420000000003</v>
          </cell>
        </row>
        <row r="600">
          <cell r="A600" t="str">
            <v>CXSM20-75</v>
          </cell>
          <cell r="B600">
            <v>0</v>
          </cell>
          <cell r="C600">
            <v>1250099</v>
          </cell>
          <cell r="D600">
            <v>0</v>
          </cell>
          <cell r="E600" t="str">
            <v>CYLINDER-LINEAR DE 020 0075</v>
          </cell>
          <cell r="F600">
            <v>300.9384</v>
          </cell>
        </row>
        <row r="601">
          <cell r="A601" t="str">
            <v>CXSM6-10</v>
          </cell>
          <cell r="B601">
            <v>0</v>
          </cell>
          <cell r="C601">
            <v>1250324</v>
          </cell>
          <cell r="D601">
            <v>0</v>
          </cell>
          <cell r="E601" t="str">
            <v>CYLINDER-LINEAR DE 006 0010</v>
          </cell>
          <cell r="F601">
            <v>122.82732000000001</v>
          </cell>
        </row>
        <row r="602">
          <cell r="A602" t="str">
            <v>CXSM6-20</v>
          </cell>
          <cell r="B602">
            <v>0</v>
          </cell>
          <cell r="C602">
            <v>1260560</v>
          </cell>
          <cell r="D602">
            <v>0</v>
          </cell>
          <cell r="E602" t="str">
            <v>CYLINDER-LINEAR DE 006 0020</v>
          </cell>
          <cell r="F602">
            <v>175.29749999999999</v>
          </cell>
        </row>
        <row r="603">
          <cell r="A603" t="str">
            <v>CXSM6-30</v>
          </cell>
          <cell r="B603">
            <v>0</v>
          </cell>
          <cell r="C603">
            <v>1250363</v>
          </cell>
          <cell r="D603">
            <v>0</v>
          </cell>
          <cell r="E603" t="str">
            <v>CYLINDER-LINEAR DE 006 0030</v>
          </cell>
          <cell r="F603">
            <v>133.68914999999998</v>
          </cell>
        </row>
        <row r="604">
          <cell r="A604" t="str">
            <v>CY1L10H-250</v>
          </cell>
          <cell r="B604">
            <v>0</v>
          </cell>
          <cell r="C604">
            <v>4001068</v>
          </cell>
          <cell r="D604">
            <v>0</v>
          </cell>
          <cell r="E604" t="str">
            <v>DUAL RODLESS CYLINDER</v>
          </cell>
          <cell r="F604">
            <v>665.60129999999992</v>
          </cell>
        </row>
        <row r="605">
          <cell r="A605" t="str">
            <v>CY1L32H-800B</v>
          </cell>
          <cell r="B605">
            <v>0</v>
          </cell>
          <cell r="C605">
            <v>1202545</v>
          </cell>
          <cell r="D605">
            <v>0</v>
          </cell>
          <cell r="E605" t="str">
            <v>CYLINDER-LINEAR DE 032 0800</v>
          </cell>
          <cell r="F605">
            <v>2377.5191999999997</v>
          </cell>
        </row>
        <row r="606">
          <cell r="A606" t="str">
            <v>CY3R15-450</v>
          </cell>
          <cell r="B606">
            <v>0</v>
          </cell>
          <cell r="C606">
            <v>4001284</v>
          </cell>
          <cell r="D606">
            <v>0</v>
          </cell>
          <cell r="E606" t="str">
            <v>CYLINDER-LINEAR DE 015 0450 WITHOUT ROD</v>
          </cell>
          <cell r="F606">
            <v>363.3938</v>
          </cell>
        </row>
        <row r="607">
          <cell r="A607" t="str">
            <v>D5063</v>
          </cell>
          <cell r="B607">
            <v>0</v>
          </cell>
          <cell r="C607">
            <v>1131406</v>
          </cell>
          <cell r="D607">
            <v>0</v>
          </cell>
          <cell r="E607">
            <v>0</v>
          </cell>
          <cell r="F607">
            <v>52.6113</v>
          </cell>
        </row>
        <row r="608">
          <cell r="A608" t="str">
            <v>D-90L</v>
          </cell>
          <cell r="B608">
            <v>0</v>
          </cell>
          <cell r="C608">
            <v>1440060</v>
          </cell>
          <cell r="D608">
            <v>0</v>
          </cell>
          <cell r="E608" t="str">
            <v>SENSOR-REED + WIRE NOYE</v>
          </cell>
          <cell r="F608">
            <v>26.8569</v>
          </cell>
        </row>
        <row r="609">
          <cell r="A609" t="str">
            <v>D-93AL</v>
          </cell>
          <cell r="B609">
            <v>0</v>
          </cell>
          <cell r="C609">
            <v>4002109</v>
          </cell>
          <cell r="D609">
            <v>0</v>
          </cell>
          <cell r="E609" t="str">
            <v>REED-SWITCH-DIRECT-MOUNT</v>
          </cell>
          <cell r="F609">
            <v>38.330249999999999</v>
          </cell>
        </row>
        <row r="610">
          <cell r="A610" t="str">
            <v>D97</v>
          </cell>
          <cell r="B610" t="str">
            <v>D-97</v>
          </cell>
          <cell r="C610">
            <v>4020089</v>
          </cell>
          <cell r="D610">
            <v>0</v>
          </cell>
          <cell r="E610" t="str">
            <v>SENSOR</v>
          </cell>
          <cell r="F610">
            <v>36.426600000000001</v>
          </cell>
        </row>
        <row r="611">
          <cell r="A611" t="str">
            <v>D-97L</v>
          </cell>
          <cell r="B611">
            <v>0</v>
          </cell>
          <cell r="C611">
            <v>1440065</v>
          </cell>
          <cell r="D611" t="str">
            <v>80.0000.0089</v>
          </cell>
          <cell r="E611" t="str">
            <v>Reedswitch</v>
          </cell>
          <cell r="F611">
            <v>37.514400000000002</v>
          </cell>
        </row>
        <row r="612">
          <cell r="A612" t="str">
            <v>D-A53L</v>
          </cell>
          <cell r="B612">
            <v>0</v>
          </cell>
          <cell r="C612">
            <v>1439014</v>
          </cell>
          <cell r="D612">
            <v>0</v>
          </cell>
          <cell r="E612" t="str">
            <v>SENSOR-REED + WIRE NOYE</v>
          </cell>
          <cell r="F612">
            <v>90.1404</v>
          </cell>
        </row>
        <row r="613">
          <cell r="A613" t="str">
            <v>D-A54L</v>
          </cell>
          <cell r="B613">
            <v>0</v>
          </cell>
          <cell r="C613">
            <v>1439013</v>
          </cell>
          <cell r="D613">
            <v>0</v>
          </cell>
          <cell r="E613" t="str">
            <v>SENSOR-REED + WIRE NOYE</v>
          </cell>
          <cell r="F613">
            <v>90.1404</v>
          </cell>
        </row>
        <row r="614">
          <cell r="A614" t="str">
            <v>D-A73CN</v>
          </cell>
          <cell r="B614">
            <v>0</v>
          </cell>
          <cell r="C614">
            <v>1439209</v>
          </cell>
          <cell r="D614">
            <v>0</v>
          </cell>
          <cell r="E614" t="str">
            <v>SENSOR-REED WITH CONNECTOR</v>
          </cell>
          <cell r="F614">
            <v>55.610099999999996</v>
          </cell>
        </row>
        <row r="615">
          <cell r="A615" t="str">
            <v>D-A73H</v>
          </cell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38.403456000000006</v>
          </cell>
        </row>
        <row r="616">
          <cell r="A616" t="str">
            <v>D-A73L</v>
          </cell>
          <cell r="B616">
            <v>0</v>
          </cell>
          <cell r="C616">
            <v>1439012</v>
          </cell>
          <cell r="D616" t="str">
            <v>80.0000.0164</v>
          </cell>
          <cell r="E616" t="str">
            <v>Reed Switch</v>
          </cell>
          <cell r="F616">
            <v>39.014975999999997</v>
          </cell>
        </row>
        <row r="617">
          <cell r="A617" t="str">
            <v>D-A90L</v>
          </cell>
          <cell r="B617">
            <v>0</v>
          </cell>
          <cell r="C617">
            <v>98001410</v>
          </cell>
          <cell r="D617">
            <v>0</v>
          </cell>
          <cell r="E617" t="str">
            <v>SENSOR-REED SWITCH IN-LINE</v>
          </cell>
          <cell r="F617">
            <v>30.693599999999996</v>
          </cell>
        </row>
        <row r="618">
          <cell r="A618" t="str">
            <v>D-A93</v>
          </cell>
          <cell r="B618">
            <v>0</v>
          </cell>
          <cell r="C618">
            <v>4000689</v>
          </cell>
          <cell r="D618">
            <v>0</v>
          </cell>
          <cell r="E618" t="str">
            <v>REED SWITCH D-A93</v>
          </cell>
          <cell r="F618">
            <v>36.015000000000001</v>
          </cell>
        </row>
        <row r="619">
          <cell r="A619" t="str">
            <v>D-A93 V</v>
          </cell>
          <cell r="B619" t="str">
            <v>D-A93V</v>
          </cell>
          <cell r="C619">
            <v>4001190</v>
          </cell>
          <cell r="D619">
            <v>0</v>
          </cell>
          <cell r="E619" t="str">
            <v>SENSOR-REED + WIRE NOYE</v>
          </cell>
          <cell r="F619">
            <v>46.040400000000005</v>
          </cell>
        </row>
        <row r="620">
          <cell r="A620" t="str">
            <v>D-A93L</v>
          </cell>
          <cell r="B620">
            <v>0</v>
          </cell>
          <cell r="C620" t="str">
            <v>1439223/  1411716</v>
          </cell>
          <cell r="D620">
            <v>0</v>
          </cell>
          <cell r="E620" t="str">
            <v>SWITCH,DIR MTN,3M LEAD WIRE</v>
          </cell>
          <cell r="F620">
            <v>31.38</v>
          </cell>
        </row>
        <row r="621">
          <cell r="A621" t="str">
            <v>D-B73L</v>
          </cell>
          <cell r="B621">
            <v>0</v>
          </cell>
          <cell r="C621">
            <v>1439015</v>
          </cell>
          <cell r="D621">
            <v>0</v>
          </cell>
          <cell r="E621" t="str">
            <v>SENSOR-REED + WIRE NOYE</v>
          </cell>
          <cell r="F621">
            <v>59.094000000000001</v>
          </cell>
        </row>
        <row r="622">
          <cell r="A622" t="str">
            <v>D-C73</v>
          </cell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40.278784000000009</v>
          </cell>
        </row>
        <row r="623">
          <cell r="A623" t="str">
            <v>D-C73CL</v>
          </cell>
          <cell r="B623">
            <v>0</v>
          </cell>
          <cell r="C623">
            <v>1439146</v>
          </cell>
          <cell r="D623">
            <v>0</v>
          </cell>
          <cell r="E623">
            <v>0</v>
          </cell>
          <cell r="F623">
            <v>70.956900000000005</v>
          </cell>
        </row>
        <row r="624">
          <cell r="A624" t="str">
            <v>D-C73CN</v>
          </cell>
          <cell r="B624">
            <v>0</v>
          </cell>
          <cell r="C624">
            <v>1439185</v>
          </cell>
          <cell r="D624">
            <v>0</v>
          </cell>
          <cell r="E624" t="str">
            <v>SENSOR-REED WITH CONNECTOR</v>
          </cell>
          <cell r="F624">
            <v>55.610099999999996</v>
          </cell>
        </row>
        <row r="625">
          <cell r="A625" t="str">
            <v>D-C73L</v>
          </cell>
          <cell r="B625">
            <v>0</v>
          </cell>
          <cell r="C625">
            <v>1440035</v>
          </cell>
          <cell r="D625" t="str">
            <v>80.0000.0391</v>
          </cell>
          <cell r="E625" t="str">
            <v>Reed Sensor</v>
          </cell>
          <cell r="F625">
            <v>39.585728000000003</v>
          </cell>
        </row>
        <row r="626">
          <cell r="A626" t="str">
            <v>D-F5PL</v>
          </cell>
          <cell r="B626">
            <v>0</v>
          </cell>
          <cell r="C626">
            <v>1439115</v>
          </cell>
          <cell r="D626">
            <v>0</v>
          </cell>
          <cell r="E626">
            <v>0</v>
          </cell>
          <cell r="F626">
            <v>92.874600000000001</v>
          </cell>
        </row>
        <row r="627">
          <cell r="A627" t="str">
            <v>D-F79L</v>
          </cell>
          <cell r="B627">
            <v>0</v>
          </cell>
          <cell r="C627">
            <v>1439011</v>
          </cell>
          <cell r="D627" t="str">
            <v>A0000014139</v>
          </cell>
          <cell r="E627" t="str">
            <v>SWITCH,AUTO-SOLID_STATE</v>
          </cell>
          <cell r="F627">
            <v>82.466999999999999</v>
          </cell>
        </row>
        <row r="628">
          <cell r="A628" t="str">
            <v>D-F7PL</v>
          </cell>
          <cell r="B628">
            <v>0</v>
          </cell>
          <cell r="C628">
            <v>1439104</v>
          </cell>
          <cell r="D628">
            <v>0</v>
          </cell>
          <cell r="E628" t="str">
            <v>SENSOR-INDUCTIVE + WIRE NOYE</v>
          </cell>
          <cell r="F628">
            <v>61.847799999999999</v>
          </cell>
        </row>
        <row r="629">
          <cell r="A629" t="str">
            <v>D-F7P-SAPC</v>
          </cell>
          <cell r="B629" t="str">
            <v>D-F7PSAPC</v>
          </cell>
          <cell r="C629">
            <v>98001080</v>
          </cell>
          <cell r="D629">
            <v>0</v>
          </cell>
          <cell r="E629">
            <v>0</v>
          </cell>
          <cell r="F629">
            <v>124.6707</v>
          </cell>
        </row>
        <row r="630">
          <cell r="A630" t="str">
            <v>D-F7PV-SAPC</v>
          </cell>
          <cell r="B630" t="str">
            <v xml:space="preserve">D-F7PVSAPC </v>
          </cell>
          <cell r="C630">
            <v>98001030</v>
          </cell>
          <cell r="D630">
            <v>0</v>
          </cell>
          <cell r="E630">
            <v>0</v>
          </cell>
          <cell r="F630">
            <v>113.16060000000002</v>
          </cell>
        </row>
        <row r="631">
          <cell r="A631" t="str">
            <v>D-F7PW-SAPC</v>
          </cell>
          <cell r="B631" t="str">
            <v>D-F7PWSAPC</v>
          </cell>
          <cell r="C631">
            <v>98001070</v>
          </cell>
          <cell r="D631">
            <v>0</v>
          </cell>
          <cell r="E631">
            <v>0</v>
          </cell>
          <cell r="F631">
            <v>143.85419999999999</v>
          </cell>
        </row>
        <row r="632">
          <cell r="A632" t="str">
            <v>D-F8N</v>
          </cell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95.560192000000001</v>
          </cell>
        </row>
        <row r="633">
          <cell r="A633" t="str">
            <v>D-F8NL</v>
          </cell>
          <cell r="B633">
            <v>0</v>
          </cell>
          <cell r="C633">
            <v>0</v>
          </cell>
          <cell r="D633">
            <v>1411717</v>
          </cell>
          <cell r="E633" t="str">
            <v>SS SWITCH,24VDC NPN,3WIRES</v>
          </cell>
          <cell r="F633">
            <v>88.058880000000002</v>
          </cell>
        </row>
        <row r="634">
          <cell r="A634" t="str">
            <v>D-F8P</v>
          </cell>
          <cell r="B634">
            <v>0</v>
          </cell>
          <cell r="C634">
            <v>4001806</v>
          </cell>
          <cell r="D634">
            <v>0</v>
          </cell>
          <cell r="E634" t="str">
            <v>AUTO SWITCH, GENERAL PURPOSE</v>
          </cell>
          <cell r="F634">
            <v>85.653568000000021</v>
          </cell>
        </row>
        <row r="635">
          <cell r="A635" t="str">
            <v>D-F8PL</v>
          </cell>
          <cell r="B635">
            <v>0</v>
          </cell>
          <cell r="C635">
            <v>4001847</v>
          </cell>
          <cell r="D635">
            <v>0</v>
          </cell>
          <cell r="E635" t="str">
            <v>AUTO SWITCH SENSOR D-F8PL</v>
          </cell>
          <cell r="F635">
            <v>66.64</v>
          </cell>
        </row>
        <row r="636">
          <cell r="A636" t="str">
            <v>D-F9P</v>
          </cell>
          <cell r="B636">
            <v>0</v>
          </cell>
          <cell r="C636">
            <v>1585508</v>
          </cell>
          <cell r="D636">
            <v>0</v>
          </cell>
          <cell r="E636" t="str">
            <v>SENSOR-INDUCTIVE-WIRE-NOYE D-F9P</v>
          </cell>
          <cell r="F636">
            <v>65.2239</v>
          </cell>
        </row>
        <row r="637">
          <cell r="A637" t="str">
            <v>D-G59L</v>
          </cell>
          <cell r="B637">
            <v>0</v>
          </cell>
          <cell r="C637">
            <v>98007360</v>
          </cell>
          <cell r="D637">
            <v>0</v>
          </cell>
          <cell r="E637">
            <v>0</v>
          </cell>
          <cell r="F637">
            <v>120.21660000000001</v>
          </cell>
        </row>
        <row r="638">
          <cell r="A638" t="str">
            <v>D-G79L</v>
          </cell>
          <cell r="B638">
            <v>0</v>
          </cell>
          <cell r="C638">
            <v>91301950</v>
          </cell>
          <cell r="D638">
            <v>0</v>
          </cell>
          <cell r="E638" t="str">
            <v>SWITCH-AUTO SS 3WIRE</v>
          </cell>
          <cell r="F638">
            <v>87.582599999999999</v>
          </cell>
        </row>
        <row r="639">
          <cell r="A639" t="str">
            <v>D-H7A1L</v>
          </cell>
          <cell r="B639">
            <v>0</v>
          </cell>
          <cell r="C639">
            <v>1582469</v>
          </cell>
          <cell r="D639">
            <v>0</v>
          </cell>
          <cell r="E639" t="str">
            <v>SENSOR-INDUCTIVE + WIRE NOYE</v>
          </cell>
          <cell r="F639">
            <v>84.40740000000001</v>
          </cell>
        </row>
        <row r="640">
          <cell r="A640" t="str">
            <v>D-H7A2L</v>
          </cell>
          <cell r="B640">
            <v>0</v>
          </cell>
          <cell r="C640">
            <v>91301330</v>
          </cell>
          <cell r="D640">
            <v>0</v>
          </cell>
          <cell r="E640">
            <v>0</v>
          </cell>
          <cell r="F640">
            <v>78.348060000000004</v>
          </cell>
        </row>
        <row r="641">
          <cell r="A641" t="str">
            <v>D-H7A2-SAPC</v>
          </cell>
          <cell r="B641" t="str">
            <v>D-H7A2SAPC</v>
          </cell>
          <cell r="C641">
            <v>98001040</v>
          </cell>
          <cell r="D641">
            <v>0</v>
          </cell>
          <cell r="E641">
            <v>0</v>
          </cell>
          <cell r="F641">
            <v>113.16060000000002</v>
          </cell>
        </row>
        <row r="642">
          <cell r="A642" t="str">
            <v>D-H7CN</v>
          </cell>
          <cell r="B642">
            <v>0</v>
          </cell>
          <cell r="C642">
            <v>1439102</v>
          </cell>
          <cell r="D642">
            <v>0</v>
          </cell>
          <cell r="E642" t="str">
            <v>SENSOR-INDUCTIVE WITH CONNECTOR</v>
          </cell>
          <cell r="F642">
            <v>80.570700000000002</v>
          </cell>
        </row>
        <row r="643">
          <cell r="A643" t="str">
            <v>D-J79CN</v>
          </cell>
          <cell r="B643">
            <v>0</v>
          </cell>
          <cell r="C643">
            <v>1439122</v>
          </cell>
          <cell r="D643">
            <v>0</v>
          </cell>
          <cell r="E643">
            <v>0</v>
          </cell>
          <cell r="F643">
            <v>85.554000000000002</v>
          </cell>
        </row>
        <row r="644">
          <cell r="A644" t="str">
            <v>D-J79L</v>
          </cell>
          <cell r="B644">
            <v>0</v>
          </cell>
          <cell r="C644">
            <v>1439025</v>
          </cell>
          <cell r="D644">
            <v>0</v>
          </cell>
          <cell r="E644">
            <v>0</v>
          </cell>
          <cell r="F644">
            <v>85.554000000000002</v>
          </cell>
        </row>
        <row r="645">
          <cell r="A645" t="str">
            <v>D-LC30</v>
          </cell>
          <cell r="B645">
            <v>0</v>
          </cell>
          <cell r="C645">
            <v>1440121</v>
          </cell>
          <cell r="D645">
            <v>0</v>
          </cell>
          <cell r="E645" t="str">
            <v>CABLE-SENSOR 3M. D-LC30</v>
          </cell>
          <cell r="F645">
            <v>24.4314</v>
          </cell>
        </row>
        <row r="646">
          <cell r="A646" t="str">
            <v>D-LC50</v>
          </cell>
          <cell r="B646">
            <v>0</v>
          </cell>
          <cell r="C646">
            <v>1440075</v>
          </cell>
          <cell r="D646">
            <v>0</v>
          </cell>
          <cell r="E646" t="str">
            <v>CABLE-SENSOR 5M D-LC50</v>
          </cell>
          <cell r="F646">
            <v>36.691200000000002</v>
          </cell>
        </row>
        <row r="647">
          <cell r="A647" t="str">
            <v>DM12-04N-C2</v>
          </cell>
          <cell r="B647">
            <v>0</v>
          </cell>
          <cell r="C647">
            <v>1582195</v>
          </cell>
          <cell r="D647">
            <v>0</v>
          </cell>
          <cell r="E647" t="str">
            <v>CONNECTOR-MULTIPLE-PENUM. 12P. D=4</v>
          </cell>
          <cell r="F647">
            <v>131.46210000000002</v>
          </cell>
        </row>
        <row r="648">
          <cell r="A648" t="str">
            <v>DM12-04NU</v>
          </cell>
          <cell r="B648">
            <v>0</v>
          </cell>
          <cell r="C648">
            <v>1584855</v>
          </cell>
          <cell r="D648">
            <v>3601495</v>
          </cell>
          <cell r="E648" t="str">
            <v>MULTI TUBE CONNECTOR 4MM TUBE</v>
          </cell>
          <cell r="F648">
            <v>115.983</v>
          </cell>
        </row>
        <row r="649">
          <cell r="A649" t="str">
            <v>DM6-06NU</v>
          </cell>
          <cell r="B649">
            <v>0</v>
          </cell>
          <cell r="C649">
            <v>1584854</v>
          </cell>
          <cell r="D649">
            <v>0</v>
          </cell>
          <cell r="E649" t="str">
            <v>CONNECTOR-MULTIPLE-PENUM. 6P. D=6</v>
          </cell>
          <cell r="F649">
            <v>92.7864</v>
          </cell>
        </row>
        <row r="650">
          <cell r="A650" t="str">
            <v>D-M9B</v>
          </cell>
          <cell r="B650">
            <v>0</v>
          </cell>
          <cell r="C650">
            <v>4001324</v>
          </cell>
          <cell r="D650">
            <v>0</v>
          </cell>
          <cell r="E650" t="str">
            <v>SENSOR-PROXIMITY 2 WIRES</v>
          </cell>
          <cell r="F650">
            <v>70.309120000000007</v>
          </cell>
        </row>
        <row r="651">
          <cell r="A651" t="str">
            <v>D-M9BVL</v>
          </cell>
          <cell r="B651">
            <v>0</v>
          </cell>
          <cell r="C651">
            <v>4001779</v>
          </cell>
          <cell r="D651">
            <v>0</v>
          </cell>
          <cell r="E651" t="str">
            <v>AUTO SWITCH, GENERAL PURPOSE</v>
          </cell>
          <cell r="F651">
            <v>65.591399999999993</v>
          </cell>
        </row>
        <row r="652">
          <cell r="A652" t="str">
            <v>D-M9NL</v>
          </cell>
          <cell r="B652">
            <v>0</v>
          </cell>
          <cell r="C652">
            <v>93026830</v>
          </cell>
          <cell r="D652">
            <v>1410812</v>
          </cell>
          <cell r="E652" t="str">
            <v>SWITCH, AUTO</v>
          </cell>
          <cell r="F652">
            <v>69.917119999999997</v>
          </cell>
        </row>
        <row r="653">
          <cell r="A653" t="str">
            <v>D-M9P</v>
          </cell>
          <cell r="B653">
            <v>0</v>
          </cell>
          <cell r="C653">
            <v>4001548</v>
          </cell>
          <cell r="D653">
            <v>0</v>
          </cell>
          <cell r="E653" t="str">
            <v>SENSOR-INDUCTIVE + WIRE NOYE</v>
          </cell>
          <cell r="F653">
            <v>75.557999999999993</v>
          </cell>
        </row>
        <row r="654">
          <cell r="A654" t="str">
            <v>D-M9PL</v>
          </cell>
          <cell r="B654">
            <v>0</v>
          </cell>
          <cell r="C654">
            <v>1439222</v>
          </cell>
          <cell r="D654">
            <v>0</v>
          </cell>
          <cell r="E654" t="str">
            <v>SENSOR-INDUCTIVE + WIRE NOYE</v>
          </cell>
          <cell r="F654">
            <v>52.92</v>
          </cell>
        </row>
        <row r="655">
          <cell r="A655" t="str">
            <v>D-M9PL (52.92) + BJ3-1(6.66)</v>
          </cell>
          <cell r="B655">
            <v>0</v>
          </cell>
          <cell r="C655">
            <v>1439123</v>
          </cell>
          <cell r="D655">
            <v>0</v>
          </cell>
          <cell r="E655">
            <v>0</v>
          </cell>
          <cell r="F655">
            <v>59.583999999999996</v>
          </cell>
        </row>
        <row r="656">
          <cell r="A656" t="str">
            <v>D-M9PVSAPC</v>
          </cell>
          <cell r="B656">
            <v>0</v>
          </cell>
          <cell r="C656">
            <v>1582343</v>
          </cell>
          <cell r="D656">
            <v>0</v>
          </cell>
          <cell r="E656">
            <v>0</v>
          </cell>
          <cell r="F656">
            <v>130.40369999999999</v>
          </cell>
        </row>
        <row r="657">
          <cell r="A657" t="str">
            <v>DM-C-12</v>
          </cell>
          <cell r="B657">
            <v>0</v>
          </cell>
          <cell r="C657">
            <v>1584857</v>
          </cell>
          <cell r="D657">
            <v>0</v>
          </cell>
          <cell r="E657" t="str">
            <v>PROTECTION-CONNECTOR MULTIPLE 12P.</v>
          </cell>
          <cell r="F657">
            <v>2.1168</v>
          </cell>
        </row>
        <row r="658">
          <cell r="A658" t="str">
            <v>DM-C-6</v>
          </cell>
          <cell r="B658">
            <v>0</v>
          </cell>
          <cell r="C658">
            <v>1584856</v>
          </cell>
          <cell r="D658">
            <v>0</v>
          </cell>
          <cell r="E658" t="str">
            <v>PROTECTION-CONNECTOR MULTIPLE 6P.</v>
          </cell>
          <cell r="F658">
            <v>3.6603000000000003</v>
          </cell>
        </row>
        <row r="659">
          <cell r="A659" t="str">
            <v>DMK6-23-C2</v>
          </cell>
          <cell r="B659">
            <v>0</v>
          </cell>
          <cell r="C659">
            <v>0</v>
          </cell>
          <cell r="D659" t="str">
            <v>80.0000.6821</v>
          </cell>
          <cell r="E659" t="str">
            <v>Pneumatic Interface (DMK6-23-C2)</v>
          </cell>
          <cell r="F659">
            <v>144.97100800000001</v>
          </cell>
        </row>
        <row r="660">
          <cell r="A660" t="str">
            <v>D-R731L</v>
          </cell>
          <cell r="B660">
            <v>0</v>
          </cell>
          <cell r="C660">
            <v>1202532</v>
          </cell>
          <cell r="D660">
            <v>0</v>
          </cell>
          <cell r="E660" t="str">
            <v>SENSOR-REED + WIRE NOYE</v>
          </cell>
          <cell r="F660">
            <v>59.093999999999994</v>
          </cell>
        </row>
        <row r="661">
          <cell r="A661" t="str">
            <v>D-R732L</v>
          </cell>
          <cell r="B661">
            <v>0</v>
          </cell>
          <cell r="C661">
            <v>1202533</v>
          </cell>
          <cell r="D661">
            <v>0</v>
          </cell>
          <cell r="E661" t="str">
            <v>SENSOR-REED + WIRE NOYE</v>
          </cell>
          <cell r="F661">
            <v>56.139299999999999</v>
          </cell>
        </row>
        <row r="662">
          <cell r="A662" t="str">
            <v>D-S991L</v>
          </cell>
          <cell r="B662">
            <v>0</v>
          </cell>
          <cell r="C662">
            <v>4020171</v>
          </cell>
          <cell r="D662">
            <v>0</v>
          </cell>
          <cell r="E662" t="str">
            <v>SWITCH AUTO D-S991L</v>
          </cell>
          <cell r="F662">
            <v>87.582599999999999</v>
          </cell>
        </row>
        <row r="663">
          <cell r="A663" t="str">
            <v>D-S992L</v>
          </cell>
          <cell r="B663">
            <v>0</v>
          </cell>
          <cell r="C663">
            <v>4020172</v>
          </cell>
          <cell r="D663">
            <v>0</v>
          </cell>
          <cell r="E663" t="str">
            <v>SWITCH AUTO D-S992L</v>
          </cell>
          <cell r="F663">
            <v>87.582599999999999</v>
          </cell>
        </row>
        <row r="664">
          <cell r="A664" t="str">
            <v>DXT152-25-1A</v>
          </cell>
          <cell r="B664">
            <v>0</v>
          </cell>
          <cell r="C664">
            <v>1581670</v>
          </cell>
          <cell r="D664">
            <v>0</v>
          </cell>
          <cell r="E664">
            <v>0</v>
          </cell>
          <cell r="F664">
            <v>4.851</v>
          </cell>
        </row>
        <row r="665">
          <cell r="A665" t="str">
            <v>DXT170-123-A-20</v>
          </cell>
          <cell r="B665">
            <v>0</v>
          </cell>
          <cell r="C665">
            <v>1317040</v>
          </cell>
          <cell r="D665">
            <v>0</v>
          </cell>
          <cell r="E665" t="str">
            <v>CONNECTOR VALVE VZ110/VZ1120</v>
          </cell>
          <cell r="F665">
            <v>17.64</v>
          </cell>
        </row>
        <row r="666">
          <cell r="A666" t="str">
            <v>DXT170-123-A-6</v>
          </cell>
          <cell r="B666">
            <v>0</v>
          </cell>
          <cell r="C666">
            <v>1348025</v>
          </cell>
          <cell r="D666" t="str">
            <v>80.0000.8423</v>
          </cell>
          <cell r="E666" t="str">
            <v>CONNECTOR VALVE VZ110/1120</v>
          </cell>
          <cell r="F666">
            <v>7.6643840000000001</v>
          </cell>
        </row>
        <row r="667">
          <cell r="A667" t="str">
            <v>DXT170-25-1A</v>
          </cell>
          <cell r="B667">
            <v>0</v>
          </cell>
          <cell r="C667">
            <v>1317013</v>
          </cell>
          <cell r="D667">
            <v>0</v>
          </cell>
          <cell r="E667" t="str">
            <v>PLATE-SHUTTER DXT170-25-1A</v>
          </cell>
          <cell r="F667">
            <v>5.3361000000000001</v>
          </cell>
        </row>
        <row r="668">
          <cell r="A668" t="str">
            <v>DXT170-71-1</v>
          </cell>
          <cell r="B668">
            <v>0</v>
          </cell>
          <cell r="C668">
            <v>1582501</v>
          </cell>
          <cell r="D668">
            <v>2000622</v>
          </cell>
          <cell r="E668" t="str">
            <v>CONTACT, SOCKET</v>
          </cell>
          <cell r="F668">
            <v>0.75</v>
          </cell>
        </row>
        <row r="669">
          <cell r="A669" t="str">
            <v>DXT170-80-4A</v>
          </cell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14.513408000000002</v>
          </cell>
        </row>
        <row r="670">
          <cell r="A670" t="str">
            <v>DXT170-80-4A-10</v>
          </cell>
          <cell r="B670">
            <v>0</v>
          </cell>
          <cell r="C670">
            <v>0</v>
          </cell>
          <cell r="D670" t="str">
            <v>80.0001.0009</v>
          </cell>
          <cell r="E670" t="str">
            <v>Cable with Plug</v>
          </cell>
          <cell r="F670">
            <v>12.43</v>
          </cell>
        </row>
        <row r="671">
          <cell r="A671" t="str">
            <v>DXT170-80-4A-20</v>
          </cell>
          <cell r="B671">
            <v>0</v>
          </cell>
          <cell r="C671">
            <v>1348000</v>
          </cell>
          <cell r="D671">
            <v>0</v>
          </cell>
          <cell r="E671" t="str">
            <v>CONNECTOR VALVE VZ110/VZ1120</v>
          </cell>
          <cell r="F671">
            <v>22.976099999999999</v>
          </cell>
        </row>
        <row r="672">
          <cell r="A672" t="str">
            <v>DXT170-80-4A-6</v>
          </cell>
          <cell r="B672">
            <v>0</v>
          </cell>
          <cell r="C672">
            <v>1348003</v>
          </cell>
          <cell r="D672">
            <v>0</v>
          </cell>
          <cell r="E672" t="str">
            <v>CONNECTOR VALVE VZ110/1120</v>
          </cell>
          <cell r="F672">
            <v>15.410304</v>
          </cell>
        </row>
        <row r="673">
          <cell r="A673" t="str">
            <v>D-Y59A</v>
          </cell>
          <cell r="B673">
            <v>0</v>
          </cell>
          <cell r="C673">
            <v>91301280</v>
          </cell>
          <cell r="D673">
            <v>0</v>
          </cell>
          <cell r="E673">
            <v>0</v>
          </cell>
          <cell r="F673">
            <v>79.468199999999996</v>
          </cell>
        </row>
        <row r="674">
          <cell r="A674" t="str">
            <v>D-Y59AL</v>
          </cell>
          <cell r="B674">
            <v>0</v>
          </cell>
          <cell r="C674">
            <v>1439098</v>
          </cell>
          <cell r="D674">
            <v>0</v>
          </cell>
          <cell r="E674" t="str">
            <v>SENSOR-INDUCTIVE + WIRE NOYE</v>
          </cell>
          <cell r="F674">
            <v>87.582599999999999</v>
          </cell>
        </row>
        <row r="675">
          <cell r="A675" t="str">
            <v>D-Y59BL</v>
          </cell>
          <cell r="B675">
            <v>0</v>
          </cell>
          <cell r="C675">
            <v>1439018</v>
          </cell>
          <cell r="D675">
            <v>0</v>
          </cell>
          <cell r="E675" t="str">
            <v>SENSOR-INDUCTIVE + WIRE NOYE</v>
          </cell>
          <cell r="F675">
            <v>64.165499999999994</v>
          </cell>
        </row>
        <row r="676">
          <cell r="A676" t="str">
            <v>D-Y69AL</v>
          </cell>
          <cell r="B676">
            <v>0</v>
          </cell>
          <cell r="C676">
            <v>91302640</v>
          </cell>
          <cell r="D676">
            <v>0</v>
          </cell>
          <cell r="E676" t="str">
            <v>SWITCH-AUTO SS DIRECT 3W NPN RGT ANGLE</v>
          </cell>
          <cell r="F676">
            <v>87.582599999999999</v>
          </cell>
        </row>
        <row r="677">
          <cell r="A677" t="str">
            <v>D-Y7PL</v>
          </cell>
          <cell r="B677">
            <v>0</v>
          </cell>
          <cell r="C677">
            <v>1439029</v>
          </cell>
          <cell r="D677">
            <v>0</v>
          </cell>
          <cell r="E677" t="str">
            <v>SENSOR-INDUCTIVE + WIRE NOYE</v>
          </cell>
          <cell r="F677">
            <v>74.029200000000003</v>
          </cell>
        </row>
        <row r="678">
          <cell r="A678" t="str">
            <v>D-Y7P-SAPC</v>
          </cell>
          <cell r="B678" t="str">
            <v>D-Y7PSAPC</v>
          </cell>
          <cell r="C678">
            <v>98001010</v>
          </cell>
          <cell r="D678">
            <v>0</v>
          </cell>
          <cell r="E678">
            <v>0</v>
          </cell>
          <cell r="F678">
            <v>132.43230000000003</v>
          </cell>
        </row>
        <row r="679">
          <cell r="A679" t="str">
            <v>D-Y7PVL</v>
          </cell>
          <cell r="B679">
            <v>0</v>
          </cell>
          <cell r="C679">
            <v>1439221</v>
          </cell>
          <cell r="D679">
            <v>0</v>
          </cell>
          <cell r="E679" t="str">
            <v>SENSOR-INDUCTIVE + WIRE NOYE 90DEG</v>
          </cell>
          <cell r="F679">
            <v>106.76609999999999</v>
          </cell>
        </row>
        <row r="680">
          <cell r="A680" t="str">
            <v>D-Z73L</v>
          </cell>
          <cell r="B680">
            <v>0</v>
          </cell>
          <cell r="C680">
            <v>1439027</v>
          </cell>
          <cell r="D680" t="str">
            <v>80.0000.0163</v>
          </cell>
          <cell r="E680" t="str">
            <v>Reed Switch</v>
          </cell>
          <cell r="F680">
            <v>43.252299999999998</v>
          </cell>
        </row>
        <row r="681">
          <cell r="A681" t="str">
            <v>E5063</v>
          </cell>
          <cell r="B681">
            <v>0</v>
          </cell>
          <cell r="C681">
            <v>1131407</v>
          </cell>
          <cell r="D681">
            <v>0</v>
          </cell>
          <cell r="E681">
            <v>0</v>
          </cell>
          <cell r="F681">
            <v>60</v>
          </cell>
        </row>
        <row r="682">
          <cell r="A682" t="str">
            <v>E5080</v>
          </cell>
          <cell r="B682">
            <v>0</v>
          </cell>
          <cell r="C682">
            <v>1135525</v>
          </cell>
          <cell r="D682">
            <v>0</v>
          </cell>
          <cell r="E682">
            <v>0</v>
          </cell>
          <cell r="F682">
            <v>64.95</v>
          </cell>
        </row>
        <row r="683">
          <cell r="A683" t="str">
            <v>EAK4000-F04</v>
          </cell>
          <cell r="B683">
            <v>0</v>
          </cell>
          <cell r="C683">
            <v>1361047</v>
          </cell>
          <cell r="D683">
            <v>0</v>
          </cell>
          <cell r="E683" t="str">
            <v>VALVE-NONRETURN EAK4000-F04</v>
          </cell>
          <cell r="F683">
            <v>53.669699999999999</v>
          </cell>
        </row>
        <row r="684">
          <cell r="A684" t="str">
            <v>EAKM3000-F02</v>
          </cell>
          <cell r="B684">
            <v>0</v>
          </cell>
          <cell r="C684">
            <v>1334013</v>
          </cell>
          <cell r="D684">
            <v>0</v>
          </cell>
          <cell r="E684">
            <v>0</v>
          </cell>
          <cell r="F684">
            <v>66.546899999999994</v>
          </cell>
        </row>
        <row r="685">
          <cell r="A685" t="str">
            <v>EAKM4000-F03</v>
          </cell>
          <cell r="B685">
            <v>0</v>
          </cell>
          <cell r="C685">
            <v>1334012</v>
          </cell>
          <cell r="D685">
            <v>0</v>
          </cell>
          <cell r="E685" t="str">
            <v>VALVE-REVERSR-LOCK G3/8</v>
          </cell>
          <cell r="F685">
            <v>73.955700000000007</v>
          </cell>
        </row>
        <row r="686">
          <cell r="A686" t="str">
            <v>EAQ2000-F01</v>
          </cell>
          <cell r="B686">
            <v>0</v>
          </cell>
          <cell r="C686">
            <v>1347002</v>
          </cell>
          <cell r="D686">
            <v>0</v>
          </cell>
          <cell r="E686" t="str">
            <v>PURGING-SPEED 1/8"</v>
          </cell>
          <cell r="F686">
            <v>60.769800000000004</v>
          </cell>
        </row>
        <row r="687">
          <cell r="A687" t="str">
            <v>EAQ2000-F02</v>
          </cell>
          <cell r="B687">
            <v>0</v>
          </cell>
          <cell r="C687">
            <v>1347003</v>
          </cell>
          <cell r="D687">
            <v>0</v>
          </cell>
          <cell r="E687" t="str">
            <v>PURGING-SPEED 1/4</v>
          </cell>
          <cell r="F687">
            <v>60.769800000000004</v>
          </cell>
        </row>
        <row r="688">
          <cell r="A688" t="str">
            <v>EBD-6-2-5</v>
          </cell>
          <cell r="B688">
            <v>0</v>
          </cell>
          <cell r="C688">
            <v>4001218</v>
          </cell>
          <cell r="D688">
            <v>0</v>
          </cell>
          <cell r="E688" t="str">
            <v>SILENCER-DISC D= 06 T=2</v>
          </cell>
          <cell r="F688">
            <v>1.49</v>
          </cell>
        </row>
        <row r="689">
          <cell r="A689" t="str">
            <v>ECDBX2N10-50</v>
          </cell>
          <cell r="B689">
            <v>0</v>
          </cell>
          <cell r="C689">
            <v>1202093</v>
          </cell>
          <cell r="D689">
            <v>0</v>
          </cell>
          <cell r="E689" t="str">
            <v>CYLINDER-DE ECDBX2N10-50</v>
          </cell>
          <cell r="F689">
            <v>415.95120000000003</v>
          </cell>
        </row>
        <row r="690">
          <cell r="A690" t="str">
            <v>ECDBX2N15-50</v>
          </cell>
          <cell r="B690">
            <v>0</v>
          </cell>
          <cell r="C690">
            <v>1202555</v>
          </cell>
          <cell r="D690">
            <v>0</v>
          </cell>
          <cell r="E690" t="str">
            <v>CYLINDER-DE ECDBX2N15-50</v>
          </cell>
          <cell r="F690">
            <v>610.29990000000009</v>
          </cell>
        </row>
        <row r="691">
          <cell r="A691" t="str">
            <v>ECDBX2N25-75</v>
          </cell>
          <cell r="B691" t="str">
            <v>CDBX2N25-75</v>
          </cell>
          <cell r="C691">
            <v>1202678</v>
          </cell>
          <cell r="D691">
            <v>0</v>
          </cell>
          <cell r="E691">
            <v>0</v>
          </cell>
          <cell r="F691">
            <v>602.27370000000008</v>
          </cell>
        </row>
        <row r="692">
          <cell r="A692" t="str">
            <v>ECDQ2B16-10D</v>
          </cell>
          <cell r="B692" t="str">
            <v>CDQ2B16-10DCZ</v>
          </cell>
          <cell r="C692">
            <v>1260432</v>
          </cell>
          <cell r="D692">
            <v>0</v>
          </cell>
          <cell r="E692">
            <v>0</v>
          </cell>
          <cell r="F692">
            <v>68.575500000000005</v>
          </cell>
        </row>
        <row r="693">
          <cell r="A693" t="str">
            <v>ECDQ2B20-10D</v>
          </cell>
          <cell r="B693">
            <v>0</v>
          </cell>
          <cell r="C693">
            <v>1261734</v>
          </cell>
          <cell r="D693">
            <v>0</v>
          </cell>
          <cell r="E693" t="str">
            <v>CYLINDER-LINEAR DE 020 0010</v>
          </cell>
          <cell r="F693">
            <v>97.637400000000014</v>
          </cell>
        </row>
        <row r="694">
          <cell r="A694" t="str">
            <v>ECDQ2B20-40D</v>
          </cell>
          <cell r="B694" t="str">
            <v>CDQ2B20-40DCZ</v>
          </cell>
          <cell r="C694">
            <v>1202824</v>
          </cell>
          <cell r="D694">
            <v>0</v>
          </cell>
          <cell r="E694" t="str">
            <v>CYLINDER-LINEAR DE 020 0040</v>
          </cell>
          <cell r="F694">
            <v>81.496800000000007</v>
          </cell>
        </row>
        <row r="695">
          <cell r="A695" t="str">
            <v>ECDQ2B32-10D</v>
          </cell>
          <cell r="B695">
            <v>0</v>
          </cell>
          <cell r="C695">
            <v>1202286</v>
          </cell>
          <cell r="D695">
            <v>0</v>
          </cell>
          <cell r="E695" t="str">
            <v>CYLINDER-LINEAR DE 032 0010</v>
          </cell>
          <cell r="F695">
            <v>191.74679999999998</v>
          </cell>
        </row>
        <row r="696">
          <cell r="A696" t="str">
            <v>ECDQ2B32-15D</v>
          </cell>
          <cell r="B696">
            <v>0</v>
          </cell>
          <cell r="C696">
            <v>1260696</v>
          </cell>
          <cell r="D696">
            <v>0</v>
          </cell>
          <cell r="E696" t="str">
            <v>CYLINDER-LINEAR DE 032 0015</v>
          </cell>
          <cell r="F696">
            <v>139.13059999999999</v>
          </cell>
        </row>
        <row r="697">
          <cell r="A697" t="str">
            <v>ECDQ2B32-20D</v>
          </cell>
          <cell r="B697">
            <v>0</v>
          </cell>
          <cell r="C697">
            <v>1261773</v>
          </cell>
          <cell r="D697">
            <v>0</v>
          </cell>
          <cell r="E697">
            <v>0</v>
          </cell>
          <cell r="F697">
            <v>198.84690000000001</v>
          </cell>
        </row>
        <row r="698">
          <cell r="A698" t="str">
            <v>ECDQ2B32-30D</v>
          </cell>
          <cell r="B698">
            <v>0</v>
          </cell>
          <cell r="C698">
            <v>1202708</v>
          </cell>
          <cell r="D698">
            <v>0</v>
          </cell>
          <cell r="E698" t="str">
            <v>CYLINDER-LINEAR DE 032 0030</v>
          </cell>
          <cell r="F698">
            <v>205.947</v>
          </cell>
        </row>
        <row r="699">
          <cell r="A699" t="str">
            <v>ECDQ2B32-45D</v>
          </cell>
          <cell r="B699" t="str">
            <v xml:space="preserve">CDQ2B32-45DCZ </v>
          </cell>
          <cell r="C699">
            <v>1202585</v>
          </cell>
          <cell r="D699">
            <v>0</v>
          </cell>
          <cell r="E699" t="str">
            <v>CYLINDER-LINEAR DE 032 0045</v>
          </cell>
          <cell r="F699">
            <v>104.4729</v>
          </cell>
        </row>
        <row r="700">
          <cell r="A700" t="str">
            <v>ECDQ2B32-75D</v>
          </cell>
          <cell r="B700">
            <v>0</v>
          </cell>
          <cell r="C700">
            <v>1202459</v>
          </cell>
          <cell r="D700">
            <v>0</v>
          </cell>
          <cell r="E700">
            <v>0</v>
          </cell>
          <cell r="F700">
            <v>255.64770000000001</v>
          </cell>
        </row>
        <row r="701">
          <cell r="A701" t="str">
            <v>ECDQ2B40-10D</v>
          </cell>
          <cell r="B701">
            <v>0</v>
          </cell>
          <cell r="C701">
            <v>1202392</v>
          </cell>
          <cell r="D701">
            <v>0</v>
          </cell>
          <cell r="E701" t="str">
            <v>CYLINDER-LINEAR DE 040 0010</v>
          </cell>
          <cell r="F701">
            <v>227.2473</v>
          </cell>
        </row>
        <row r="702">
          <cell r="A702" t="str">
            <v>ECDQ2B40-25D</v>
          </cell>
          <cell r="B702" t="str">
            <v xml:space="preserve">CDQ2B40-25DCZ </v>
          </cell>
          <cell r="C702">
            <v>1202270</v>
          </cell>
          <cell r="D702">
            <v>0</v>
          </cell>
          <cell r="E702" t="str">
            <v>CYLINDER-LINEAR DE 040 0025</v>
          </cell>
          <cell r="F702">
            <v>118.84950000000001</v>
          </cell>
        </row>
        <row r="703">
          <cell r="A703" t="str">
            <v>ECDQ2B50-10D</v>
          </cell>
          <cell r="B703" t="str">
            <v>CDQ2B50-10DCZ</v>
          </cell>
          <cell r="C703">
            <v>1202222</v>
          </cell>
          <cell r="D703">
            <v>0</v>
          </cell>
          <cell r="E703" t="str">
            <v>CYLINDER-LINEAR DE 050 0010</v>
          </cell>
          <cell r="F703">
            <v>142.3989</v>
          </cell>
        </row>
        <row r="704">
          <cell r="A704" t="str">
            <v>ECDQ2B50-20D</v>
          </cell>
          <cell r="B704">
            <v>0</v>
          </cell>
          <cell r="C704">
            <v>1261995</v>
          </cell>
          <cell r="D704">
            <v>0</v>
          </cell>
          <cell r="E704">
            <v>0</v>
          </cell>
          <cell r="F704">
            <v>271.61189999999999</v>
          </cell>
        </row>
        <row r="705">
          <cell r="A705" t="str">
            <v>ECDQ2B50-40D</v>
          </cell>
          <cell r="B705">
            <v>0</v>
          </cell>
          <cell r="C705">
            <v>1260912</v>
          </cell>
          <cell r="D705">
            <v>0</v>
          </cell>
          <cell r="E705">
            <v>0</v>
          </cell>
          <cell r="F705">
            <v>327.46699999999998</v>
          </cell>
        </row>
        <row r="706">
          <cell r="A706" t="str">
            <v>ECDQ2B63-100D</v>
          </cell>
          <cell r="B706" t="str">
            <v>CDQ2B63-100DCZ</v>
          </cell>
          <cell r="C706">
            <v>1202676</v>
          </cell>
          <cell r="D706">
            <v>0</v>
          </cell>
          <cell r="E706" t="str">
            <v>CYLINDER-LINEAR DE 063 0100</v>
          </cell>
          <cell r="F706">
            <v>213.26759999999999</v>
          </cell>
        </row>
        <row r="707">
          <cell r="A707" t="str">
            <v>ECDQ2B63-10D</v>
          </cell>
          <cell r="B707" t="str">
            <v>CDQ2B63-10DCZ</v>
          </cell>
          <cell r="C707">
            <v>1202304</v>
          </cell>
          <cell r="D707">
            <v>0</v>
          </cell>
          <cell r="E707" t="str">
            <v>CYLINDER-LINEAR DE 063 0010</v>
          </cell>
          <cell r="F707">
            <v>177.63480000000001</v>
          </cell>
        </row>
        <row r="708">
          <cell r="A708" t="str">
            <v>ECDQ2B63-25D</v>
          </cell>
          <cell r="B708" t="str">
            <v>CDQ2B63-25DCZ</v>
          </cell>
          <cell r="C708">
            <v>1202142</v>
          </cell>
          <cell r="D708">
            <v>0</v>
          </cell>
          <cell r="E708">
            <v>0</v>
          </cell>
          <cell r="F708">
            <v>183.10319999999999</v>
          </cell>
        </row>
        <row r="709">
          <cell r="A709" t="str">
            <v>ECDQ2B63-40-D</v>
          </cell>
          <cell r="B709" t="str">
            <v xml:space="preserve">CDQ2B63-40DCZ </v>
          </cell>
          <cell r="C709">
            <v>1202803</v>
          </cell>
          <cell r="D709">
            <v>0</v>
          </cell>
          <cell r="E709" t="str">
            <v>CYLINDER-LINEAR DE 063 0040</v>
          </cell>
          <cell r="F709">
            <v>195.67169999999999</v>
          </cell>
        </row>
        <row r="710">
          <cell r="A710" t="str">
            <v>ECDQ2B63-75D</v>
          </cell>
          <cell r="B710" t="str">
            <v>CDQ2B63-75DCZ</v>
          </cell>
          <cell r="C710">
            <v>1202549</v>
          </cell>
          <cell r="D710">
            <v>0</v>
          </cell>
          <cell r="E710" t="str">
            <v>CYLINDER-LINEAR DE 063 0075</v>
          </cell>
          <cell r="F710">
            <v>198.3177</v>
          </cell>
        </row>
        <row r="711">
          <cell r="A711" t="str">
            <v>ECDQ2KB20-15D</v>
          </cell>
          <cell r="B711" t="str">
            <v>CDQ2KB20-15DZ</v>
          </cell>
          <cell r="C711">
            <v>1260185</v>
          </cell>
          <cell r="D711">
            <v>0</v>
          </cell>
          <cell r="E711" t="str">
            <v>CYLINDER-LINEAR DE 020 0015</v>
          </cell>
          <cell r="F711">
            <v>130.22730000000001</v>
          </cell>
        </row>
        <row r="712">
          <cell r="A712" t="str">
            <v>ECDQ2KB20-50D</v>
          </cell>
          <cell r="B712" t="str">
            <v>CDQ2KB20-50DZ</v>
          </cell>
          <cell r="C712">
            <v>1260184</v>
          </cell>
          <cell r="D712">
            <v>0</v>
          </cell>
          <cell r="E712" t="str">
            <v>CYLINDER-LINEAR DE 020 0050</v>
          </cell>
          <cell r="F712">
            <v>139.26780000000002</v>
          </cell>
        </row>
        <row r="713">
          <cell r="A713" t="str">
            <v>ECDRA1BW30-180</v>
          </cell>
          <cell r="B713" t="str">
            <v>CDRA1BW30-180Z</v>
          </cell>
          <cell r="C713">
            <v>1202000</v>
          </cell>
          <cell r="D713">
            <v>0</v>
          </cell>
          <cell r="E713" t="str">
            <v>CYLINDER-ROT. ECDRA1BW30-180</v>
          </cell>
          <cell r="F713">
            <v>1092.4893</v>
          </cell>
        </row>
        <row r="714">
          <cell r="A714" t="str">
            <v>ECDRA1BW50-90</v>
          </cell>
          <cell r="B714" t="str">
            <v xml:space="preserve">CDRA1BW50-90Z </v>
          </cell>
          <cell r="C714">
            <v>1202302</v>
          </cell>
          <cell r="D714">
            <v>0</v>
          </cell>
          <cell r="E714" t="str">
            <v>CYLINDER ROTA.ECDRA1BW50-90</v>
          </cell>
          <cell r="F714">
            <v>596.45249999999999</v>
          </cell>
        </row>
        <row r="715">
          <cell r="A715" t="str">
            <v>ECDUK32-50D</v>
          </cell>
          <cell r="B715" t="str">
            <v xml:space="preserve">CDUK32-50D </v>
          </cell>
          <cell r="C715">
            <v>1202615</v>
          </cell>
          <cell r="D715">
            <v>0</v>
          </cell>
          <cell r="E715" t="str">
            <v>CYLINDER-LINEAR DE 032 0050</v>
          </cell>
          <cell r="F715">
            <v>171.59310000000002</v>
          </cell>
        </row>
        <row r="716">
          <cell r="A716" t="str">
            <v>ECQ2B12-5D</v>
          </cell>
          <cell r="B716" t="str">
            <v>CQ2B12-5D</v>
          </cell>
          <cell r="C716">
            <v>1202088</v>
          </cell>
          <cell r="D716">
            <v>0</v>
          </cell>
          <cell r="E716" t="str">
            <v>CYLINDER-LINEAR DE 012 0005</v>
          </cell>
          <cell r="F716">
            <v>31.977400000000003</v>
          </cell>
        </row>
        <row r="717">
          <cell r="A717" t="str">
            <v>ECQ2B16-5T</v>
          </cell>
          <cell r="B717" t="str">
            <v>CQ2B16-5T</v>
          </cell>
          <cell r="C717">
            <v>1260599</v>
          </cell>
          <cell r="D717">
            <v>0</v>
          </cell>
          <cell r="E717">
            <v>0</v>
          </cell>
          <cell r="F717">
            <v>69.104699999999994</v>
          </cell>
        </row>
        <row r="718">
          <cell r="A718" t="str">
            <v>ECQ2B20-5S</v>
          </cell>
          <cell r="B718" t="str">
            <v xml:space="preserve">CQ2B20-5S </v>
          </cell>
          <cell r="C718">
            <v>91007290</v>
          </cell>
          <cell r="D718">
            <v>0</v>
          </cell>
          <cell r="E718" t="str">
            <v>CYLINDER-AIR STD 20X5MM STR</v>
          </cell>
          <cell r="F718">
            <v>85.2012</v>
          </cell>
        </row>
        <row r="719">
          <cell r="A719" t="str">
            <v>ECQ2B32-15D</v>
          </cell>
          <cell r="B719" t="str">
            <v>CQ2B32-15DCZ</v>
          </cell>
          <cell r="C719">
            <v>1202037</v>
          </cell>
          <cell r="D719">
            <v>0</v>
          </cell>
          <cell r="E719">
            <v>0</v>
          </cell>
          <cell r="F719">
            <v>82.114199999999997</v>
          </cell>
        </row>
        <row r="720">
          <cell r="A720" t="str">
            <v>ECQ2B32-25D</v>
          </cell>
          <cell r="B720" t="str">
            <v xml:space="preserve">CQ2B32-25DCZ </v>
          </cell>
          <cell r="C720">
            <v>1202046</v>
          </cell>
          <cell r="D720">
            <v>0</v>
          </cell>
          <cell r="E720" t="str">
            <v>CYLINDER-LINEAR DE 032 0025</v>
          </cell>
          <cell r="F720">
            <v>87.803100000000001</v>
          </cell>
        </row>
        <row r="721">
          <cell r="A721" t="str">
            <v>ECQ2B40-10D</v>
          </cell>
          <cell r="B721" t="str">
            <v>CQ2B40-10DCZ</v>
          </cell>
          <cell r="C721">
            <v>1202074</v>
          </cell>
          <cell r="D721">
            <v>0</v>
          </cell>
          <cell r="E721">
            <v>0</v>
          </cell>
          <cell r="F721">
            <v>95.476500000000001</v>
          </cell>
        </row>
        <row r="722">
          <cell r="A722" t="str">
            <v>ECQ2B40-30D</v>
          </cell>
          <cell r="B722" t="str">
            <v>CQ2B40-30DCZ</v>
          </cell>
          <cell r="C722">
            <v>1260367</v>
          </cell>
          <cell r="D722">
            <v>0</v>
          </cell>
          <cell r="E722" t="str">
            <v>CYLINDER-LINEAR DE 040 0030</v>
          </cell>
          <cell r="F722">
            <v>104.95800000000001</v>
          </cell>
        </row>
        <row r="723">
          <cell r="A723" t="str">
            <v>ECQ2B50-10-D</v>
          </cell>
          <cell r="B723" t="str">
            <v xml:space="preserve">CQ2B50-10DCZ </v>
          </cell>
          <cell r="C723">
            <v>1202709</v>
          </cell>
          <cell r="D723">
            <v>0</v>
          </cell>
          <cell r="E723" t="str">
            <v>CYLINDER-LINEAR DE 050 0010</v>
          </cell>
          <cell r="F723">
            <v>125.90549999999999</v>
          </cell>
        </row>
        <row r="724">
          <cell r="A724" t="str">
            <v>ECXSM25-30</v>
          </cell>
          <cell r="B724">
            <v>0</v>
          </cell>
          <cell r="C724">
            <v>1202400</v>
          </cell>
          <cell r="D724">
            <v>0</v>
          </cell>
          <cell r="E724" t="str">
            <v>CYLINDER-LINEAR DE 025 0030</v>
          </cell>
          <cell r="F724">
            <v>361.53179999999998</v>
          </cell>
        </row>
        <row r="725">
          <cell r="A725" t="str">
            <v>ECXSM32-100</v>
          </cell>
          <cell r="B725" t="str">
            <v>CXSM32-100</v>
          </cell>
          <cell r="C725">
            <v>1202621</v>
          </cell>
          <cell r="D725">
            <v>0</v>
          </cell>
          <cell r="E725" t="str">
            <v>CYLINDER-LINEAR DE 032 0100</v>
          </cell>
          <cell r="F725">
            <v>400.29570000000001</v>
          </cell>
        </row>
        <row r="726">
          <cell r="A726" t="str">
            <v>EIS3000-F02</v>
          </cell>
          <cell r="B726">
            <v>0</v>
          </cell>
          <cell r="C726">
            <v>1326002</v>
          </cell>
          <cell r="D726">
            <v>0</v>
          </cell>
          <cell r="E726" t="str">
            <v>SWITCH-PRESS. SMC  EIS3000-F02</v>
          </cell>
          <cell r="F726">
            <v>119.20230000000001</v>
          </cell>
        </row>
        <row r="727">
          <cell r="A727" t="str">
            <v>EJ101H-030N</v>
          </cell>
          <cell r="B727">
            <v>0</v>
          </cell>
          <cell r="C727">
            <v>1360639</v>
          </cell>
          <cell r="D727">
            <v>0</v>
          </cell>
          <cell r="E727" t="str">
            <v>CARTRIDGE-FILTER-PNEUMATIC 30 MICRONS</v>
          </cell>
          <cell r="F727">
            <v>16.074449999999999</v>
          </cell>
        </row>
        <row r="728">
          <cell r="A728" t="str">
            <v>EMGQL20-100</v>
          </cell>
          <cell r="B728" t="str">
            <v xml:space="preserve">MGQL20-100 </v>
          </cell>
          <cell r="C728">
            <v>1202744</v>
          </cell>
          <cell r="D728">
            <v>0</v>
          </cell>
          <cell r="E728" t="str">
            <v>CYLINDER-LINEAR DE 020 0100</v>
          </cell>
          <cell r="F728">
            <v>569.19870000000003</v>
          </cell>
        </row>
        <row r="729">
          <cell r="A729" t="str">
            <v>EMGQL25-20</v>
          </cell>
          <cell r="B729">
            <v>0</v>
          </cell>
          <cell r="C729">
            <v>1202484</v>
          </cell>
          <cell r="D729">
            <v>0</v>
          </cell>
          <cell r="E729">
            <v>0</v>
          </cell>
          <cell r="F729">
            <v>600.11279999999999</v>
          </cell>
        </row>
        <row r="730">
          <cell r="A730" t="str">
            <v>EMGQL25-40</v>
          </cell>
          <cell r="B730" t="str">
            <v xml:space="preserve">MGQL25-40  </v>
          </cell>
          <cell r="C730">
            <v>1202636</v>
          </cell>
          <cell r="D730">
            <v>0</v>
          </cell>
          <cell r="E730" t="str">
            <v>CYLINDER-LINEAR DE 025 0040</v>
          </cell>
          <cell r="F730">
            <v>544.45859999999993</v>
          </cell>
        </row>
        <row r="731">
          <cell r="A731" t="str">
            <v>EMGQL25-75</v>
          </cell>
          <cell r="B731" t="str">
            <v>MGQL25-75</v>
          </cell>
          <cell r="C731">
            <v>1202576</v>
          </cell>
          <cell r="D731">
            <v>0</v>
          </cell>
          <cell r="E731">
            <v>0</v>
          </cell>
          <cell r="F731">
            <v>587.76480000000004</v>
          </cell>
        </row>
        <row r="732">
          <cell r="A732" t="str">
            <v>EMGQL40-25</v>
          </cell>
          <cell r="B732">
            <v>0</v>
          </cell>
          <cell r="C732">
            <v>1202808</v>
          </cell>
          <cell r="D732">
            <v>0</v>
          </cell>
          <cell r="E732" t="str">
            <v>CYLINDER-LINEAR DE 040 0025</v>
          </cell>
          <cell r="F732">
            <v>800.15039999999999</v>
          </cell>
        </row>
        <row r="733">
          <cell r="A733" t="str">
            <v>EMGQM20-20</v>
          </cell>
          <cell r="B733">
            <v>0</v>
          </cell>
          <cell r="C733">
            <v>1202373</v>
          </cell>
          <cell r="D733">
            <v>0</v>
          </cell>
          <cell r="E733" t="str">
            <v>CYLINDER-LINEAR DE 020 0020</v>
          </cell>
          <cell r="F733">
            <v>428.65200000000004</v>
          </cell>
        </row>
        <row r="734">
          <cell r="A734" t="str">
            <v>EMGQM20-50</v>
          </cell>
          <cell r="B734">
            <v>0</v>
          </cell>
          <cell r="C734">
            <v>1202740</v>
          </cell>
          <cell r="D734">
            <v>0</v>
          </cell>
          <cell r="E734" t="str">
            <v>CYLINDER-LINEAR DE 020 0050</v>
          </cell>
          <cell r="F734">
            <v>450.08460000000002</v>
          </cell>
        </row>
        <row r="735">
          <cell r="A735" t="str">
            <v>EMGQM20-75</v>
          </cell>
          <cell r="B735">
            <v>0</v>
          </cell>
          <cell r="C735">
            <v>1202547</v>
          </cell>
          <cell r="D735">
            <v>0</v>
          </cell>
          <cell r="E735" t="str">
            <v>CYLINDER-LINEAR DE 020 0075</v>
          </cell>
          <cell r="F735">
            <v>450.08459999999997</v>
          </cell>
        </row>
        <row r="736">
          <cell r="A736" t="str">
            <v>EMGQM32-100</v>
          </cell>
          <cell r="B736">
            <v>0</v>
          </cell>
          <cell r="C736">
            <v>1202258</v>
          </cell>
          <cell r="D736">
            <v>0</v>
          </cell>
          <cell r="E736">
            <v>0</v>
          </cell>
          <cell r="F736">
            <v>823.39109999999994</v>
          </cell>
        </row>
        <row r="737">
          <cell r="A737" t="str">
            <v>EMGQM32-50</v>
          </cell>
          <cell r="B737">
            <v>0</v>
          </cell>
          <cell r="C737">
            <v>1202582</v>
          </cell>
          <cell r="D737">
            <v>0</v>
          </cell>
          <cell r="E737">
            <v>0</v>
          </cell>
          <cell r="F737">
            <v>719.80020000000002</v>
          </cell>
        </row>
        <row r="738">
          <cell r="A738" t="str">
            <v>EMGQM32-75</v>
          </cell>
          <cell r="B738">
            <v>0</v>
          </cell>
          <cell r="C738">
            <v>1202546</v>
          </cell>
          <cell r="D738">
            <v>0</v>
          </cell>
          <cell r="E738" t="str">
            <v>CYLINDER-LINEAR DE 032 0075</v>
          </cell>
          <cell r="F738">
            <v>771.57359999999994</v>
          </cell>
        </row>
        <row r="739">
          <cell r="A739" t="str">
            <v>EMGQM40-25</v>
          </cell>
          <cell r="B739" t="str">
            <v>MGQM40-25</v>
          </cell>
          <cell r="C739">
            <v>1202815</v>
          </cell>
          <cell r="D739">
            <v>0</v>
          </cell>
          <cell r="E739">
            <v>0</v>
          </cell>
          <cell r="F739">
            <v>609.41790000000003</v>
          </cell>
        </row>
        <row r="740">
          <cell r="A740" t="str">
            <v>EMSQ B100R</v>
          </cell>
          <cell r="B740" t="str">
            <v>MSQB100R</v>
          </cell>
          <cell r="C740">
            <v>1261055</v>
          </cell>
          <cell r="D740">
            <v>0</v>
          </cell>
          <cell r="E740">
            <v>0</v>
          </cell>
          <cell r="F740">
            <v>1637.0360999999998</v>
          </cell>
        </row>
        <row r="741">
          <cell r="A741" t="str">
            <v>EMSQB100A</v>
          </cell>
          <cell r="B741">
            <v>0</v>
          </cell>
          <cell r="C741">
            <v>1580427</v>
          </cell>
          <cell r="D741">
            <v>0</v>
          </cell>
          <cell r="E741">
            <v>0</v>
          </cell>
          <cell r="F741">
            <v>1521.94</v>
          </cell>
        </row>
        <row r="742">
          <cell r="A742" t="str">
            <v>EMXQ25-75B</v>
          </cell>
          <cell r="B742" t="str">
            <v xml:space="preserve">MXQ25-75B </v>
          </cell>
          <cell r="C742">
            <v>1261024</v>
          </cell>
          <cell r="D742">
            <v>0</v>
          </cell>
          <cell r="E742">
            <v>0</v>
          </cell>
          <cell r="F742">
            <v>1478.9817</v>
          </cell>
        </row>
        <row r="743">
          <cell r="A743" t="str">
            <v>EMXS 20-75</v>
          </cell>
          <cell r="B743" t="str">
            <v>MXS20-75</v>
          </cell>
          <cell r="C743">
            <v>1260911</v>
          </cell>
          <cell r="D743">
            <v>0</v>
          </cell>
          <cell r="E743">
            <v>0</v>
          </cell>
          <cell r="F743">
            <v>1105.8074999999999</v>
          </cell>
        </row>
        <row r="744">
          <cell r="A744" t="str">
            <v>EMXS20-100</v>
          </cell>
          <cell r="B744">
            <v>0</v>
          </cell>
          <cell r="C744">
            <v>1127415</v>
          </cell>
          <cell r="D744">
            <v>0</v>
          </cell>
          <cell r="E744" t="str">
            <v>UNIT LINEAR 020-0100</v>
          </cell>
          <cell r="F744">
            <v>1523.8314</v>
          </cell>
        </row>
        <row r="745">
          <cell r="A745" t="str">
            <v>EMXS20-100AS</v>
          </cell>
          <cell r="B745" t="str">
            <v>MXS20-100AS</v>
          </cell>
          <cell r="C745">
            <v>1202860</v>
          </cell>
          <cell r="D745">
            <v>0</v>
          </cell>
          <cell r="E745" t="str">
            <v>UNIT TRANSLATORY 20-100</v>
          </cell>
          <cell r="F745">
            <v>1338.6114</v>
          </cell>
        </row>
        <row r="746">
          <cell r="A746" t="str">
            <v>EMXS-20-125</v>
          </cell>
          <cell r="B746" t="str">
            <v>MXS20-125</v>
          </cell>
          <cell r="C746">
            <v>1261014</v>
          </cell>
          <cell r="D746">
            <v>0</v>
          </cell>
          <cell r="E746">
            <v>0</v>
          </cell>
          <cell r="F746">
            <v>1433.2059000000002</v>
          </cell>
        </row>
        <row r="747">
          <cell r="A747" t="str">
            <v>EMXS-20-150</v>
          </cell>
          <cell r="B747" t="str">
            <v>MXS20-150</v>
          </cell>
          <cell r="C747">
            <v>1260740</v>
          </cell>
          <cell r="D747">
            <v>0</v>
          </cell>
          <cell r="E747">
            <v>0</v>
          </cell>
          <cell r="F747">
            <v>1596.8610000000001</v>
          </cell>
        </row>
        <row r="748">
          <cell r="A748" t="str">
            <v>EMXS-20-30</v>
          </cell>
          <cell r="B748" t="str">
            <v>MXS20-30</v>
          </cell>
          <cell r="C748">
            <v>1127419</v>
          </cell>
          <cell r="D748">
            <v>0</v>
          </cell>
          <cell r="E748">
            <v>0</v>
          </cell>
          <cell r="F748">
            <v>973.68389999999999</v>
          </cell>
        </row>
        <row r="749">
          <cell r="A749" t="str">
            <v>EMXS-20-50</v>
          </cell>
          <cell r="B749" t="str">
            <v>MXS20-50</v>
          </cell>
          <cell r="C749">
            <v>1127414</v>
          </cell>
          <cell r="D749">
            <v>0</v>
          </cell>
          <cell r="E749">
            <v>0</v>
          </cell>
          <cell r="F749">
            <v>1130.8563000000001</v>
          </cell>
        </row>
        <row r="750">
          <cell r="A750" t="str">
            <v>EMXS-25-100</v>
          </cell>
          <cell r="B750" t="str">
            <v>MXS25-100</v>
          </cell>
          <cell r="C750">
            <v>1127418</v>
          </cell>
          <cell r="D750">
            <v>0</v>
          </cell>
          <cell r="E750">
            <v>0</v>
          </cell>
          <cell r="F750">
            <v>1737.7605000000001</v>
          </cell>
        </row>
        <row r="751">
          <cell r="A751" t="str">
            <v>EMXS25-125</v>
          </cell>
          <cell r="B751">
            <v>0</v>
          </cell>
          <cell r="C751">
            <v>1261941</v>
          </cell>
          <cell r="D751">
            <v>0</v>
          </cell>
          <cell r="E751">
            <v>0</v>
          </cell>
          <cell r="F751">
            <v>1956.0996000000002</v>
          </cell>
        </row>
        <row r="752">
          <cell r="A752" t="str">
            <v>EMXS25-150</v>
          </cell>
          <cell r="B752">
            <v>0</v>
          </cell>
          <cell r="C752">
            <v>1127455</v>
          </cell>
          <cell r="D752">
            <v>0</v>
          </cell>
          <cell r="E752" t="str">
            <v>UNIT-LINEAR 025 0150</v>
          </cell>
          <cell r="F752">
            <v>2174.3946000000005</v>
          </cell>
        </row>
        <row r="753">
          <cell r="A753" t="str">
            <v>EMXS-25-30</v>
          </cell>
          <cell r="B753" t="str">
            <v>MXS25-30</v>
          </cell>
          <cell r="C753">
            <v>1127416</v>
          </cell>
          <cell r="D753">
            <v>0</v>
          </cell>
          <cell r="E753">
            <v>0</v>
          </cell>
          <cell r="F753">
            <v>1301.1264000000001</v>
          </cell>
        </row>
        <row r="754">
          <cell r="A754" t="str">
            <v>EMXS-25-50</v>
          </cell>
          <cell r="B754" t="str">
            <v>MXS25-50</v>
          </cell>
          <cell r="C754">
            <v>1127417</v>
          </cell>
          <cell r="D754">
            <v>0</v>
          </cell>
          <cell r="E754">
            <v>0</v>
          </cell>
          <cell r="F754">
            <v>1301.1264000000001</v>
          </cell>
        </row>
        <row r="755">
          <cell r="A755" t="str">
            <v>EMXS25-50AS</v>
          </cell>
          <cell r="B755" t="str">
            <v>MXS25-50AS</v>
          </cell>
          <cell r="C755">
            <v>1202630</v>
          </cell>
          <cell r="D755">
            <v>0</v>
          </cell>
          <cell r="E755" t="str">
            <v>UNIT-TRANSLATORY 025 0050</v>
          </cell>
          <cell r="F755">
            <v>1164.0195000000001</v>
          </cell>
        </row>
        <row r="756">
          <cell r="A756" t="str">
            <v>EMXW20-100B</v>
          </cell>
          <cell r="B756" t="str">
            <v>MXW20-100B</v>
          </cell>
          <cell r="C756">
            <v>1260804</v>
          </cell>
          <cell r="D756">
            <v>0</v>
          </cell>
          <cell r="E756">
            <v>0</v>
          </cell>
          <cell r="F756">
            <v>2156.8427999999999</v>
          </cell>
        </row>
        <row r="757">
          <cell r="A757" t="str">
            <v>ERSDQB12-10D</v>
          </cell>
          <cell r="B757" t="str">
            <v>RSDQB12-10D</v>
          </cell>
          <cell r="C757">
            <v>1260702</v>
          </cell>
          <cell r="D757">
            <v>0</v>
          </cell>
          <cell r="E757" t="str">
            <v>CYLINDER-LINEAR DE 012 0010</v>
          </cell>
          <cell r="F757">
            <v>106.14869999999999</v>
          </cell>
        </row>
        <row r="758">
          <cell r="A758" t="str">
            <v>ERSDQB20-15D</v>
          </cell>
          <cell r="B758">
            <v>0</v>
          </cell>
          <cell r="C758" t="str">
            <v>G1004034</v>
          </cell>
          <cell r="D758" t="str">
            <v>80.0000.0368</v>
          </cell>
          <cell r="E758" t="str">
            <v>Cylinder</v>
          </cell>
          <cell r="F758">
            <v>160.44999999999999</v>
          </cell>
        </row>
        <row r="759">
          <cell r="A759" t="str">
            <v>ERSDQB20-20D</v>
          </cell>
          <cell r="B759">
            <v>0</v>
          </cell>
          <cell r="C759">
            <v>1202741</v>
          </cell>
          <cell r="D759">
            <v>0</v>
          </cell>
          <cell r="E759">
            <v>0</v>
          </cell>
          <cell r="F759">
            <v>143.14860000000002</v>
          </cell>
        </row>
        <row r="760">
          <cell r="A760" t="str">
            <v>ERSDQB32-20D</v>
          </cell>
          <cell r="B760">
            <v>0</v>
          </cell>
          <cell r="C760">
            <v>1202543</v>
          </cell>
          <cell r="D760">
            <v>0</v>
          </cell>
          <cell r="E760">
            <v>0</v>
          </cell>
          <cell r="F760">
            <v>181.73610000000002</v>
          </cell>
        </row>
        <row r="761">
          <cell r="A761" t="str">
            <v>ERSDQB40-20T</v>
          </cell>
          <cell r="B761">
            <v>0</v>
          </cell>
          <cell r="C761">
            <v>1202700</v>
          </cell>
          <cell r="D761">
            <v>0</v>
          </cell>
          <cell r="E761" t="str">
            <v>CYLINDER-LINEAR SE 040 0020</v>
          </cell>
          <cell r="F761">
            <v>176.48820000000001</v>
          </cell>
        </row>
        <row r="762">
          <cell r="A762" t="str">
            <v>ERSDQB40-30D</v>
          </cell>
          <cell r="B762">
            <v>0</v>
          </cell>
          <cell r="C762">
            <v>1202544</v>
          </cell>
          <cell r="D762">
            <v>0</v>
          </cell>
          <cell r="E762">
            <v>0</v>
          </cell>
          <cell r="F762">
            <v>217.10429999999999</v>
          </cell>
        </row>
        <row r="763">
          <cell r="A763" t="str">
            <v>ERSQB12-10T</v>
          </cell>
          <cell r="B763" t="str">
            <v>RSQB12-10T</v>
          </cell>
          <cell r="C763">
            <v>1260214</v>
          </cell>
          <cell r="D763">
            <v>0</v>
          </cell>
          <cell r="E763" t="str">
            <v>CYLINDER-LINEAR DE 012 0010</v>
          </cell>
          <cell r="F763">
            <v>100.85669999999999</v>
          </cell>
        </row>
        <row r="764">
          <cell r="A764" t="str">
            <v>EVF3133-5YOB-01F</v>
          </cell>
          <cell r="B764">
            <v>0</v>
          </cell>
          <cell r="C764">
            <v>1301085</v>
          </cell>
          <cell r="D764">
            <v>0</v>
          </cell>
          <cell r="E764" t="str">
            <v>ELECTROVALVE 5/2 MONOSTABLE</v>
          </cell>
          <cell r="F764">
            <v>235.18529999999998</v>
          </cell>
        </row>
        <row r="765">
          <cell r="A765" t="str">
            <v>EVF3133-5YOB-02F</v>
          </cell>
          <cell r="B765">
            <v>0</v>
          </cell>
          <cell r="C765">
            <v>1301091</v>
          </cell>
          <cell r="D765">
            <v>0</v>
          </cell>
          <cell r="E765">
            <v>0</v>
          </cell>
          <cell r="F765">
            <v>235.18529999999998</v>
          </cell>
        </row>
        <row r="766">
          <cell r="A766" t="str">
            <v>EVF5120-5YOB-03F</v>
          </cell>
          <cell r="B766">
            <v>0</v>
          </cell>
          <cell r="C766">
            <v>1360403</v>
          </cell>
          <cell r="D766">
            <v>0</v>
          </cell>
          <cell r="E766">
            <v>0</v>
          </cell>
          <cell r="F766">
            <v>247.6215</v>
          </cell>
        </row>
        <row r="767">
          <cell r="A767" t="str">
            <v>EVF5320-5YOB-03F</v>
          </cell>
          <cell r="B767">
            <v>0</v>
          </cell>
          <cell r="C767">
            <v>1360398</v>
          </cell>
          <cell r="D767">
            <v>0</v>
          </cell>
          <cell r="E767">
            <v>0</v>
          </cell>
          <cell r="F767">
            <v>401.01599999999996</v>
          </cell>
        </row>
        <row r="768">
          <cell r="A768" t="str">
            <v>EVFA3130-01F</v>
          </cell>
          <cell r="B768">
            <v>0</v>
          </cell>
          <cell r="C768">
            <v>1301105</v>
          </cell>
          <cell r="D768">
            <v>0</v>
          </cell>
          <cell r="E768" t="str">
            <v>ELECTROVALVE 5/2 MONOSTABLE</v>
          </cell>
          <cell r="F768">
            <v>199.33199999999999</v>
          </cell>
        </row>
        <row r="769">
          <cell r="A769" t="str">
            <v>EVFS1130-5YOB-01F</v>
          </cell>
          <cell r="B769">
            <v>0</v>
          </cell>
          <cell r="C769">
            <v>1301049</v>
          </cell>
          <cell r="D769">
            <v>0</v>
          </cell>
          <cell r="E769" t="str">
            <v>ELECTROVALVE 5/2 MONOSTABLE</v>
          </cell>
          <cell r="F769">
            <v>197.7885</v>
          </cell>
        </row>
        <row r="770">
          <cell r="A770" t="str">
            <v>EVR1210-F01</v>
          </cell>
          <cell r="B770">
            <v>0</v>
          </cell>
          <cell r="C770">
            <v>1301098</v>
          </cell>
          <cell r="D770">
            <v>0</v>
          </cell>
          <cell r="E770">
            <v>0</v>
          </cell>
          <cell r="F770">
            <v>32.016600000000004</v>
          </cell>
        </row>
        <row r="771">
          <cell r="A771" t="str">
            <v>EVR1220-F02</v>
          </cell>
          <cell r="B771">
            <v>0</v>
          </cell>
          <cell r="C771">
            <v>1301099</v>
          </cell>
          <cell r="D771">
            <v>0</v>
          </cell>
          <cell r="E771" t="str">
            <v>SELECTOR-CIRCUIT G1/4</v>
          </cell>
          <cell r="F771">
            <v>35.853299999999997</v>
          </cell>
        </row>
        <row r="772">
          <cell r="A772" t="str">
            <v>EVT307-5D-01F-Q</v>
          </cell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67.349999999999994</v>
          </cell>
        </row>
        <row r="773">
          <cell r="A773" t="str">
            <v>EVT307-5DO-01F-Q</v>
          </cell>
          <cell r="B773">
            <v>0</v>
          </cell>
          <cell r="C773">
            <v>1301053</v>
          </cell>
          <cell r="D773">
            <v>0</v>
          </cell>
          <cell r="E773" t="str">
            <v>ELECTROVALVE 3/2 NC</v>
          </cell>
          <cell r="F773">
            <v>61.885824</v>
          </cell>
        </row>
        <row r="774">
          <cell r="A774" t="str">
            <v>EVT317-5DO-02F-Q</v>
          </cell>
          <cell r="B774">
            <v>0</v>
          </cell>
          <cell r="C774">
            <v>1301062</v>
          </cell>
          <cell r="D774">
            <v>0</v>
          </cell>
          <cell r="E774" t="str">
            <v>ELECTROVALVE 3/2 NC</v>
          </cell>
          <cell r="F774">
            <v>169.74089999999998</v>
          </cell>
        </row>
        <row r="775">
          <cell r="A775" t="str">
            <v>EVT317V-5DO-02F-Q</v>
          </cell>
          <cell r="B775">
            <v>0</v>
          </cell>
          <cell r="C775">
            <v>1360677</v>
          </cell>
          <cell r="D775">
            <v>0</v>
          </cell>
          <cell r="E775" t="str">
            <v>ELECTROVALVE 3/2 NC</v>
          </cell>
          <cell r="F775">
            <v>175.38570000000001</v>
          </cell>
        </row>
        <row r="776">
          <cell r="A776" t="str">
            <v>EVV3Z5-21-031-00F</v>
          </cell>
          <cell r="B776">
            <v>0</v>
          </cell>
          <cell r="C776">
            <v>1302042</v>
          </cell>
          <cell r="D776">
            <v>0</v>
          </cell>
          <cell r="E776">
            <v>0</v>
          </cell>
          <cell r="F776">
            <v>61.984999999999999</v>
          </cell>
        </row>
        <row r="777">
          <cell r="A777" t="str">
            <v>EVV4Z1-20-031-00F</v>
          </cell>
          <cell r="B777">
            <v>0</v>
          </cell>
          <cell r="C777">
            <v>1302016</v>
          </cell>
          <cell r="D777">
            <v>0</v>
          </cell>
          <cell r="E777" t="str">
            <v>SEATING- 3 POSITIONS</v>
          </cell>
          <cell r="F777">
            <v>47.186999999999998</v>
          </cell>
        </row>
        <row r="778">
          <cell r="A778" t="str">
            <v>EVV4Z1-20-041-00F</v>
          </cell>
          <cell r="B778">
            <v>0</v>
          </cell>
          <cell r="C778">
            <v>1302022</v>
          </cell>
          <cell r="D778">
            <v>0</v>
          </cell>
          <cell r="E778" t="str">
            <v>SEATING- 4 POSITIONS</v>
          </cell>
          <cell r="F778">
            <v>62.401500000000006</v>
          </cell>
        </row>
        <row r="779">
          <cell r="A779" t="str">
            <v>EVV4Z1-20-061-00F</v>
          </cell>
          <cell r="B779">
            <v>0</v>
          </cell>
          <cell r="C779">
            <v>1302018</v>
          </cell>
          <cell r="D779">
            <v>0</v>
          </cell>
          <cell r="E779" t="str">
            <v>SEATING- 6 POSITIONS</v>
          </cell>
          <cell r="F779">
            <v>92.7423</v>
          </cell>
        </row>
        <row r="780">
          <cell r="A780" t="str">
            <v>EVV4Z1-20-081-00F</v>
          </cell>
          <cell r="B780">
            <v>0</v>
          </cell>
          <cell r="C780">
            <v>1302019</v>
          </cell>
          <cell r="D780">
            <v>0</v>
          </cell>
          <cell r="E780" t="str">
            <v>SEATING- 8 POSITIONS</v>
          </cell>
          <cell r="F780">
            <v>123.1272</v>
          </cell>
        </row>
        <row r="781">
          <cell r="A781" t="str">
            <v>EVV5J3-S41-04-M5F</v>
          </cell>
          <cell r="B781">
            <v>0</v>
          </cell>
          <cell r="C781">
            <v>1302051</v>
          </cell>
          <cell r="D781">
            <v>0</v>
          </cell>
          <cell r="E781" t="str">
            <v>SEATING- 4 POSITIONS</v>
          </cell>
          <cell r="F781">
            <v>101.087</v>
          </cell>
        </row>
        <row r="782">
          <cell r="A782" t="str">
            <v>EVZ5123-5MOZ-01F</v>
          </cell>
          <cell r="B782">
            <v>0</v>
          </cell>
          <cell r="C782">
            <v>1302046</v>
          </cell>
          <cell r="D782" t="str">
            <v>80.0000.8412</v>
          </cell>
          <cell r="E782">
            <v>0</v>
          </cell>
          <cell r="F782">
            <v>138.32582399999998</v>
          </cell>
        </row>
        <row r="783">
          <cell r="A783" t="str">
            <v>EVZ512M-5MOZ-01F</v>
          </cell>
          <cell r="B783">
            <v>0</v>
          </cell>
          <cell r="C783">
            <v>0</v>
          </cell>
          <cell r="D783" t="str">
            <v>80.0000.7689</v>
          </cell>
          <cell r="E783" t="str">
            <v>Valve</v>
          </cell>
          <cell r="F783">
            <v>143.25875199999999</v>
          </cell>
        </row>
        <row r="784">
          <cell r="A784" t="str">
            <v>EVZM550-F01-01S</v>
          </cell>
          <cell r="B784">
            <v>0</v>
          </cell>
          <cell r="C784">
            <v>1360360</v>
          </cell>
          <cell r="D784">
            <v>0</v>
          </cell>
          <cell r="E784">
            <v>0</v>
          </cell>
          <cell r="F784">
            <v>155.40839999999997</v>
          </cell>
        </row>
        <row r="785">
          <cell r="A785" t="str">
            <v>EX250-EA1</v>
          </cell>
          <cell r="B785">
            <v>0</v>
          </cell>
          <cell r="C785">
            <v>1583566</v>
          </cell>
          <cell r="D785">
            <v>0</v>
          </cell>
          <cell r="E785">
            <v>0</v>
          </cell>
          <cell r="F785">
            <v>28.1358</v>
          </cell>
        </row>
        <row r="786">
          <cell r="A786" t="str">
            <v>EX250-IE3</v>
          </cell>
          <cell r="B786">
            <v>0</v>
          </cell>
          <cell r="C786">
            <v>1582960</v>
          </cell>
          <cell r="D786">
            <v>0</v>
          </cell>
          <cell r="E786">
            <v>0</v>
          </cell>
          <cell r="F786">
            <v>278.62380000000002</v>
          </cell>
        </row>
        <row r="787">
          <cell r="A787" t="str">
            <v>EX250-SCA1A</v>
          </cell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745.32057599999996</v>
          </cell>
        </row>
        <row r="788">
          <cell r="A788" t="str">
            <v>EX250-SCN1</v>
          </cell>
          <cell r="B788">
            <v>0</v>
          </cell>
          <cell r="C788">
            <v>1584657</v>
          </cell>
          <cell r="D788">
            <v>0</v>
          </cell>
          <cell r="E788">
            <v>0</v>
          </cell>
          <cell r="F788">
            <v>2314.7208000000001</v>
          </cell>
        </row>
        <row r="789">
          <cell r="A789" t="str">
            <v>EX250-SPR1</v>
          </cell>
          <cell r="B789">
            <v>0</v>
          </cell>
          <cell r="C789">
            <v>1583568</v>
          </cell>
          <cell r="D789">
            <v>0</v>
          </cell>
          <cell r="E789">
            <v>0</v>
          </cell>
          <cell r="F789">
            <v>1482.4214999999999</v>
          </cell>
        </row>
        <row r="790">
          <cell r="A790" t="str">
            <v>EZFA200-F02</v>
          </cell>
          <cell r="B790">
            <v>0</v>
          </cell>
          <cell r="C790">
            <v>1360638</v>
          </cell>
          <cell r="D790">
            <v>0</v>
          </cell>
          <cell r="E790" t="str">
            <v>FILTER-PNEUMATIC-VACUUM G1/4-G1/4 200L</v>
          </cell>
          <cell r="F790">
            <v>52.093125000000001</v>
          </cell>
        </row>
        <row r="791">
          <cell r="A791" t="str">
            <v>EZH10BS-06-06</v>
          </cell>
          <cell r="B791">
            <v>0</v>
          </cell>
          <cell r="C791">
            <v>1328013</v>
          </cell>
          <cell r="D791">
            <v>0</v>
          </cell>
          <cell r="E791" t="str">
            <v>VENTURI-WITH-SILENCE-BUSE 1.0MM</v>
          </cell>
          <cell r="F791">
            <v>64.915199999999999</v>
          </cell>
        </row>
        <row r="792">
          <cell r="A792" t="str">
            <v>EZH10DS-06-06-08</v>
          </cell>
          <cell r="B792">
            <v>0</v>
          </cell>
          <cell r="C792">
            <v>1328003</v>
          </cell>
          <cell r="D792">
            <v>0</v>
          </cell>
          <cell r="E792" t="str">
            <v>VACUUM GENERATOR EZH10DS060608</v>
          </cell>
          <cell r="F792">
            <v>31.497199999999999</v>
          </cell>
        </row>
        <row r="793">
          <cell r="A793" t="str">
            <v>EZH20DS-12-16-16</v>
          </cell>
          <cell r="B793">
            <v>0</v>
          </cell>
          <cell r="C793">
            <v>1360887</v>
          </cell>
          <cell r="D793">
            <v>0</v>
          </cell>
          <cell r="E793">
            <v>0</v>
          </cell>
          <cell r="F793">
            <v>113.5575</v>
          </cell>
        </row>
        <row r="794">
          <cell r="A794" t="str">
            <v>EZM051HF-K5LOZ</v>
          </cell>
          <cell r="B794">
            <v>0</v>
          </cell>
          <cell r="C794">
            <v>1328011</v>
          </cell>
          <cell r="D794">
            <v>0</v>
          </cell>
          <cell r="E794">
            <v>0</v>
          </cell>
          <cell r="F794">
            <v>344.56800000000004</v>
          </cell>
        </row>
        <row r="795">
          <cell r="A795" t="str">
            <v>EZM051HF-K5LOZ-E55L</v>
          </cell>
          <cell r="B795">
            <v>0</v>
          </cell>
          <cell r="C795">
            <v>1328009</v>
          </cell>
          <cell r="D795">
            <v>0</v>
          </cell>
          <cell r="E795" t="str">
            <v>VACUUM GENERATOR PNP SMC</v>
          </cell>
          <cell r="F795">
            <v>698.85270000000003</v>
          </cell>
        </row>
        <row r="796">
          <cell r="A796" t="str">
            <v>G15-10-01</v>
          </cell>
          <cell r="B796">
            <v>0</v>
          </cell>
          <cell r="C796">
            <v>4001713</v>
          </cell>
          <cell r="D796">
            <v>0</v>
          </cell>
          <cell r="E796" t="str">
            <v>GAUGE-PRESSURE 10BAR G15-10-01</v>
          </cell>
          <cell r="F796">
            <v>29.840999999999998</v>
          </cell>
        </row>
        <row r="797">
          <cell r="A797" t="str">
            <v>G27-10-R1</v>
          </cell>
          <cell r="B797">
            <v>0</v>
          </cell>
          <cell r="C797">
            <v>1324002</v>
          </cell>
          <cell r="D797">
            <v>0</v>
          </cell>
          <cell r="E797" t="str">
            <v>GAUGE-PRESSURE 10BAR G27-10-R1</v>
          </cell>
          <cell r="F797">
            <v>18.521999999999998</v>
          </cell>
        </row>
        <row r="798">
          <cell r="A798" t="str">
            <v>G27-P10-R1-X30</v>
          </cell>
          <cell r="B798">
            <v>0</v>
          </cell>
          <cell r="C798">
            <v>91000880</v>
          </cell>
          <cell r="D798">
            <v>0</v>
          </cell>
          <cell r="E798" t="str">
            <v>GAUGE-PRESSURE 0-160PSI</v>
          </cell>
          <cell r="F798">
            <v>28.1799</v>
          </cell>
        </row>
        <row r="799">
          <cell r="A799" t="str">
            <v>G33-P2-01-X30</v>
          </cell>
          <cell r="B799">
            <v>0</v>
          </cell>
          <cell r="C799" t="str">
            <v>D1003092</v>
          </cell>
          <cell r="D799">
            <v>3603581</v>
          </cell>
          <cell r="E799" t="str">
            <v>GAUGE,R1/8PORT,0-30PSI,30MMOD</v>
          </cell>
          <cell r="F799">
            <v>34.287749999999996</v>
          </cell>
        </row>
        <row r="800">
          <cell r="A800" t="str">
            <v>G36-4-01</v>
          </cell>
          <cell r="B800">
            <v>0</v>
          </cell>
          <cell r="C800">
            <v>1324019</v>
          </cell>
          <cell r="D800">
            <v>0</v>
          </cell>
          <cell r="E800" t="str">
            <v>GAUGE-PRESSURE R1/8 0- 4 BAR FOR EIW 200</v>
          </cell>
          <cell r="F800">
            <v>28.576799999999999</v>
          </cell>
        </row>
        <row r="801">
          <cell r="A801" t="str">
            <v>G36-4-01-X7</v>
          </cell>
          <cell r="B801">
            <v>0</v>
          </cell>
          <cell r="C801">
            <v>1360830</v>
          </cell>
          <cell r="D801">
            <v>0</v>
          </cell>
          <cell r="E801">
            <v>0</v>
          </cell>
          <cell r="F801">
            <v>32.148900000000005</v>
          </cell>
        </row>
        <row r="802">
          <cell r="A802" t="str">
            <v>G36-7-01-X7</v>
          </cell>
          <cell r="B802">
            <v>0</v>
          </cell>
          <cell r="C802">
            <v>1360802</v>
          </cell>
          <cell r="D802">
            <v>0</v>
          </cell>
          <cell r="E802">
            <v>0</v>
          </cell>
          <cell r="F802">
            <v>32.148900000000005</v>
          </cell>
        </row>
        <row r="803">
          <cell r="A803" t="str">
            <v>G43-2-01</v>
          </cell>
          <cell r="B803">
            <v>0</v>
          </cell>
          <cell r="C803">
            <v>4020154</v>
          </cell>
          <cell r="D803">
            <v>0</v>
          </cell>
          <cell r="E803" t="str">
            <v>MANOMETER G1/8 0-2BAR</v>
          </cell>
          <cell r="F803">
            <v>25.73235</v>
          </cell>
        </row>
        <row r="804">
          <cell r="A804" t="str">
            <v>G46-7-02-SRB</v>
          </cell>
          <cell r="B804">
            <v>0</v>
          </cell>
          <cell r="C804">
            <v>1360940</v>
          </cell>
          <cell r="D804">
            <v>0</v>
          </cell>
          <cell r="E804">
            <v>0</v>
          </cell>
          <cell r="F804">
            <v>196.90649999999999</v>
          </cell>
        </row>
        <row r="805">
          <cell r="A805" t="str">
            <v>GKM4-8</v>
          </cell>
          <cell r="B805">
            <v>0</v>
          </cell>
          <cell r="C805" t="str">
            <v>G1004042</v>
          </cell>
          <cell r="D805" t="str">
            <v>80.0000.0343</v>
          </cell>
          <cell r="E805" t="str">
            <v>Cylinder Clevis</v>
          </cell>
          <cell r="F805">
            <v>4.8</v>
          </cell>
        </row>
        <row r="806">
          <cell r="A806" t="str">
            <v>GKM6-12</v>
          </cell>
          <cell r="B806">
            <v>0</v>
          </cell>
          <cell r="C806" t="str">
            <v>G1004038</v>
          </cell>
          <cell r="D806" t="str">
            <v>80.0000.0344</v>
          </cell>
          <cell r="E806" t="str">
            <v>Cylinder Clevis</v>
          </cell>
          <cell r="F806">
            <v>6.05</v>
          </cell>
        </row>
        <row r="807">
          <cell r="A807" t="str">
            <v>GS40-01</v>
          </cell>
          <cell r="B807">
            <v>0</v>
          </cell>
          <cell r="C807">
            <v>91006020</v>
          </cell>
          <cell r="D807">
            <v>0</v>
          </cell>
          <cell r="E807">
            <v>0</v>
          </cell>
          <cell r="F807">
            <v>469.26809999999995</v>
          </cell>
        </row>
        <row r="808">
          <cell r="A808" t="str">
            <v>GZ43-K-01</v>
          </cell>
          <cell r="B808">
            <v>0</v>
          </cell>
          <cell r="C808">
            <v>1360966</v>
          </cell>
          <cell r="D808" t="str">
            <v>80.0000.0815</v>
          </cell>
          <cell r="E808" t="str">
            <v>Manometer - Vakuum</v>
          </cell>
          <cell r="F808">
            <v>32.016600000000004</v>
          </cell>
        </row>
        <row r="809">
          <cell r="A809" t="str">
            <v>GZ46-K-02-C</v>
          </cell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83.900543999999996</v>
          </cell>
        </row>
        <row r="810">
          <cell r="A810" t="str">
            <v>H08-03</v>
          </cell>
          <cell r="B810">
            <v>0</v>
          </cell>
          <cell r="C810">
            <v>4001255</v>
          </cell>
          <cell r="D810">
            <v>0</v>
          </cell>
          <cell r="E810" t="str">
            <v>FITTTING SELF-ALIGN G3/8M 8</v>
          </cell>
          <cell r="F810">
            <v>4.2777000000000003</v>
          </cell>
        </row>
        <row r="811">
          <cell r="A811" t="str">
            <v>I-36S-A</v>
          </cell>
          <cell r="B811">
            <v>0</v>
          </cell>
          <cell r="C811">
            <v>1360710</v>
          </cell>
          <cell r="D811">
            <v>0</v>
          </cell>
          <cell r="E811">
            <v>0</v>
          </cell>
          <cell r="F811">
            <v>48.245400000000004</v>
          </cell>
        </row>
        <row r="812">
          <cell r="A812" t="str">
            <v>I-68S-A</v>
          </cell>
          <cell r="B812">
            <v>0</v>
          </cell>
          <cell r="C812" t="str">
            <v>D1004130</v>
          </cell>
          <cell r="D812">
            <v>3603280</v>
          </cell>
          <cell r="E812" t="str">
            <v>FILTER,ELEMENT,6X4 DIA,25MM L</v>
          </cell>
          <cell r="F812">
            <v>43.266999999999996</v>
          </cell>
        </row>
        <row r="813">
          <cell r="A813" t="str">
            <v>IDFA6E-23</v>
          </cell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4307.9545600000001</v>
          </cell>
        </row>
        <row r="814">
          <cell r="A814" t="str">
            <v>I-J010B</v>
          </cell>
          <cell r="B814">
            <v>0</v>
          </cell>
          <cell r="C814">
            <v>91009990</v>
          </cell>
          <cell r="D814">
            <v>0</v>
          </cell>
          <cell r="E814">
            <v>0</v>
          </cell>
          <cell r="F814">
            <v>10.9368</v>
          </cell>
        </row>
        <row r="815">
          <cell r="A815" t="str">
            <v>I-J016B</v>
          </cell>
          <cell r="B815">
            <v>0</v>
          </cell>
          <cell r="C815">
            <v>4020129</v>
          </cell>
          <cell r="D815">
            <v>0</v>
          </cell>
          <cell r="E815" t="str">
            <v>KNUCKEL JOINT SINGLE</v>
          </cell>
          <cell r="F815">
            <v>10.9368</v>
          </cell>
        </row>
        <row r="816">
          <cell r="A816" t="str">
            <v>IR1000-01BG</v>
          </cell>
          <cell r="B816">
            <v>0</v>
          </cell>
          <cell r="C816">
            <v>4001823</v>
          </cell>
          <cell r="D816" t="str">
            <v>A0000017009</v>
          </cell>
          <cell r="E816" t="str">
            <v>REGULATOR 0-30 PSI GAGE METRIC</v>
          </cell>
          <cell r="F816">
            <v>153.72525000000002</v>
          </cell>
        </row>
        <row r="817">
          <cell r="A817" t="str">
            <v>IR1000-N01</v>
          </cell>
          <cell r="B817">
            <v>0</v>
          </cell>
          <cell r="C817" t="str">
            <v>D1001967</v>
          </cell>
          <cell r="D817">
            <v>3603123</v>
          </cell>
          <cell r="E817" t="str">
            <v>RGLTR,PREC.1/8 NPT(.73-29 PSI)</v>
          </cell>
          <cell r="F817">
            <v>255.07439999999997</v>
          </cell>
        </row>
        <row r="818">
          <cell r="A818" t="str">
            <v>IR1000-N01-X3</v>
          </cell>
          <cell r="B818">
            <v>0</v>
          </cell>
          <cell r="C818">
            <v>91501300</v>
          </cell>
          <cell r="D818">
            <v>0</v>
          </cell>
          <cell r="E818" t="str">
            <v>REGULATOR-PRECISION 0.005-0.2MPA</v>
          </cell>
          <cell r="F818">
            <v>154.8792</v>
          </cell>
        </row>
        <row r="819">
          <cell r="A819" t="str">
            <v>IR1010-F01</v>
          </cell>
          <cell r="B819">
            <v>0</v>
          </cell>
          <cell r="C819">
            <v>1360681</v>
          </cell>
          <cell r="D819">
            <v>0</v>
          </cell>
          <cell r="E819" t="str">
            <v>VALVE-PRESSURE REDUCER G1/8  4BARS</v>
          </cell>
          <cell r="F819">
            <v>104.16420000000001</v>
          </cell>
        </row>
        <row r="820">
          <cell r="A820" t="str">
            <v>IR1010-N01BG</v>
          </cell>
          <cell r="B820">
            <v>0</v>
          </cell>
          <cell r="C820">
            <v>97005170</v>
          </cell>
          <cell r="D820">
            <v>0</v>
          </cell>
          <cell r="E820">
            <v>0</v>
          </cell>
          <cell r="F820">
            <v>183.54419999999999</v>
          </cell>
        </row>
        <row r="821">
          <cell r="A821" t="str">
            <v>IR1020-F01</v>
          </cell>
          <cell r="B821">
            <v>0</v>
          </cell>
          <cell r="C821">
            <v>1581438</v>
          </cell>
          <cell r="D821" t="str">
            <v>80.0000.8393</v>
          </cell>
          <cell r="E821" t="str">
            <v>Speed controller</v>
          </cell>
          <cell r="F821">
            <v>129.94800000000001</v>
          </cell>
        </row>
        <row r="822">
          <cell r="A822" t="str">
            <v>IR2000-02</v>
          </cell>
          <cell r="B822">
            <v>0</v>
          </cell>
          <cell r="C822">
            <v>4020031</v>
          </cell>
          <cell r="D822">
            <v>0</v>
          </cell>
          <cell r="E822" t="str">
            <v>REGULATOR-PRECISION IR2000-02</v>
          </cell>
          <cell r="F822">
            <v>146.70747</v>
          </cell>
        </row>
        <row r="823">
          <cell r="A823" t="str">
            <v>IR2000-F02</v>
          </cell>
          <cell r="B823">
            <v>0</v>
          </cell>
          <cell r="C823">
            <v>1326009</v>
          </cell>
          <cell r="D823">
            <v>0</v>
          </cell>
          <cell r="E823" t="str">
            <v>VALVE-PRESSURE REDUCER G1/4  2BARS</v>
          </cell>
          <cell r="F823">
            <v>205.90289999999999</v>
          </cell>
        </row>
        <row r="824">
          <cell r="A824" t="str">
            <v>IR2000-N02</v>
          </cell>
          <cell r="B824">
            <v>0</v>
          </cell>
          <cell r="C824">
            <v>91000920</v>
          </cell>
          <cell r="D824">
            <v>0</v>
          </cell>
          <cell r="E824" t="str">
            <v>REGULATOR-PREC SEALING 1/4NPT</v>
          </cell>
          <cell r="F824">
            <v>205.90289999999999</v>
          </cell>
        </row>
        <row r="825">
          <cell r="A825" t="str">
            <v>IR2020-F02</v>
          </cell>
          <cell r="B825">
            <v>0</v>
          </cell>
          <cell r="C825">
            <v>1326071</v>
          </cell>
          <cell r="D825" t="str">
            <v>80.0001.0887</v>
          </cell>
          <cell r="E825" t="str">
            <v>Pressure Regulator (PrecisionRegulator)</v>
          </cell>
          <cell r="F825">
            <v>181.70297600000001</v>
          </cell>
        </row>
        <row r="826">
          <cell r="A826" t="str">
            <v>IRV10-C08BG</v>
          </cell>
          <cell r="B826">
            <v>0</v>
          </cell>
          <cell r="C826">
            <v>1585926</v>
          </cell>
          <cell r="D826">
            <v>0</v>
          </cell>
          <cell r="E826" t="str">
            <v>REGULATOR-VACUUM-140L/MN</v>
          </cell>
          <cell r="F826">
            <v>140.16449999999998</v>
          </cell>
        </row>
        <row r="827">
          <cell r="A827" t="str">
            <v>IRV20-04BG-X3</v>
          </cell>
          <cell r="B827">
            <v>0</v>
          </cell>
          <cell r="C827">
            <v>4001678</v>
          </cell>
          <cell r="D827">
            <v>0</v>
          </cell>
          <cell r="E827" t="str">
            <v>VACUUM-REGULATOR G1/2</v>
          </cell>
          <cell r="F827">
            <v>212.709</v>
          </cell>
        </row>
        <row r="828">
          <cell r="A828" t="str">
            <v>IS1000-01S-X202</v>
          </cell>
          <cell r="B828">
            <v>0</v>
          </cell>
          <cell r="C828">
            <v>4000576</v>
          </cell>
          <cell r="D828">
            <v>0</v>
          </cell>
          <cell r="E828" t="str">
            <v>PRESSURE SWITCH</v>
          </cell>
          <cell r="F828">
            <v>119.29050000000001</v>
          </cell>
        </row>
        <row r="829">
          <cell r="A829" t="str">
            <v>IS1000E-3F02YL-X215</v>
          </cell>
          <cell r="B829">
            <v>0</v>
          </cell>
          <cell r="C829">
            <v>1326016</v>
          </cell>
          <cell r="D829">
            <v>0</v>
          </cell>
          <cell r="E829" t="str">
            <v>SWITCH-PRESS. 0.1-0.6BAR S2000 /BASE+L</v>
          </cell>
          <cell r="F829">
            <v>145.39770000000001</v>
          </cell>
        </row>
        <row r="830">
          <cell r="A830" t="str">
            <v>IS1000E-3F03YL-X215</v>
          </cell>
          <cell r="B830">
            <v>0</v>
          </cell>
          <cell r="C830">
            <v>1360155</v>
          </cell>
          <cell r="D830">
            <v>0</v>
          </cell>
          <cell r="E830">
            <v>0</v>
          </cell>
          <cell r="F830">
            <v>145.39770000000001</v>
          </cell>
        </row>
        <row r="831">
          <cell r="A831" t="str">
            <v>ISE30A-01-N-L</v>
          </cell>
          <cell r="B831">
            <v>0</v>
          </cell>
          <cell r="C831">
            <v>0</v>
          </cell>
          <cell r="D831" t="str">
            <v>80.0001.0563</v>
          </cell>
          <cell r="E831" t="str">
            <v>Pressure Sensor (NPN)</v>
          </cell>
          <cell r="F831">
            <v>178.45</v>
          </cell>
        </row>
        <row r="832">
          <cell r="A832" t="str">
            <v>ISE30A-01-P</v>
          </cell>
          <cell r="B832">
            <v>0</v>
          </cell>
          <cell r="C832">
            <v>1361119</v>
          </cell>
          <cell r="D832">
            <v>0</v>
          </cell>
          <cell r="E832" t="str">
            <v>SWITCH-PRESS.-DIGITAL PNP -1 TO 10 BAR</v>
          </cell>
          <cell r="F832">
            <v>106.7024</v>
          </cell>
        </row>
        <row r="833">
          <cell r="A833" t="str">
            <v>ISE30A-01-P-L</v>
          </cell>
          <cell r="B833">
            <v>0</v>
          </cell>
          <cell r="C833">
            <v>4001395</v>
          </cell>
          <cell r="D833">
            <v>0</v>
          </cell>
          <cell r="E833" t="str">
            <v>SWITCH-PRESS.-DIGITAL PNP 0-10 BAR IP40</v>
          </cell>
          <cell r="F833">
            <v>118.44279999999999</v>
          </cell>
        </row>
        <row r="834">
          <cell r="A834" t="str">
            <v>ISE30A-N01-N-PLB</v>
          </cell>
          <cell r="B834">
            <v>0</v>
          </cell>
          <cell r="C834" t="str">
            <v>D1001099</v>
          </cell>
          <cell r="D834">
            <v>3603835</v>
          </cell>
          <cell r="E834" t="str">
            <v>PRESSURE SENSOR DIGITAL</v>
          </cell>
          <cell r="F834">
            <v>180.07499999999999</v>
          </cell>
        </row>
        <row r="835">
          <cell r="A835" t="str">
            <v>ISE40-01-62L</v>
          </cell>
          <cell r="B835">
            <v>0</v>
          </cell>
          <cell r="C835">
            <v>1360016</v>
          </cell>
          <cell r="D835">
            <v>0</v>
          </cell>
          <cell r="E835" t="str">
            <v>SWITCH-PRESS.-DIGITALIS PNP 0-10BAR IP65</v>
          </cell>
          <cell r="F835">
            <v>215.34030000000001</v>
          </cell>
        </row>
        <row r="836">
          <cell r="A836" t="str">
            <v>ITV1030-31F2N-Q</v>
          </cell>
          <cell r="B836">
            <v>0</v>
          </cell>
          <cell r="C836">
            <v>1360655</v>
          </cell>
          <cell r="D836">
            <v>0</v>
          </cell>
          <cell r="E836">
            <v>0</v>
          </cell>
          <cell r="F836">
            <v>548.75100000000009</v>
          </cell>
        </row>
        <row r="837">
          <cell r="A837" t="str">
            <v>ITV1050-40F2BS-X310</v>
          </cell>
          <cell r="B837">
            <v>0</v>
          </cell>
          <cell r="C837">
            <v>1360867</v>
          </cell>
          <cell r="D837">
            <v>0</v>
          </cell>
          <cell r="E837" t="str">
            <v>REGULATOR-ELECTRO-PNEUMATIC-0.9MPA RS232</v>
          </cell>
          <cell r="F837">
            <v>657.29947500000003</v>
          </cell>
        </row>
        <row r="838">
          <cell r="A838" t="str">
            <v>ITV1050-40F2CS</v>
          </cell>
          <cell r="B838">
            <v>0</v>
          </cell>
          <cell r="C838">
            <v>1361043</v>
          </cell>
          <cell r="D838">
            <v>0</v>
          </cell>
          <cell r="E838" t="str">
            <v>NUMERO A REPRENDRE</v>
          </cell>
          <cell r="F838">
            <v>527.56830000000002</v>
          </cell>
        </row>
        <row r="839">
          <cell r="A839" t="str">
            <v>ITV2030-02N2CS4-Q</v>
          </cell>
          <cell r="B839">
            <v>0</v>
          </cell>
          <cell r="C839" t="str">
            <v>D1002625</v>
          </cell>
          <cell r="D839">
            <v>2101158</v>
          </cell>
          <cell r="E839" t="str">
            <v>REGULATOR ELCTRO-PNEUMATIC</v>
          </cell>
          <cell r="F839">
            <v>889.05600000000004</v>
          </cell>
        </row>
        <row r="840">
          <cell r="A840" t="str">
            <v>ITV2050-02N2CS4</v>
          </cell>
          <cell r="B840">
            <v>0</v>
          </cell>
          <cell r="C840">
            <v>0</v>
          </cell>
          <cell r="D840">
            <v>3603775</v>
          </cell>
          <cell r="E840" t="str">
            <v>REGULATOR,ELCTRO-PNEUMATIC</v>
          </cell>
          <cell r="F840">
            <v>876.75</v>
          </cell>
        </row>
        <row r="841">
          <cell r="A841" t="str">
            <v>IY-J010</v>
          </cell>
          <cell r="B841">
            <v>0</v>
          </cell>
          <cell r="C841">
            <v>91301420</v>
          </cell>
          <cell r="D841">
            <v>0</v>
          </cell>
          <cell r="E841">
            <v>0</v>
          </cell>
          <cell r="F841">
            <v>2.1608999999999998</v>
          </cell>
        </row>
        <row r="842">
          <cell r="A842" t="str">
            <v>IY-J015</v>
          </cell>
          <cell r="B842">
            <v>0</v>
          </cell>
          <cell r="C842">
            <v>4020126</v>
          </cell>
          <cell r="D842">
            <v>0</v>
          </cell>
          <cell r="E842" t="str">
            <v>KNUCKEL PIN</v>
          </cell>
          <cell r="F842">
            <v>2.4255</v>
          </cell>
        </row>
        <row r="843">
          <cell r="A843" t="str">
            <v>IZN10-01P06-B1</v>
          </cell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1003.545088</v>
          </cell>
        </row>
        <row r="844">
          <cell r="A844" t="str">
            <v>IZS31-BE</v>
          </cell>
          <cell r="B844">
            <v>0</v>
          </cell>
          <cell r="C844">
            <v>1135247</v>
          </cell>
          <cell r="D844">
            <v>0</v>
          </cell>
          <cell r="E844">
            <v>0</v>
          </cell>
          <cell r="F844">
            <v>49.215599999999995</v>
          </cell>
        </row>
        <row r="845">
          <cell r="A845" t="str">
            <v>IZS31-DF</v>
          </cell>
          <cell r="B845">
            <v>0</v>
          </cell>
          <cell r="C845">
            <v>1584634</v>
          </cell>
          <cell r="D845">
            <v>0</v>
          </cell>
          <cell r="E845">
            <v>0</v>
          </cell>
          <cell r="F845">
            <v>964.86390000000006</v>
          </cell>
        </row>
        <row r="846">
          <cell r="A846" t="str">
            <v>JA10-4-070</v>
          </cell>
          <cell r="B846">
            <v>0</v>
          </cell>
          <cell r="C846">
            <v>1202557</v>
          </cell>
          <cell r="D846" t="str">
            <v>80.0000.0340</v>
          </cell>
          <cell r="E846" t="str">
            <v>Coupling</v>
          </cell>
          <cell r="F846">
            <v>21.892416000000001</v>
          </cell>
        </row>
        <row r="847">
          <cell r="A847" t="str">
            <v>JA15-5-080</v>
          </cell>
          <cell r="B847">
            <v>0</v>
          </cell>
          <cell r="C847">
            <v>1360315</v>
          </cell>
          <cell r="D847">
            <v>3601380</v>
          </cell>
          <cell r="E847" t="str">
            <v>FLOATING JOINT</v>
          </cell>
          <cell r="F847">
            <v>26.636399999999998</v>
          </cell>
        </row>
        <row r="848">
          <cell r="A848" t="str">
            <v>JA15-6-100</v>
          </cell>
          <cell r="B848">
            <v>0</v>
          </cell>
          <cell r="C848">
            <v>1202563</v>
          </cell>
          <cell r="D848">
            <v>3604148</v>
          </cell>
          <cell r="E848" t="str">
            <v>FLOATING JOINT M6 THRD</v>
          </cell>
          <cell r="F848">
            <v>19.977299999999996</v>
          </cell>
        </row>
        <row r="849">
          <cell r="A849" t="str">
            <v>JA20-8-125</v>
          </cell>
          <cell r="B849">
            <v>0</v>
          </cell>
          <cell r="C849">
            <v>1202578</v>
          </cell>
          <cell r="D849">
            <v>0</v>
          </cell>
          <cell r="E849">
            <v>0</v>
          </cell>
          <cell r="F849">
            <v>63.107099999999996</v>
          </cell>
        </row>
        <row r="850">
          <cell r="A850" t="str">
            <v>JA25-10-150</v>
          </cell>
          <cell r="B850">
            <v>0</v>
          </cell>
          <cell r="C850">
            <v>1202562</v>
          </cell>
          <cell r="D850">
            <v>0</v>
          </cell>
          <cell r="E850" t="str">
            <v>ELEMENT-COMPENSATION</v>
          </cell>
          <cell r="F850">
            <v>78.498000000000005</v>
          </cell>
        </row>
        <row r="851">
          <cell r="A851" t="str">
            <v>JA30-10-125</v>
          </cell>
          <cell r="B851">
            <v>0</v>
          </cell>
          <cell r="C851">
            <v>1202201</v>
          </cell>
          <cell r="D851">
            <v>0</v>
          </cell>
          <cell r="E851" t="str">
            <v>ELEMENT-COMPENSATION</v>
          </cell>
          <cell r="F851">
            <v>66.591000000000008</v>
          </cell>
        </row>
        <row r="852">
          <cell r="A852" t="str">
            <v>JA40-12-125</v>
          </cell>
          <cell r="B852">
            <v>0</v>
          </cell>
          <cell r="C852">
            <v>1131482</v>
          </cell>
          <cell r="D852">
            <v>0</v>
          </cell>
          <cell r="E852">
            <v>0</v>
          </cell>
          <cell r="F852">
            <v>101.29769999999999</v>
          </cell>
        </row>
        <row r="853">
          <cell r="A853" t="str">
            <v>JA40-14-150</v>
          </cell>
          <cell r="B853">
            <v>0</v>
          </cell>
          <cell r="C853">
            <v>91300090</v>
          </cell>
          <cell r="D853">
            <v>0</v>
          </cell>
          <cell r="E853">
            <v>0</v>
          </cell>
          <cell r="F853">
            <v>85.906800000000004</v>
          </cell>
        </row>
        <row r="854">
          <cell r="A854" t="str">
            <v>JA6-3-050</v>
          </cell>
          <cell r="B854">
            <v>0</v>
          </cell>
          <cell r="C854">
            <v>1260336</v>
          </cell>
          <cell r="D854">
            <v>1504817</v>
          </cell>
          <cell r="E854" t="str">
            <v>PLUNGER,ASSY.,M3X0.5NMNL.SZE</v>
          </cell>
          <cell r="F854">
            <v>22.461599999999997</v>
          </cell>
        </row>
        <row r="855">
          <cell r="A855" t="str">
            <v>JA63-18-150</v>
          </cell>
          <cell r="B855">
            <v>0</v>
          </cell>
          <cell r="C855">
            <v>97004720</v>
          </cell>
          <cell r="D855">
            <v>0</v>
          </cell>
          <cell r="E855">
            <v>0</v>
          </cell>
          <cell r="F855">
            <v>115.6743</v>
          </cell>
        </row>
        <row r="856">
          <cell r="A856" t="str">
            <v>JAF63-18-150</v>
          </cell>
          <cell r="B856">
            <v>0</v>
          </cell>
          <cell r="C856">
            <v>91010780</v>
          </cell>
          <cell r="D856">
            <v>0</v>
          </cell>
          <cell r="E856">
            <v>0</v>
          </cell>
          <cell r="F856">
            <v>147.2499</v>
          </cell>
        </row>
        <row r="857">
          <cell r="A857" t="str">
            <v>JB25-6-100</v>
          </cell>
          <cell r="B857">
            <v>0</v>
          </cell>
          <cell r="C857">
            <v>1260972</v>
          </cell>
          <cell r="D857">
            <v>0</v>
          </cell>
          <cell r="E857">
            <v>0</v>
          </cell>
          <cell r="F857">
            <v>64.871099999999998</v>
          </cell>
        </row>
        <row r="858">
          <cell r="A858" t="str">
            <v>JB40-8-125</v>
          </cell>
          <cell r="B858">
            <v>0</v>
          </cell>
          <cell r="C858">
            <v>1260973</v>
          </cell>
          <cell r="D858">
            <v>0</v>
          </cell>
          <cell r="E858">
            <v>0</v>
          </cell>
          <cell r="F858">
            <v>85.906800000000004</v>
          </cell>
        </row>
        <row r="859">
          <cell r="A859" t="str">
            <v>K31</v>
          </cell>
          <cell r="B859">
            <v>0</v>
          </cell>
          <cell r="C859">
            <v>1301095</v>
          </cell>
          <cell r="D859">
            <v>0</v>
          </cell>
          <cell r="E859">
            <v>0</v>
          </cell>
          <cell r="F859">
            <v>4.1991040000000002</v>
          </cell>
        </row>
        <row r="860">
          <cell r="A860" t="str">
            <v>K41</v>
          </cell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3.7914240000000001</v>
          </cell>
        </row>
        <row r="861">
          <cell r="A861" t="str">
            <v>K8-10-40</v>
          </cell>
          <cell r="B861">
            <v>0</v>
          </cell>
          <cell r="C861" t="str">
            <v>1324012/ G1003846</v>
          </cell>
          <cell r="D861" t="str">
            <v>80.0000.0352</v>
          </cell>
          <cell r="E861" t="str">
            <v>Pneumatic Gauge</v>
          </cell>
          <cell r="F861">
            <v>18</v>
          </cell>
        </row>
        <row r="862">
          <cell r="A862" t="str">
            <v>K8-2.5-40</v>
          </cell>
          <cell r="B862" t="str">
            <v>K8-2,5-40</v>
          </cell>
          <cell r="C862">
            <v>1324016</v>
          </cell>
          <cell r="D862">
            <v>0</v>
          </cell>
          <cell r="E862" t="str">
            <v>GAUGE-PRESSURE 0-2.5 BAR  K8-2</v>
          </cell>
          <cell r="F862">
            <v>16.008300000000002</v>
          </cell>
        </row>
        <row r="863">
          <cell r="A863" t="str">
            <v>K8-4-40</v>
          </cell>
          <cell r="B863">
            <v>0</v>
          </cell>
          <cell r="C863">
            <v>1324013</v>
          </cell>
          <cell r="D863">
            <v>0</v>
          </cell>
          <cell r="E863" t="str">
            <v>GAUGE-PRESSURE 4 BAR 1/8</v>
          </cell>
          <cell r="F863">
            <v>12.436200000000001</v>
          </cell>
        </row>
        <row r="864">
          <cell r="A864" t="str">
            <v>KCL04-M5</v>
          </cell>
          <cell r="B864">
            <v>0</v>
          </cell>
          <cell r="C864">
            <v>91008030</v>
          </cell>
          <cell r="D864">
            <v>0</v>
          </cell>
          <cell r="E864">
            <v>0</v>
          </cell>
          <cell r="F864">
            <v>12.744899999999999</v>
          </cell>
        </row>
        <row r="865">
          <cell r="A865" t="str">
            <v>KDM10-23</v>
          </cell>
          <cell r="B865">
            <v>0</v>
          </cell>
          <cell r="C865">
            <v>0</v>
          </cell>
          <cell r="D865" t="str">
            <v>80.0000.0262</v>
          </cell>
          <cell r="E865" t="str">
            <v>Pneumatic Multiconnector 10</v>
          </cell>
          <cell r="F865">
            <v>158.465216</v>
          </cell>
        </row>
        <row r="866">
          <cell r="A866" t="str">
            <v>KDM20-23</v>
          </cell>
          <cell r="B866">
            <v>0</v>
          </cell>
          <cell r="C866">
            <v>0</v>
          </cell>
          <cell r="D866" t="str">
            <v>80.0000.0263</v>
          </cell>
          <cell r="E866" t="str">
            <v>Pneumatic Multiconnector 20</v>
          </cell>
          <cell r="F866">
            <v>292.87731200000002</v>
          </cell>
        </row>
        <row r="867">
          <cell r="A867" t="str">
            <v>KFE06-00</v>
          </cell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10.681216000000001</v>
          </cell>
        </row>
        <row r="868">
          <cell r="A868" t="str">
            <v>KFF04-02</v>
          </cell>
          <cell r="B868">
            <v>0</v>
          </cell>
          <cell r="C868">
            <v>0</v>
          </cell>
          <cell r="D868" t="str">
            <v>80.0000.2804</v>
          </cell>
          <cell r="E868" t="str">
            <v>Klemmverschraubung</v>
          </cell>
          <cell r="F868">
            <v>5.7482879999999996</v>
          </cell>
        </row>
        <row r="869">
          <cell r="A869" t="str">
            <v>KFG2H0425-01S</v>
          </cell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25.316928000000001</v>
          </cell>
        </row>
        <row r="870">
          <cell r="A870" t="str">
            <v>KFH04-02</v>
          </cell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3.2614400000000003</v>
          </cell>
        </row>
        <row r="871">
          <cell r="A871" t="str">
            <v>KFH04-02S</v>
          </cell>
          <cell r="B871">
            <v>0</v>
          </cell>
          <cell r="C871">
            <v>0</v>
          </cell>
          <cell r="D871" t="str">
            <v>80.0000.2800</v>
          </cell>
          <cell r="E871" t="str">
            <v>Gerade Klemmverschraubung</v>
          </cell>
          <cell r="F871">
            <v>4.28064</v>
          </cell>
        </row>
        <row r="872">
          <cell r="A872" t="str">
            <v>KFH12N-04</v>
          </cell>
          <cell r="B872">
            <v>0</v>
          </cell>
          <cell r="C872">
            <v>91005020</v>
          </cell>
          <cell r="D872">
            <v>0</v>
          </cell>
          <cell r="E872">
            <v>0</v>
          </cell>
          <cell r="F872">
            <v>8.8641000000000023</v>
          </cell>
        </row>
        <row r="873">
          <cell r="A873" t="str">
            <v>KFL04-02S</v>
          </cell>
          <cell r="B873">
            <v>0</v>
          </cell>
          <cell r="C873">
            <v>0</v>
          </cell>
          <cell r="D873" t="str">
            <v>80.0000.2801</v>
          </cell>
          <cell r="E873" t="str">
            <v>Einschraubwinkel</v>
          </cell>
          <cell r="F873">
            <v>6.7267199999999994</v>
          </cell>
        </row>
        <row r="874">
          <cell r="A874" t="str">
            <v>KFT04-00</v>
          </cell>
          <cell r="B874">
            <v>0</v>
          </cell>
          <cell r="C874">
            <v>0</v>
          </cell>
          <cell r="D874" t="str">
            <v>80.0000.2803</v>
          </cell>
          <cell r="E874" t="str">
            <v>T-Klemmverbindung</v>
          </cell>
          <cell r="F874">
            <v>11.333504</v>
          </cell>
        </row>
        <row r="875">
          <cell r="A875" t="str">
            <v>KGH04-M5</v>
          </cell>
          <cell r="B875">
            <v>0</v>
          </cell>
          <cell r="C875">
            <v>1305307</v>
          </cell>
          <cell r="D875">
            <v>0</v>
          </cell>
          <cell r="E875">
            <v>0</v>
          </cell>
          <cell r="F875">
            <v>18.169200000000004</v>
          </cell>
        </row>
        <row r="876">
          <cell r="A876" t="str">
            <v>KGH06-M5</v>
          </cell>
          <cell r="B876">
            <v>0</v>
          </cell>
          <cell r="C876">
            <v>1305306</v>
          </cell>
          <cell r="D876">
            <v>0</v>
          </cell>
          <cell r="E876" t="str">
            <v>FITTING STRAIGHT M5 6/4</v>
          </cell>
          <cell r="F876">
            <v>19.844999999999999</v>
          </cell>
        </row>
        <row r="877">
          <cell r="A877" t="str">
            <v>KJ16DM16X1.5</v>
          </cell>
          <cell r="B877">
            <v>0</v>
          </cell>
          <cell r="C877">
            <v>1123057</v>
          </cell>
          <cell r="D877">
            <v>0</v>
          </cell>
          <cell r="E877" t="str">
            <v>JOINT-BALL D=16 M16X1.5 FEMALE</v>
          </cell>
          <cell r="F877">
            <v>43.173900000000003</v>
          </cell>
        </row>
        <row r="878">
          <cell r="A878" t="str">
            <v>KJ6DM6</v>
          </cell>
          <cell r="B878">
            <v>0</v>
          </cell>
          <cell r="C878">
            <v>1135144</v>
          </cell>
          <cell r="D878">
            <v>0</v>
          </cell>
          <cell r="E878">
            <v>0</v>
          </cell>
          <cell r="F878">
            <v>17.684100000000001</v>
          </cell>
        </row>
        <row r="879">
          <cell r="A879" t="str">
            <v>KJE04-00</v>
          </cell>
          <cell r="B879">
            <v>0</v>
          </cell>
          <cell r="C879">
            <v>0</v>
          </cell>
          <cell r="D879">
            <v>0</v>
          </cell>
          <cell r="E879" t="str">
            <v>UNION,BULKHEAD,M9X0.75,4MM OD</v>
          </cell>
          <cell r="F879">
            <v>5.7890559999999995</v>
          </cell>
        </row>
        <row r="880">
          <cell r="A880" t="str">
            <v>KJE06-00</v>
          </cell>
          <cell r="B880" t="str">
            <v>KQ2E06-00NJ</v>
          </cell>
          <cell r="C880">
            <v>0</v>
          </cell>
          <cell r="D880">
            <v>0</v>
          </cell>
          <cell r="E880">
            <v>0</v>
          </cell>
          <cell r="F880">
            <v>6.1151999999999997</v>
          </cell>
        </row>
        <row r="881">
          <cell r="A881" t="str">
            <v>KJE23-00</v>
          </cell>
          <cell r="B881" t="str">
            <v>KQ2E23-00NJ</v>
          </cell>
          <cell r="C881">
            <v>0</v>
          </cell>
          <cell r="D881">
            <v>0</v>
          </cell>
          <cell r="E881">
            <v>0</v>
          </cell>
          <cell r="F881">
            <v>6.2782720000000003</v>
          </cell>
        </row>
        <row r="882">
          <cell r="A882" t="str">
            <v>KJH04-00</v>
          </cell>
          <cell r="B882" t="str">
            <v>KQ2H04-00A</v>
          </cell>
          <cell r="C882">
            <v>0</v>
          </cell>
          <cell r="D882">
            <v>0</v>
          </cell>
          <cell r="E882">
            <v>0</v>
          </cell>
          <cell r="F882">
            <v>3.9544959999999998</v>
          </cell>
        </row>
        <row r="883">
          <cell r="A883" t="str">
            <v>KJH04-M3</v>
          </cell>
          <cell r="B883" t="str">
            <v>KQ2H04-M3G</v>
          </cell>
          <cell r="C883">
            <v>0</v>
          </cell>
          <cell r="D883">
            <v>0</v>
          </cell>
          <cell r="E883">
            <v>0</v>
          </cell>
          <cell r="F883">
            <v>4.5660160000000003</v>
          </cell>
        </row>
        <row r="884">
          <cell r="A884" t="str">
            <v>KJH04-M5</v>
          </cell>
          <cell r="B884" t="str">
            <v>KQ2H04-M5N</v>
          </cell>
          <cell r="C884">
            <v>0</v>
          </cell>
          <cell r="D884">
            <v>0</v>
          </cell>
          <cell r="E884" t="str">
            <v>FITTING  STR  M5  4MM OD</v>
          </cell>
          <cell r="F884">
            <v>2.8129919999999999</v>
          </cell>
        </row>
        <row r="885">
          <cell r="A885" t="str">
            <v>KJH06-M5</v>
          </cell>
          <cell r="B885" t="str">
            <v>KQ2H06-M5N</v>
          </cell>
          <cell r="C885">
            <v>0</v>
          </cell>
          <cell r="D885" t="str">
            <v>2000728/  80.0001.0304</v>
          </cell>
          <cell r="E885" t="str">
            <v>CONNECTOR,MALE M5-6MM</v>
          </cell>
          <cell r="F885">
            <v>2.9352960000000001</v>
          </cell>
        </row>
        <row r="886">
          <cell r="A886" t="str">
            <v>KJH23-00</v>
          </cell>
          <cell r="B886" t="str">
            <v>KQ2H23-00A</v>
          </cell>
          <cell r="C886">
            <v>0</v>
          </cell>
          <cell r="D886" t="str">
            <v>80.0001.0967</v>
          </cell>
          <cell r="E886" t="str">
            <v>Tube Connector</v>
          </cell>
          <cell r="F886">
            <v>4.1991040000000002</v>
          </cell>
        </row>
        <row r="887">
          <cell r="A887" t="str">
            <v>KJH23-M3</v>
          </cell>
          <cell r="B887" t="str">
            <v>KQ2H23-M3G</v>
          </cell>
          <cell r="C887">
            <v>0</v>
          </cell>
          <cell r="D887" t="str">
            <v>80.0001.0144</v>
          </cell>
          <cell r="E887" t="str">
            <v>Pneumatic Fitting</v>
          </cell>
          <cell r="F887">
            <v>4.0768000000000004</v>
          </cell>
        </row>
        <row r="888">
          <cell r="A888" t="str">
            <v>KJH23-M5</v>
          </cell>
          <cell r="B888" t="str">
            <v>KQ2H23-M5N</v>
          </cell>
          <cell r="C888">
            <v>0</v>
          </cell>
          <cell r="D888">
            <v>0</v>
          </cell>
          <cell r="E888">
            <v>0</v>
          </cell>
          <cell r="F888">
            <v>2.8945279999999998</v>
          </cell>
        </row>
        <row r="889">
          <cell r="A889" t="str">
            <v>KJL04-00</v>
          </cell>
          <cell r="B889" t="str">
            <v>KQ2L04-00A</v>
          </cell>
          <cell r="C889">
            <v>0</v>
          </cell>
          <cell r="D889">
            <v>3601520</v>
          </cell>
          <cell r="E889" t="str">
            <v>FITTING,ELB,UNION,4MM OD</v>
          </cell>
          <cell r="F889">
            <v>4.8513919999999997</v>
          </cell>
        </row>
        <row r="890">
          <cell r="A890" t="str">
            <v>KJL04-01S</v>
          </cell>
          <cell r="B890" t="str">
            <v>KQ2L04-01NS</v>
          </cell>
          <cell r="C890">
            <v>0</v>
          </cell>
          <cell r="D890">
            <v>0</v>
          </cell>
          <cell r="E890">
            <v>0</v>
          </cell>
          <cell r="F890">
            <v>3.832192</v>
          </cell>
        </row>
        <row r="891">
          <cell r="A891" t="str">
            <v>KJL04-01S 1/8</v>
          </cell>
          <cell r="B891" t="str">
            <v>KQ2L04-01NS</v>
          </cell>
          <cell r="C891">
            <v>1305206</v>
          </cell>
          <cell r="D891">
            <v>0</v>
          </cell>
          <cell r="E891" t="str">
            <v>ELBOW-UNION 1/8M 4/2.5</v>
          </cell>
          <cell r="F891">
            <v>2.8322000000000003</v>
          </cell>
        </row>
        <row r="892">
          <cell r="A892" t="str">
            <v>KJL04-06</v>
          </cell>
          <cell r="B892" t="str">
            <v>KQ2L04-06A</v>
          </cell>
          <cell r="C892">
            <v>0</v>
          </cell>
          <cell r="D892" t="str">
            <v>80.0000.7691</v>
          </cell>
          <cell r="E892" t="str">
            <v>Reducer Elbow</v>
          </cell>
          <cell r="F892">
            <v>5.3813760000000004</v>
          </cell>
        </row>
        <row r="893">
          <cell r="A893" t="str">
            <v>KJL04-M3</v>
          </cell>
          <cell r="B893" t="str">
            <v>KQ2L04-M3G</v>
          </cell>
          <cell r="C893">
            <v>91005300</v>
          </cell>
          <cell r="D893">
            <v>0</v>
          </cell>
          <cell r="E893">
            <v>0</v>
          </cell>
          <cell r="F893">
            <v>5.5</v>
          </cell>
        </row>
        <row r="894">
          <cell r="A894" t="str">
            <v>KJL04-M5</v>
          </cell>
          <cell r="B894" t="str">
            <v xml:space="preserve">KQ2L04-M5N </v>
          </cell>
          <cell r="C894">
            <v>4001512</v>
          </cell>
          <cell r="D894">
            <v>0</v>
          </cell>
          <cell r="E894">
            <v>0</v>
          </cell>
          <cell r="F894">
            <v>3.4</v>
          </cell>
        </row>
        <row r="895">
          <cell r="A895" t="str">
            <v>KJL06-01S</v>
          </cell>
          <cell r="B895" t="str">
            <v>KQ2L06-01NS</v>
          </cell>
          <cell r="C895">
            <v>0</v>
          </cell>
          <cell r="D895">
            <v>0</v>
          </cell>
          <cell r="E895">
            <v>0</v>
          </cell>
          <cell r="F895">
            <v>3.5060479999999998</v>
          </cell>
        </row>
        <row r="896">
          <cell r="A896" t="str">
            <v>KJL06-M5</v>
          </cell>
          <cell r="B896" t="str">
            <v>KQ2L06-M5N</v>
          </cell>
          <cell r="C896">
            <v>0</v>
          </cell>
          <cell r="D896" t="str">
            <v>3604065/  80.0001.1318</v>
          </cell>
          <cell r="E896" t="str">
            <v>FITTING,MALE ELBOW,6MM TUBE,M5</v>
          </cell>
          <cell r="F896">
            <v>4.6844000000000001</v>
          </cell>
        </row>
        <row r="897">
          <cell r="A897" t="str">
            <v>KJL23-00</v>
          </cell>
          <cell r="B897" t="str">
            <v>KQ2L23-00A</v>
          </cell>
          <cell r="C897">
            <v>0</v>
          </cell>
          <cell r="D897">
            <v>0</v>
          </cell>
          <cell r="E897">
            <v>0</v>
          </cell>
          <cell r="F897">
            <v>4.6067840000000002</v>
          </cell>
        </row>
        <row r="898">
          <cell r="A898" t="str">
            <v>KJL23-04</v>
          </cell>
          <cell r="B898" t="str">
            <v>KQ2L23-04A</v>
          </cell>
          <cell r="C898">
            <v>0</v>
          </cell>
          <cell r="D898" t="str">
            <v>80.0001.0416</v>
          </cell>
          <cell r="E898" t="str">
            <v>Pneumatic Fitting</v>
          </cell>
          <cell r="F898">
            <v>5.1352000000000002</v>
          </cell>
        </row>
        <row r="899">
          <cell r="A899" t="str">
            <v>KJL23-06</v>
          </cell>
          <cell r="B899" t="str">
            <v>KQ2L23-06A</v>
          </cell>
          <cell r="C899">
            <v>0</v>
          </cell>
          <cell r="D899" t="str">
            <v>80.0000.0116</v>
          </cell>
          <cell r="E899" t="str">
            <v>Winkelsteckreduzierung</v>
          </cell>
          <cell r="F899">
            <v>4.729088</v>
          </cell>
        </row>
        <row r="900">
          <cell r="A900" t="str">
            <v>KJL23-M3</v>
          </cell>
          <cell r="B900" t="str">
            <v>KQ2L23-M3G</v>
          </cell>
          <cell r="C900">
            <v>0</v>
          </cell>
          <cell r="D900">
            <v>0</v>
          </cell>
          <cell r="E900">
            <v>0</v>
          </cell>
          <cell r="F900">
            <v>5.7890559999999995</v>
          </cell>
        </row>
        <row r="901">
          <cell r="A901" t="str">
            <v>KJL23-M5</v>
          </cell>
          <cell r="B901" t="str">
            <v>KQ2L23-M5N</v>
          </cell>
          <cell r="C901">
            <v>0</v>
          </cell>
          <cell r="D901">
            <v>3604635</v>
          </cell>
          <cell r="E901" t="str">
            <v>FITTING,90 DEG ELBOW,M5,1/8"OD</v>
          </cell>
          <cell r="F901">
            <v>4.28064</v>
          </cell>
        </row>
        <row r="902">
          <cell r="A902" t="str">
            <v>KJR23-04</v>
          </cell>
          <cell r="B902" t="str">
            <v>KQ2R23-04A</v>
          </cell>
          <cell r="C902">
            <v>1361154</v>
          </cell>
          <cell r="D902">
            <v>0</v>
          </cell>
          <cell r="E902" t="str">
            <v>FITTING-REDUCER-STRAIGHT-PLUGABLE 4/3.2</v>
          </cell>
          <cell r="F902">
            <v>2.9106000000000001</v>
          </cell>
        </row>
        <row r="903">
          <cell r="A903" t="str">
            <v>KJR23-06</v>
          </cell>
          <cell r="B903" t="str">
            <v>KQ2R23-06A</v>
          </cell>
          <cell r="C903">
            <v>1361155</v>
          </cell>
          <cell r="D903">
            <v>0</v>
          </cell>
          <cell r="E903" t="str">
            <v>FITTING-REDUCER-STRAIGHT-PLUGABLE 6/3.2</v>
          </cell>
          <cell r="F903">
            <v>3.0340799999999999</v>
          </cell>
        </row>
        <row r="904">
          <cell r="A904" t="str">
            <v>KJS02-M3</v>
          </cell>
          <cell r="B904" t="str">
            <v>KQ2S02-M3G</v>
          </cell>
          <cell r="C904">
            <v>0</v>
          </cell>
          <cell r="D904" t="str">
            <v>3603923/  80.0000.1056</v>
          </cell>
          <cell r="E904" t="str">
            <v>FITTING,PTC, 2MM HOSE X M3</v>
          </cell>
          <cell r="F904">
            <v>5.0960000000000001</v>
          </cell>
        </row>
        <row r="905">
          <cell r="A905" t="str">
            <v>KJS04-M3</v>
          </cell>
          <cell r="B905">
            <v>0</v>
          </cell>
          <cell r="C905">
            <v>3010066</v>
          </cell>
          <cell r="D905" t="str">
            <v>80.0000.1024</v>
          </cell>
          <cell r="E905" t="str">
            <v>Pneumatic Fitting</v>
          </cell>
          <cell r="F905">
            <v>4.28064</v>
          </cell>
        </row>
        <row r="906">
          <cell r="A906" t="str">
            <v>KJS04-M5</v>
          </cell>
          <cell r="B906" t="str">
            <v>KQ2S04-M5N</v>
          </cell>
          <cell r="C906">
            <v>0</v>
          </cell>
          <cell r="D906" t="str">
            <v>A0000015540/ 80.0000.8732</v>
          </cell>
          <cell r="E906" t="str">
            <v>FITTING,4MM,M5 THD</v>
          </cell>
          <cell r="F906">
            <v>2.94</v>
          </cell>
        </row>
        <row r="907">
          <cell r="A907" t="str">
            <v>KJS23-M3</v>
          </cell>
          <cell r="B907" t="str">
            <v>KQ2S23-M3G</v>
          </cell>
          <cell r="C907">
            <v>0</v>
          </cell>
          <cell r="D907">
            <v>3603988</v>
          </cell>
          <cell r="E907" t="str">
            <v>FITTING,M3 MALE,3.2MM OD</v>
          </cell>
          <cell r="F907">
            <v>4.6067840000000002</v>
          </cell>
        </row>
        <row r="908">
          <cell r="A908" t="str">
            <v>KJS23-M5</v>
          </cell>
          <cell r="B908" t="str">
            <v xml:space="preserve">KQ2S23-M5N </v>
          </cell>
          <cell r="C908">
            <v>0</v>
          </cell>
          <cell r="D908" t="str">
            <v>80.0000.1053</v>
          </cell>
          <cell r="E908" t="str">
            <v>Fitting</v>
          </cell>
          <cell r="F908">
            <v>2.9352960000000001</v>
          </cell>
        </row>
        <row r="909">
          <cell r="A909" t="str">
            <v>KJT04-00</v>
          </cell>
          <cell r="B909" t="str">
            <v>KQ2T04-00A</v>
          </cell>
          <cell r="C909">
            <v>0</v>
          </cell>
          <cell r="D909">
            <v>0</v>
          </cell>
          <cell r="E909">
            <v>0</v>
          </cell>
          <cell r="F909">
            <v>5.2184999999999988</v>
          </cell>
        </row>
        <row r="910">
          <cell r="A910" t="str">
            <v>KJT04-M5</v>
          </cell>
          <cell r="B910">
            <v>0</v>
          </cell>
          <cell r="C910">
            <v>1305266</v>
          </cell>
          <cell r="D910">
            <v>0</v>
          </cell>
          <cell r="E910">
            <v>0</v>
          </cell>
          <cell r="F910">
            <v>6.9236999999999993</v>
          </cell>
        </row>
        <row r="911">
          <cell r="A911" t="str">
            <v>KJU04-00</v>
          </cell>
          <cell r="B911" t="str">
            <v>KQ2U04-00A</v>
          </cell>
          <cell r="C911" t="str">
            <v>G1003780</v>
          </cell>
          <cell r="D911" t="str">
            <v>80.0000.0563</v>
          </cell>
          <cell r="E911" t="str">
            <v>Pneumatic Fitting Y 2x4-4</v>
          </cell>
          <cell r="F911">
            <v>4.9329279999999995</v>
          </cell>
        </row>
        <row r="912">
          <cell r="A912" t="str">
            <v>KJU04-06</v>
          </cell>
          <cell r="B912" t="str">
            <v>KQ2U04-06A</v>
          </cell>
          <cell r="C912">
            <v>0</v>
          </cell>
          <cell r="D912">
            <v>3603142</v>
          </cell>
          <cell r="E912" t="str">
            <v>FITTING Y UNION 4MMOD 6MMOD</v>
          </cell>
          <cell r="F912">
            <v>7.2159360000000001</v>
          </cell>
        </row>
        <row r="913">
          <cell r="A913" t="str">
            <v>KJU06-00</v>
          </cell>
          <cell r="B913">
            <v>0</v>
          </cell>
          <cell r="C913">
            <v>1305215</v>
          </cell>
          <cell r="D913">
            <v>0</v>
          </cell>
          <cell r="E913">
            <v>0</v>
          </cell>
          <cell r="F913">
            <v>4.4589999999999996</v>
          </cell>
        </row>
        <row r="914">
          <cell r="A914" t="str">
            <v>KJU23-00</v>
          </cell>
          <cell r="B914" t="str">
            <v>KQ2U23-00A</v>
          </cell>
          <cell r="C914">
            <v>0</v>
          </cell>
          <cell r="D914">
            <v>0</v>
          </cell>
          <cell r="E914">
            <v>0</v>
          </cell>
          <cell r="F914">
            <v>4.9329279999999995</v>
          </cell>
        </row>
        <row r="915">
          <cell r="A915" t="str">
            <v>KJU23-04</v>
          </cell>
          <cell r="B915" t="str">
            <v>KQ2U23-04A</v>
          </cell>
          <cell r="C915">
            <v>0</v>
          </cell>
          <cell r="D915" t="str">
            <v>80.0000.2032</v>
          </cell>
          <cell r="E915" t="str">
            <v>Fitting</v>
          </cell>
          <cell r="F915">
            <v>7.742</v>
          </cell>
        </row>
        <row r="916">
          <cell r="A916" t="str">
            <v>KJW04-M5</v>
          </cell>
          <cell r="B916" t="str">
            <v xml:space="preserve">KQ2W04-M5N </v>
          </cell>
          <cell r="C916">
            <v>0</v>
          </cell>
          <cell r="D916" t="str">
            <v>A0000014747</v>
          </cell>
          <cell r="E916" t="str">
            <v>EXTENDED MALE ELBOW,M5</v>
          </cell>
          <cell r="F916">
            <v>6.0336640000000008</v>
          </cell>
        </row>
        <row r="917">
          <cell r="A917" t="str">
            <v>KJY04-01S</v>
          </cell>
          <cell r="B917" t="str">
            <v>KQ2Y04-01NS</v>
          </cell>
          <cell r="C917">
            <v>0</v>
          </cell>
          <cell r="D917">
            <v>0</v>
          </cell>
          <cell r="E917">
            <v>0</v>
          </cell>
          <cell r="F917">
            <v>6.400576</v>
          </cell>
        </row>
        <row r="918">
          <cell r="A918" t="str">
            <v>KK130P-02F</v>
          </cell>
          <cell r="B918">
            <v>0</v>
          </cell>
          <cell r="C918">
            <v>4001756</v>
          </cell>
          <cell r="D918">
            <v>0</v>
          </cell>
          <cell r="E918" t="str">
            <v>FITTING-COUNTER-PARTS RC1/4F</v>
          </cell>
          <cell r="F918">
            <v>3.6945999999999999</v>
          </cell>
        </row>
        <row r="919">
          <cell r="A919" t="str">
            <v>KK130P-02MS</v>
          </cell>
          <cell r="B919">
            <v>0</v>
          </cell>
          <cell r="C919">
            <v>0</v>
          </cell>
          <cell r="D919" t="str">
            <v>80.0000.2984</v>
          </cell>
          <cell r="E919" t="str">
            <v>Stecker Schnellkupplung SerieKK13</v>
          </cell>
          <cell r="F919">
            <v>2.4500000000000002</v>
          </cell>
        </row>
        <row r="920">
          <cell r="A920" t="str">
            <v>KK130S-01MS</v>
          </cell>
          <cell r="B920">
            <v>0</v>
          </cell>
          <cell r="C920">
            <v>0</v>
          </cell>
          <cell r="D920" t="str">
            <v>80.0000.6109</v>
          </cell>
          <cell r="E920" t="str">
            <v>Buchse Schnellkupplung Serie KK13</v>
          </cell>
          <cell r="F920">
            <v>16.877952000000001</v>
          </cell>
        </row>
        <row r="921">
          <cell r="A921" t="str">
            <v>KK130S-02MS</v>
          </cell>
          <cell r="B921">
            <v>0</v>
          </cell>
          <cell r="C921">
            <v>0</v>
          </cell>
          <cell r="D921" t="str">
            <v>80.0000.2983</v>
          </cell>
          <cell r="E921" t="str">
            <v>Buchse Schnellkupplung Serie KK13</v>
          </cell>
          <cell r="F921">
            <v>12.148864</v>
          </cell>
        </row>
        <row r="922">
          <cell r="A922" t="str">
            <v>KK13P-02F</v>
          </cell>
          <cell r="B922">
            <v>0</v>
          </cell>
          <cell r="C922">
            <v>0</v>
          </cell>
          <cell r="D922" t="str">
            <v>80.0000.2985</v>
          </cell>
          <cell r="E922" t="str">
            <v>Stecker Schnellkupplung SerieKK13</v>
          </cell>
          <cell r="F922">
            <v>6.2782720000000003</v>
          </cell>
        </row>
        <row r="923">
          <cell r="A923" t="str">
            <v>KK13P-04M</v>
          </cell>
          <cell r="B923">
            <v>0</v>
          </cell>
          <cell r="C923">
            <v>4001752</v>
          </cell>
          <cell r="D923">
            <v>0</v>
          </cell>
          <cell r="E923" t="str">
            <v>FITTING-COUNTER-PARTS R1/2M</v>
          </cell>
          <cell r="F923">
            <v>8.3398000000000003</v>
          </cell>
        </row>
        <row r="924">
          <cell r="A924" t="str">
            <v>KK13S-04F</v>
          </cell>
          <cell r="B924">
            <v>0</v>
          </cell>
          <cell r="C924">
            <v>4001753</v>
          </cell>
          <cell r="D924">
            <v>0</v>
          </cell>
          <cell r="E924" t="str">
            <v>COUPLER-PNEUMATIC RC1/2F</v>
          </cell>
          <cell r="F924">
            <v>24.823399999999999</v>
          </cell>
        </row>
        <row r="925">
          <cell r="A925" t="str">
            <v>KK2P-04E</v>
          </cell>
          <cell r="B925">
            <v>0</v>
          </cell>
          <cell r="C925">
            <v>1360747</v>
          </cell>
          <cell r="D925">
            <v>0</v>
          </cell>
          <cell r="E925" t="str">
            <v>TIP-PNEUMATIC-RIGHT-FITTING D=4</v>
          </cell>
          <cell r="F925">
            <v>9.1286999999999985</v>
          </cell>
        </row>
        <row r="926">
          <cell r="A926" t="str">
            <v>KK2P-04H</v>
          </cell>
          <cell r="B926">
            <v>0</v>
          </cell>
          <cell r="C926">
            <v>4001162</v>
          </cell>
          <cell r="D926">
            <v>0</v>
          </cell>
          <cell r="E926" t="str">
            <v>COUPLER</v>
          </cell>
          <cell r="F926">
            <v>9.251199999999999</v>
          </cell>
        </row>
        <row r="927">
          <cell r="A927" t="str">
            <v>KK2P-04L</v>
          </cell>
          <cell r="B927">
            <v>0</v>
          </cell>
          <cell r="C927">
            <v>1585328</v>
          </cell>
          <cell r="D927" t="str">
            <v>85.0000.0005</v>
          </cell>
          <cell r="E927" t="str">
            <v>S Coupler for 4 mm tube</v>
          </cell>
          <cell r="F927">
            <v>6.6811499999999997</v>
          </cell>
        </row>
        <row r="928">
          <cell r="A928" t="str">
            <v>KK2P-06L</v>
          </cell>
          <cell r="B928">
            <v>0</v>
          </cell>
          <cell r="C928">
            <v>1585325</v>
          </cell>
          <cell r="D928">
            <v>0</v>
          </cell>
          <cell r="E928" t="str">
            <v>FITTING-QUICK-MALE-ELBOWED D.6</v>
          </cell>
          <cell r="F928">
            <v>6.6811499999999997</v>
          </cell>
        </row>
        <row r="929">
          <cell r="A929" t="str">
            <v>KK2S-01MS</v>
          </cell>
          <cell r="B929">
            <v>0</v>
          </cell>
          <cell r="C929">
            <v>1585326</v>
          </cell>
          <cell r="D929">
            <v>0</v>
          </cell>
          <cell r="E929" t="str">
            <v>FITTING-QUICK-FEMALE G1/8" D.4</v>
          </cell>
          <cell r="F929">
            <v>14.718375</v>
          </cell>
        </row>
        <row r="930">
          <cell r="A930" t="str">
            <v>KK2S-04H</v>
          </cell>
          <cell r="B930">
            <v>0</v>
          </cell>
          <cell r="C930">
            <v>1360746</v>
          </cell>
          <cell r="D930">
            <v>0</v>
          </cell>
          <cell r="E930" t="str">
            <v>COUPLER-PNEUMATIC-RIGHT-FITTING D=4</v>
          </cell>
          <cell r="F930">
            <v>21.388500000000001</v>
          </cell>
        </row>
        <row r="931">
          <cell r="A931" t="str">
            <v>KK3P-01F</v>
          </cell>
          <cell r="B931">
            <v>0</v>
          </cell>
          <cell r="C931">
            <v>1360395</v>
          </cell>
          <cell r="D931">
            <v>0</v>
          </cell>
          <cell r="E931">
            <v>0</v>
          </cell>
          <cell r="F931">
            <v>5.0714999999999995</v>
          </cell>
        </row>
        <row r="932">
          <cell r="A932" t="str">
            <v>KK3P-01MS</v>
          </cell>
          <cell r="B932">
            <v>0</v>
          </cell>
          <cell r="C932">
            <v>97004440</v>
          </cell>
          <cell r="D932">
            <v>0</v>
          </cell>
          <cell r="E932">
            <v>0</v>
          </cell>
          <cell r="F932">
            <v>5.0714999999999995</v>
          </cell>
        </row>
        <row r="933">
          <cell r="A933" t="str">
            <v>KK3P-06E</v>
          </cell>
          <cell r="B933">
            <v>0</v>
          </cell>
          <cell r="C933">
            <v>1360755</v>
          </cell>
          <cell r="D933">
            <v>0</v>
          </cell>
          <cell r="E933" t="str">
            <v>FITING-INSTANTANEOUS-COUPLER</v>
          </cell>
          <cell r="F933">
            <v>10.2508</v>
          </cell>
        </row>
        <row r="934">
          <cell r="A934" t="str">
            <v>KK3P-08L</v>
          </cell>
          <cell r="B934">
            <v>0</v>
          </cell>
          <cell r="C934">
            <v>1585573</v>
          </cell>
          <cell r="D934">
            <v>0</v>
          </cell>
          <cell r="E934" t="str">
            <v>FITTING-QUICK-MALE-ELBOWED D.8</v>
          </cell>
          <cell r="F934">
            <v>8.8670399999999994</v>
          </cell>
        </row>
        <row r="935">
          <cell r="A935" t="str">
            <v>KK3S-01MS</v>
          </cell>
          <cell r="B935">
            <v>0</v>
          </cell>
          <cell r="C935">
            <v>1585323</v>
          </cell>
          <cell r="D935">
            <v>0</v>
          </cell>
          <cell r="E935" t="str">
            <v>FITTING-QUICK-FEMALE G1/8" D.6</v>
          </cell>
          <cell r="F935">
            <v>13.825349999999998</v>
          </cell>
        </row>
        <row r="936">
          <cell r="A936" t="str">
            <v>KK3S-06H</v>
          </cell>
          <cell r="B936">
            <v>0</v>
          </cell>
          <cell r="C936">
            <v>97004430</v>
          </cell>
          <cell r="D936">
            <v>0</v>
          </cell>
          <cell r="E936">
            <v>0</v>
          </cell>
          <cell r="F936">
            <v>23.7699</v>
          </cell>
        </row>
        <row r="937">
          <cell r="A937" t="str">
            <v>KK3S-06L</v>
          </cell>
          <cell r="B937">
            <v>0</v>
          </cell>
          <cell r="C937">
            <v>1360754</v>
          </cell>
          <cell r="D937">
            <v>0</v>
          </cell>
          <cell r="E937" t="str">
            <v>FITING-INSTANTANEOUS-ELBOWED</v>
          </cell>
          <cell r="F937">
            <v>22.292550000000002</v>
          </cell>
        </row>
        <row r="938">
          <cell r="A938" t="str">
            <v>KK4P-02MS</v>
          </cell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5.3813760000000004</v>
          </cell>
        </row>
        <row r="939">
          <cell r="A939" t="str">
            <v>KK4P-03MS</v>
          </cell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6.32</v>
          </cell>
        </row>
        <row r="940">
          <cell r="A940" t="str">
            <v>KK4P-08H</v>
          </cell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9.5397119999999997</v>
          </cell>
        </row>
        <row r="941">
          <cell r="A941" t="str">
            <v>KK4P-08L</v>
          </cell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14.85</v>
          </cell>
        </row>
        <row r="942">
          <cell r="A942" t="str">
            <v>KK4P-12H</v>
          </cell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12.63808</v>
          </cell>
        </row>
        <row r="943">
          <cell r="A943" t="str">
            <v>KK4S-02MS</v>
          </cell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20.017088000000001</v>
          </cell>
        </row>
        <row r="944">
          <cell r="A944" t="str">
            <v>KK4S-04MS</v>
          </cell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31.13</v>
          </cell>
        </row>
        <row r="945">
          <cell r="A945" t="str">
            <v>KK4S-08H</v>
          </cell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35.53</v>
          </cell>
        </row>
        <row r="946">
          <cell r="A946" t="str">
            <v>KK4S-12H</v>
          </cell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32.573631999999996</v>
          </cell>
        </row>
        <row r="947">
          <cell r="A947" t="str">
            <v>KM11-04-08-10</v>
          </cell>
          <cell r="B947">
            <v>0</v>
          </cell>
          <cell r="C947">
            <v>1304062</v>
          </cell>
          <cell r="D947" t="str">
            <v>80.0000.2574</v>
          </cell>
          <cell r="E947" t="str">
            <v>Fitting (Air Manifold x10)</v>
          </cell>
          <cell r="F947">
            <v>39.072599999999994</v>
          </cell>
        </row>
        <row r="948">
          <cell r="A948" t="str">
            <v>KM11-04-08-6</v>
          </cell>
          <cell r="B948">
            <v>0</v>
          </cell>
          <cell r="C948">
            <v>1304038</v>
          </cell>
          <cell r="D948" t="str">
            <v>80.0001.1445</v>
          </cell>
          <cell r="E948" t="str">
            <v>Fitting</v>
          </cell>
          <cell r="F948">
            <v>27.694799999999997</v>
          </cell>
        </row>
        <row r="949">
          <cell r="A949" t="str">
            <v>KM11-06-10-10</v>
          </cell>
          <cell r="B949">
            <v>0</v>
          </cell>
          <cell r="C949">
            <v>1304034</v>
          </cell>
          <cell r="D949">
            <v>3603485</v>
          </cell>
          <cell r="E949" t="str">
            <v>MANIFOLD,10MM IN TO 6MM OUT</v>
          </cell>
          <cell r="F949">
            <v>26.342399999999998</v>
          </cell>
        </row>
        <row r="950">
          <cell r="A950" t="str">
            <v>KM11-06-10-6</v>
          </cell>
          <cell r="B950">
            <v>0</v>
          </cell>
          <cell r="C950">
            <v>1304152</v>
          </cell>
          <cell r="D950">
            <v>0</v>
          </cell>
          <cell r="E950" t="str">
            <v>FITTING-MULTIPLE 10- 6</v>
          </cell>
          <cell r="F950">
            <v>27.694799999999997</v>
          </cell>
        </row>
        <row r="951">
          <cell r="A951" t="str">
            <v>KM11-08-12-10</v>
          </cell>
          <cell r="B951">
            <v>0</v>
          </cell>
          <cell r="C951">
            <v>91004970</v>
          </cell>
          <cell r="D951">
            <v>0</v>
          </cell>
          <cell r="E951">
            <v>0</v>
          </cell>
          <cell r="F951">
            <v>46.172699999999999</v>
          </cell>
        </row>
        <row r="952">
          <cell r="A952" t="str">
            <v>KM11-08-12-6</v>
          </cell>
          <cell r="B952">
            <v>0</v>
          </cell>
          <cell r="C952">
            <v>91005520</v>
          </cell>
          <cell r="D952">
            <v>0</v>
          </cell>
          <cell r="E952">
            <v>0</v>
          </cell>
          <cell r="F952">
            <v>33.736500000000007</v>
          </cell>
        </row>
        <row r="953">
          <cell r="A953" t="str">
            <v>KM13-06-08-3</v>
          </cell>
          <cell r="B953">
            <v>0</v>
          </cell>
          <cell r="C953">
            <v>1360412</v>
          </cell>
          <cell r="D953">
            <v>0</v>
          </cell>
          <cell r="E953" t="str">
            <v>ONE TOUCH FITTING MANIFOLD</v>
          </cell>
          <cell r="F953">
            <v>17.772299999999998</v>
          </cell>
        </row>
        <row r="954">
          <cell r="A954" t="str">
            <v>KQ2C04-00A</v>
          </cell>
          <cell r="B954">
            <v>0</v>
          </cell>
          <cell r="C954">
            <v>1130606</v>
          </cell>
          <cell r="D954">
            <v>0</v>
          </cell>
          <cell r="E954" t="str">
            <v>FITTING-CAP-FEMALE D=4</v>
          </cell>
          <cell r="F954">
            <v>1.764</v>
          </cell>
        </row>
        <row r="955">
          <cell r="A955" t="str">
            <v>KQ2C06-00A</v>
          </cell>
          <cell r="B955">
            <v>0</v>
          </cell>
          <cell r="C955">
            <v>4000843</v>
          </cell>
          <cell r="D955">
            <v>1504822</v>
          </cell>
          <cell r="E955" t="str">
            <v>TUBE CAP, 6MM ONE TOUCH</v>
          </cell>
          <cell r="F955">
            <v>2.0550600000000001</v>
          </cell>
        </row>
        <row r="956">
          <cell r="A956" t="str">
            <v>KQ2C08-00A</v>
          </cell>
          <cell r="B956">
            <v>0</v>
          </cell>
          <cell r="C956">
            <v>4000848</v>
          </cell>
          <cell r="D956">
            <v>1504718</v>
          </cell>
          <cell r="E956" t="str">
            <v>CAP, 8MM TUBING</v>
          </cell>
          <cell r="F956">
            <v>2.4695999999999998</v>
          </cell>
        </row>
        <row r="957">
          <cell r="A957" t="str">
            <v>KQ2C10-00A</v>
          </cell>
          <cell r="B957">
            <v>0</v>
          </cell>
          <cell r="C957">
            <v>4000849</v>
          </cell>
          <cell r="D957">
            <v>0</v>
          </cell>
          <cell r="E957" t="str">
            <v>FITTING-CAP-FEMALE D=10</v>
          </cell>
          <cell r="F957">
            <v>2.6901000000000002</v>
          </cell>
        </row>
        <row r="958">
          <cell r="A958" t="str">
            <v>KQ2D08-00</v>
          </cell>
          <cell r="B958" t="str">
            <v>KQ2D08-00A</v>
          </cell>
          <cell r="C958">
            <v>0</v>
          </cell>
          <cell r="D958" t="str">
            <v>A0000017157</v>
          </cell>
          <cell r="E958" t="str">
            <v>UNION,DELTA,8MM</v>
          </cell>
          <cell r="F958">
            <v>9.3358720000000002</v>
          </cell>
        </row>
        <row r="959">
          <cell r="A959" t="str">
            <v>KQ2D08-00A</v>
          </cell>
          <cell r="B959">
            <v>0</v>
          </cell>
          <cell r="C959" t="str">
            <v>G1003866</v>
          </cell>
          <cell r="D959" t="str">
            <v>80.0001.0002</v>
          </cell>
          <cell r="E959" t="str">
            <v>Pneumatic Fitting</v>
          </cell>
          <cell r="F959">
            <v>9.34</v>
          </cell>
        </row>
        <row r="960">
          <cell r="A960" t="str">
            <v>KQ2D08-01S</v>
          </cell>
          <cell r="B960" t="str">
            <v>KQ2D08-01AS</v>
          </cell>
          <cell r="C960">
            <v>0</v>
          </cell>
          <cell r="D960" t="str">
            <v>80.0000.1812</v>
          </cell>
          <cell r="E960" t="str">
            <v>Pneumatic Fitting</v>
          </cell>
          <cell r="F960">
            <v>9.8293999999999997</v>
          </cell>
        </row>
        <row r="961">
          <cell r="A961" t="str">
            <v>KQ2D10-00</v>
          </cell>
          <cell r="B961" t="str">
            <v>KQ2D10-00A</v>
          </cell>
          <cell r="C961">
            <v>0</v>
          </cell>
          <cell r="D961" t="str">
            <v>80.0001.1127/ A0000017158</v>
          </cell>
          <cell r="E961" t="str">
            <v>UNION,DELTA,10MM</v>
          </cell>
          <cell r="F961">
            <v>10.477376</v>
          </cell>
        </row>
        <row r="962">
          <cell r="A962" t="str">
            <v>KQ2D12-00</v>
          </cell>
          <cell r="B962" t="str">
            <v>KQ2D12-00A</v>
          </cell>
          <cell r="C962">
            <v>0</v>
          </cell>
          <cell r="D962" t="str">
            <v>80.0000.9022/ A0000017159</v>
          </cell>
          <cell r="E962" t="str">
            <v>UNION,DELTA,12MM</v>
          </cell>
          <cell r="F962">
            <v>14.961856000000001</v>
          </cell>
        </row>
        <row r="963">
          <cell r="A963" t="str">
            <v>KQ2E04-00</v>
          </cell>
          <cell r="B963" t="str">
            <v>KQ2E04-00A</v>
          </cell>
          <cell r="C963">
            <v>0</v>
          </cell>
          <cell r="D963" t="str">
            <v>A0000016224</v>
          </cell>
          <cell r="E963" t="str">
            <v>UNION BULKHEAD 4MM</v>
          </cell>
          <cell r="F963">
            <v>5.8298240000000003</v>
          </cell>
        </row>
        <row r="964">
          <cell r="A964" t="str">
            <v>KQ2E04-00A</v>
          </cell>
          <cell r="B964">
            <v>0</v>
          </cell>
          <cell r="C964" t="str">
            <v>D1002101</v>
          </cell>
          <cell r="D964">
            <v>3604283</v>
          </cell>
          <cell r="E964" t="str">
            <v>UNION,BULKHEAD,4MM</v>
          </cell>
          <cell r="F964">
            <v>5.88</v>
          </cell>
        </row>
        <row r="965">
          <cell r="A965" t="str">
            <v>KQ2E06-00</v>
          </cell>
          <cell r="B965" t="str">
            <v>KQ2E06-00A</v>
          </cell>
          <cell r="C965" t="str">
            <v>1305230/ G1003868</v>
          </cell>
          <cell r="D965" t="str">
            <v>3604362/ A0000015726/ 80.0001.0252</v>
          </cell>
          <cell r="E965" t="str">
            <v>UNION, 6MM BULKHEAD</v>
          </cell>
          <cell r="F965">
            <v>6.1151999999999997</v>
          </cell>
        </row>
        <row r="966">
          <cell r="A966" t="str">
            <v>KQ2E06-01A</v>
          </cell>
          <cell r="B966">
            <v>0</v>
          </cell>
          <cell r="C966">
            <v>97004100</v>
          </cell>
          <cell r="D966">
            <v>0</v>
          </cell>
          <cell r="E966">
            <v>0</v>
          </cell>
          <cell r="F966">
            <v>7.0118999999999998</v>
          </cell>
        </row>
        <row r="967">
          <cell r="A967" t="str">
            <v>KQ2E06-02A</v>
          </cell>
          <cell r="B967">
            <v>0</v>
          </cell>
          <cell r="C967">
            <v>4000626</v>
          </cell>
          <cell r="D967">
            <v>0</v>
          </cell>
          <cell r="E967" t="str">
            <v>BULKHEAD UNION KQ2E06-03</v>
          </cell>
          <cell r="F967">
            <v>8.1585000000000001</v>
          </cell>
        </row>
        <row r="968">
          <cell r="A968" t="str">
            <v>KQ2E06-03A</v>
          </cell>
          <cell r="B968">
            <v>0</v>
          </cell>
          <cell r="C968">
            <v>91007950</v>
          </cell>
          <cell r="D968">
            <v>0</v>
          </cell>
          <cell r="E968" t="str">
            <v>FITTING-BULKHEAD CONN 6MMX1/4 ONE-TOUCH</v>
          </cell>
          <cell r="F968">
            <v>7.0167999999999999</v>
          </cell>
        </row>
        <row r="969">
          <cell r="A969" t="str">
            <v>KQ2E07-35</v>
          </cell>
          <cell r="B969">
            <v>0</v>
          </cell>
          <cell r="C969" t="str">
            <v>D1002933</v>
          </cell>
          <cell r="D969">
            <v>3603694</v>
          </cell>
          <cell r="E969" t="str">
            <v>FITTING,BULKHEAD1/4 OD,1/4FNPT</v>
          </cell>
          <cell r="F969">
            <v>11.319000000000001</v>
          </cell>
        </row>
        <row r="970">
          <cell r="A970" t="str">
            <v>KQ2E08-00</v>
          </cell>
          <cell r="B970">
            <v>0</v>
          </cell>
          <cell r="C970" t="str">
            <v>D1002929</v>
          </cell>
          <cell r="D970" t="str">
            <v>A0000016225</v>
          </cell>
          <cell r="E970" t="str">
            <v>UNION,BULKHEAD,8MM</v>
          </cell>
          <cell r="F970">
            <v>7.4605440000000005</v>
          </cell>
        </row>
        <row r="971">
          <cell r="A971" t="str">
            <v>KQ2E08-00A</v>
          </cell>
          <cell r="B971">
            <v>0</v>
          </cell>
          <cell r="C971">
            <v>1305229</v>
          </cell>
          <cell r="D971" t="str">
            <v>80.0001.0298</v>
          </cell>
          <cell r="E971" t="str">
            <v>Pneumatic Fitting 8</v>
          </cell>
          <cell r="F971">
            <v>6.0269999999999992</v>
          </cell>
        </row>
        <row r="972">
          <cell r="A972" t="str">
            <v>KQ2E10-00</v>
          </cell>
          <cell r="B972" t="str">
            <v>KQ2E10-00A</v>
          </cell>
          <cell r="C972">
            <v>0</v>
          </cell>
          <cell r="D972" t="str">
            <v>A0000016226/ 1305155/ 80.0001.1522</v>
          </cell>
          <cell r="E972" t="str">
            <v>UNION BULKHEAD 10MM</v>
          </cell>
          <cell r="F972">
            <v>11.863488</v>
          </cell>
        </row>
        <row r="973">
          <cell r="A973" t="str">
            <v>KQ2E10-02A</v>
          </cell>
          <cell r="B973">
            <v>0</v>
          </cell>
          <cell r="C973">
            <v>91102500</v>
          </cell>
          <cell r="D973">
            <v>0</v>
          </cell>
          <cell r="E973">
            <v>0</v>
          </cell>
          <cell r="F973">
            <v>10.848599999999999</v>
          </cell>
        </row>
        <row r="974">
          <cell r="A974" t="str">
            <v>KQ2E11-00A</v>
          </cell>
          <cell r="B974">
            <v>0</v>
          </cell>
          <cell r="C974" t="str">
            <v>D1003467</v>
          </cell>
          <cell r="D974">
            <v>0</v>
          </cell>
          <cell r="E974" t="str">
            <v>BULKHEAD,UNION, 3/8" F-F</v>
          </cell>
          <cell r="F974">
            <v>13.23</v>
          </cell>
        </row>
        <row r="975">
          <cell r="A975" t="str">
            <v>KQ2E12-00</v>
          </cell>
          <cell r="B975" t="str">
            <v>KQ2E12-00A</v>
          </cell>
          <cell r="C975">
            <v>91100060</v>
          </cell>
          <cell r="D975" t="str">
            <v>80.0000.5107</v>
          </cell>
          <cell r="E975">
            <v>0</v>
          </cell>
          <cell r="F975">
            <v>13.6</v>
          </cell>
        </row>
        <row r="976">
          <cell r="A976" t="str">
            <v>KQ2F04-01</v>
          </cell>
          <cell r="B976" t="str">
            <v>KQ2F04-01A</v>
          </cell>
          <cell r="C976">
            <v>0</v>
          </cell>
          <cell r="D976">
            <v>0</v>
          </cell>
          <cell r="E976">
            <v>0</v>
          </cell>
          <cell r="F976">
            <v>4.3214079999999999</v>
          </cell>
        </row>
        <row r="977">
          <cell r="A977" t="str">
            <v>KQ2F04-M5N</v>
          </cell>
          <cell r="B977">
            <v>0</v>
          </cell>
          <cell r="C977">
            <v>91009940</v>
          </cell>
          <cell r="D977">
            <v>0</v>
          </cell>
          <cell r="E977" t="str">
            <v>FITTING-FEM UNION 4MM M5 ONE-TOUCH</v>
          </cell>
          <cell r="F977">
            <v>4.6059999999999999</v>
          </cell>
        </row>
        <row r="978">
          <cell r="A978" t="str">
            <v>KQ2F06-01A</v>
          </cell>
          <cell r="B978">
            <v>0</v>
          </cell>
          <cell r="C978">
            <v>4020176</v>
          </cell>
          <cell r="D978">
            <v>0</v>
          </cell>
          <cell r="E978" t="str">
            <v>Pneumatic Fitting 06 auf 1/8"</v>
          </cell>
          <cell r="F978">
            <v>5.3361000000000001</v>
          </cell>
        </row>
        <row r="979">
          <cell r="A979" t="str">
            <v>KQ2F06-02</v>
          </cell>
          <cell r="B979">
            <v>0</v>
          </cell>
          <cell r="C979">
            <v>1361150</v>
          </cell>
          <cell r="D979">
            <v>0</v>
          </cell>
          <cell r="E979" t="str">
            <v>FITTING,6MM OD X 1/4 NPTF,STR</v>
          </cell>
          <cell r="F979">
            <v>4.8451200000000005</v>
          </cell>
        </row>
        <row r="980">
          <cell r="A980" t="str">
            <v>KQ2F08-01</v>
          </cell>
          <cell r="B980" t="str">
            <v>KQ2F08-01A</v>
          </cell>
          <cell r="C980">
            <v>1360409</v>
          </cell>
          <cell r="D980" t="str">
            <v>80.0001.0003</v>
          </cell>
          <cell r="E980">
            <v>0</v>
          </cell>
          <cell r="F980">
            <v>4.4844800000000005</v>
          </cell>
        </row>
        <row r="981">
          <cell r="A981" t="str">
            <v>KQ2F08-02</v>
          </cell>
          <cell r="B981" t="str">
            <v>KQ2F08-02A</v>
          </cell>
          <cell r="C981">
            <v>0</v>
          </cell>
          <cell r="D981" t="str">
            <v>80.0000.1813</v>
          </cell>
          <cell r="E981" t="str">
            <v>Pneumatic Fitting</v>
          </cell>
          <cell r="F981">
            <v>4.6067840000000002</v>
          </cell>
        </row>
        <row r="982">
          <cell r="A982" t="str">
            <v>KQ2F08-03</v>
          </cell>
          <cell r="B982" t="str">
            <v>KQ2F08-03A</v>
          </cell>
          <cell r="C982">
            <v>0</v>
          </cell>
          <cell r="D982">
            <v>0</v>
          </cell>
          <cell r="E982">
            <v>0</v>
          </cell>
          <cell r="F982">
            <v>5.3813760000000004</v>
          </cell>
        </row>
        <row r="983">
          <cell r="A983" t="str">
            <v>KQ2F09-34A</v>
          </cell>
          <cell r="B983">
            <v>0</v>
          </cell>
          <cell r="C983">
            <v>4001087</v>
          </cell>
          <cell r="D983">
            <v>0</v>
          </cell>
          <cell r="E983" t="str">
            <v>FITTING-STRAIGHT NPT1/4F 5/16</v>
          </cell>
          <cell r="F983">
            <v>5.5125000000000002</v>
          </cell>
        </row>
        <row r="984">
          <cell r="A984" t="str">
            <v>KQ2F10-02</v>
          </cell>
          <cell r="B984" t="str">
            <v>KQ2F10-02A</v>
          </cell>
          <cell r="C984">
            <v>0</v>
          </cell>
          <cell r="D984">
            <v>0</v>
          </cell>
          <cell r="E984">
            <v>0</v>
          </cell>
          <cell r="F984">
            <v>10.273536</v>
          </cell>
        </row>
        <row r="985">
          <cell r="A985" t="str">
            <v>KQ2F10-03A</v>
          </cell>
          <cell r="B985">
            <v>0</v>
          </cell>
          <cell r="C985">
            <v>4001357</v>
          </cell>
          <cell r="D985">
            <v>0</v>
          </cell>
          <cell r="E985" t="str">
            <v>FITTING-STRAIGHT G3/8M 10/8</v>
          </cell>
          <cell r="F985">
            <v>6.879599999999999</v>
          </cell>
        </row>
        <row r="986">
          <cell r="A986" t="str">
            <v>KQ2F12-02</v>
          </cell>
          <cell r="B986" t="str">
            <v>KQ2F12-02A</v>
          </cell>
          <cell r="C986">
            <v>0</v>
          </cell>
          <cell r="D986">
            <v>3603769</v>
          </cell>
          <cell r="E986" t="str">
            <v>FITTING,ONETOUCH,1/4NPTX12MMOD</v>
          </cell>
          <cell r="F986">
            <v>11.496575999999999</v>
          </cell>
        </row>
        <row r="987">
          <cell r="A987" t="str">
            <v>KQ2F12-03A</v>
          </cell>
          <cell r="B987">
            <v>0</v>
          </cell>
          <cell r="C987">
            <v>4001100</v>
          </cell>
          <cell r="D987">
            <v>0</v>
          </cell>
          <cell r="E987" t="str">
            <v>FITTING-STRAIGHT G3/8M 12/8</v>
          </cell>
          <cell r="F987">
            <v>7.7175000000000002</v>
          </cell>
        </row>
        <row r="988">
          <cell r="A988" t="str">
            <v>KQ2F16-03</v>
          </cell>
          <cell r="B988">
            <v>0</v>
          </cell>
          <cell r="C988">
            <v>4001655</v>
          </cell>
          <cell r="D988">
            <v>0</v>
          </cell>
          <cell r="E988" t="str">
            <v>FITTING-STRAIGHT G3/8F 16/12</v>
          </cell>
          <cell r="F988">
            <v>7.239749999999999</v>
          </cell>
        </row>
        <row r="989">
          <cell r="A989" t="str">
            <v>KQ2H01-03A</v>
          </cell>
          <cell r="B989">
            <v>0</v>
          </cell>
          <cell r="C989" t="str">
            <v>D1002100</v>
          </cell>
          <cell r="D989" t="str">
            <v>A0000017253</v>
          </cell>
          <cell r="E989" t="str">
            <v>3.2MM TO 4MM, STRAIGHT</v>
          </cell>
          <cell r="F989">
            <v>5.6095199999999998</v>
          </cell>
        </row>
        <row r="990">
          <cell r="A990" t="str">
            <v>KQ2H02-00A</v>
          </cell>
          <cell r="B990">
            <v>0</v>
          </cell>
          <cell r="C990">
            <v>1586552</v>
          </cell>
          <cell r="D990">
            <v>0</v>
          </cell>
          <cell r="E990" t="str">
            <v>FITTING-STRAIGHT-UNION D=2 D=2</v>
          </cell>
          <cell r="F990">
            <v>5</v>
          </cell>
        </row>
        <row r="991">
          <cell r="A991" t="str">
            <v>KQ2H03-32A</v>
          </cell>
          <cell r="B991">
            <v>0</v>
          </cell>
          <cell r="C991">
            <v>91001680</v>
          </cell>
          <cell r="D991">
            <v>0</v>
          </cell>
          <cell r="E991" t="str">
            <v>FITTING-MALE CONN 5/32X10-32NPT</v>
          </cell>
          <cell r="F991">
            <v>3.4839000000000002</v>
          </cell>
        </row>
        <row r="992">
          <cell r="A992" t="str">
            <v>KQ2H04-00</v>
          </cell>
          <cell r="B992" t="str">
            <v>KQ2H04-00A</v>
          </cell>
          <cell r="C992" t="str">
            <v>D1002202</v>
          </cell>
          <cell r="D992" t="str">
            <v>38473690-000/ 80.0000.0502</v>
          </cell>
          <cell r="E992" t="str">
            <v>4MM PORT STRAIGHT UNION *</v>
          </cell>
          <cell r="F992">
            <v>3.1457999999999995</v>
          </cell>
        </row>
        <row r="993">
          <cell r="A993" t="str">
            <v>KQ2H04-00A</v>
          </cell>
          <cell r="B993">
            <v>0</v>
          </cell>
          <cell r="C993" t="str">
            <v>1305171/ D1002131</v>
          </cell>
          <cell r="D993">
            <v>3604708</v>
          </cell>
          <cell r="E993" t="str">
            <v>FITTING,STRAIGHT,4MM TO 4MM</v>
          </cell>
          <cell r="F993">
            <v>3.1457999999999995</v>
          </cell>
        </row>
        <row r="994">
          <cell r="A994" t="str">
            <v>KQ2H04-01S</v>
          </cell>
          <cell r="B994" t="str">
            <v>KQ2H04-01AS</v>
          </cell>
          <cell r="C994" t="str">
            <v>D1002145</v>
          </cell>
          <cell r="D994" t="str">
            <v>80.0000.0060</v>
          </cell>
          <cell r="E994" t="str">
            <v>Pneumatic Fitting</v>
          </cell>
          <cell r="F994">
            <v>3.04</v>
          </cell>
        </row>
        <row r="995">
          <cell r="A995" t="str">
            <v>KQ2H04-02AS</v>
          </cell>
          <cell r="B995">
            <v>0</v>
          </cell>
          <cell r="C995">
            <v>4000787</v>
          </cell>
          <cell r="D995">
            <v>0</v>
          </cell>
          <cell r="E995" t="str">
            <v>FITTING-STRAIGHT G1/4M 4/2.5</v>
          </cell>
          <cell r="F995">
            <v>2.2833999999999999</v>
          </cell>
        </row>
        <row r="996">
          <cell r="A996" t="str">
            <v>KQ2H04-06</v>
          </cell>
          <cell r="B996" t="str">
            <v>KQ2H04-06A</v>
          </cell>
          <cell r="C996" t="str">
            <v>1360609/ 4020093/ D1002300</v>
          </cell>
          <cell r="D996" t="str">
            <v>3603753/ 3604343</v>
          </cell>
          <cell r="E996" t="str">
            <v>REDUCER,STRAIGHT,4MM TO 6MM</v>
          </cell>
          <cell r="F996">
            <v>4.8499999999999996</v>
          </cell>
        </row>
        <row r="997">
          <cell r="A997" t="str">
            <v>KQ2H04-M5</v>
          </cell>
          <cell r="B997" t="str">
            <v>KQ2H04-M5A</v>
          </cell>
          <cell r="C997" t="str">
            <v>G1003738</v>
          </cell>
          <cell r="D997" t="str">
            <v>80.0000.0350</v>
          </cell>
          <cell r="E997" t="str">
            <v>PNEUMATIC FITTING</v>
          </cell>
          <cell r="F997">
            <v>2.04</v>
          </cell>
        </row>
        <row r="998">
          <cell r="A998" t="str">
            <v>KQ2H04-M5A</v>
          </cell>
          <cell r="B998">
            <v>0</v>
          </cell>
          <cell r="C998" t="str">
            <v>1305088/ D1002113</v>
          </cell>
          <cell r="D998">
            <v>1504514</v>
          </cell>
          <cell r="E998" t="str">
            <v>STRAIGHT,M5X0.8R(PT),4MM TUBE</v>
          </cell>
          <cell r="F998">
            <v>2.04</v>
          </cell>
        </row>
        <row r="999">
          <cell r="A999" t="str">
            <v>KQ2H04-M5N</v>
          </cell>
          <cell r="B999">
            <v>0</v>
          </cell>
          <cell r="C999">
            <v>1305201</v>
          </cell>
          <cell r="D999">
            <v>3604095</v>
          </cell>
          <cell r="E999" t="str">
            <v>FITTING, STR, M5, 4MM OD</v>
          </cell>
          <cell r="F999">
            <v>2.8129919999999999</v>
          </cell>
        </row>
        <row r="1000">
          <cell r="A1000" t="str">
            <v>KQ2H06-00</v>
          </cell>
          <cell r="B1000" t="str">
            <v>KQ2H06-00A</v>
          </cell>
          <cell r="C1000" t="str">
            <v>D1002260</v>
          </cell>
          <cell r="D1000" t="str">
            <v>A0000016210</v>
          </cell>
          <cell r="E1000" t="str">
            <v>UNION,STRAIGHT,6MM</v>
          </cell>
          <cell r="F1000">
            <v>3.13</v>
          </cell>
        </row>
        <row r="1001">
          <cell r="A1001" t="str">
            <v>KQ2H06-00A</v>
          </cell>
          <cell r="B1001">
            <v>0</v>
          </cell>
          <cell r="C1001">
            <v>1305130</v>
          </cell>
          <cell r="D1001">
            <v>3604461</v>
          </cell>
          <cell r="E1001" t="str">
            <v>FITTING, STRAIGHT UNION, 6MM</v>
          </cell>
          <cell r="F1001">
            <v>3.1261999999999999</v>
          </cell>
        </row>
        <row r="1002">
          <cell r="A1002" t="str">
            <v>KQ2H06-01AS</v>
          </cell>
          <cell r="B1002" t="str">
            <v>Replaced KQ2H06-01S</v>
          </cell>
          <cell r="C1002">
            <v>1305195</v>
          </cell>
          <cell r="D1002" t="str">
            <v>3604296/  A0000016198/ 80.0001.1475</v>
          </cell>
          <cell r="E1002" t="str">
            <v>STRAIGHT,1/8 R(PT) M,6MM F</v>
          </cell>
          <cell r="F1002">
            <v>1.911</v>
          </cell>
        </row>
        <row r="1003">
          <cell r="A1003" t="str">
            <v>KQ2H06-01NS</v>
          </cell>
          <cell r="B1003">
            <v>0</v>
          </cell>
          <cell r="C1003">
            <v>1305204</v>
          </cell>
          <cell r="D1003">
            <v>0</v>
          </cell>
          <cell r="E1003" t="str">
            <v>FITTING-STRAIGHT 1/8M 6/4</v>
          </cell>
          <cell r="F1003">
            <v>2.0188000000000001</v>
          </cell>
        </row>
        <row r="1004">
          <cell r="A1004" t="str">
            <v>KQ2H06-02AS</v>
          </cell>
          <cell r="B1004">
            <v>0</v>
          </cell>
          <cell r="C1004" t="str">
            <v>1305136/ D1002082</v>
          </cell>
          <cell r="D1004">
            <v>2002267</v>
          </cell>
          <cell r="E1004" t="str">
            <v>STRAIGHT,1/4 R(PT) M,6MM F</v>
          </cell>
          <cell r="F1004">
            <v>2</v>
          </cell>
        </row>
        <row r="1005">
          <cell r="A1005" t="str">
            <v>KQ2H06-02S</v>
          </cell>
          <cell r="B1005" t="str">
            <v>KQ2H06-02AS</v>
          </cell>
          <cell r="C1005">
            <v>0</v>
          </cell>
          <cell r="D1005" t="str">
            <v>68707975-000/  80.0001.1476</v>
          </cell>
          <cell r="E1005" t="str">
            <v>ONE TOUCH MALE FITTNG,6MM PORT</v>
          </cell>
          <cell r="F1005">
            <v>2</v>
          </cell>
        </row>
        <row r="1006">
          <cell r="A1006" t="str">
            <v>KQ2H06-03AS</v>
          </cell>
          <cell r="B1006">
            <v>0</v>
          </cell>
          <cell r="C1006">
            <v>4000627</v>
          </cell>
          <cell r="D1006">
            <v>0</v>
          </cell>
          <cell r="E1006" t="str">
            <v>MALE FITTING KQ2H06-03AS</v>
          </cell>
          <cell r="F1006">
            <v>2.6362000000000001</v>
          </cell>
        </row>
        <row r="1007">
          <cell r="A1007" t="str">
            <v>KQ2H06-08</v>
          </cell>
          <cell r="B1007" t="str">
            <v>KQ2H06-08A</v>
          </cell>
          <cell r="C1007">
            <v>0</v>
          </cell>
          <cell r="D1007" t="str">
            <v>3603761/  80.0000.7842</v>
          </cell>
          <cell r="E1007" t="str">
            <v>FITTING,REDUCER,8MM-6MM TBNG</v>
          </cell>
          <cell r="F1007">
            <v>5.2183040000000007</v>
          </cell>
        </row>
        <row r="1008">
          <cell r="A1008" t="str">
            <v>KQ2H06-08A</v>
          </cell>
          <cell r="B1008">
            <v>0</v>
          </cell>
          <cell r="C1008">
            <v>1305191</v>
          </cell>
          <cell r="D1008">
            <v>0</v>
          </cell>
          <cell r="E1008" t="str">
            <v>FITTING-STRAIGHT 6/4 8/6</v>
          </cell>
          <cell r="F1008">
            <v>2.94</v>
          </cell>
        </row>
        <row r="1009">
          <cell r="A1009" t="str">
            <v>KQ2H06-M5A</v>
          </cell>
          <cell r="B1009">
            <v>0</v>
          </cell>
          <cell r="C1009">
            <v>4001332</v>
          </cell>
          <cell r="D1009">
            <v>0</v>
          </cell>
          <cell r="E1009" t="str">
            <v>FITTING-MALE CONN 6MMXM5</v>
          </cell>
          <cell r="F1009">
            <v>3.3075000000000001</v>
          </cell>
        </row>
        <row r="1010">
          <cell r="A1010" t="str">
            <v>KQ2H06-M5N</v>
          </cell>
          <cell r="B1010">
            <v>0</v>
          </cell>
          <cell r="C1010">
            <v>1305203</v>
          </cell>
          <cell r="D1010">
            <v>0</v>
          </cell>
          <cell r="E1010" t="str">
            <v>FITTING-STRAIGHT M5 6/4</v>
          </cell>
          <cell r="F1010">
            <v>2.9105999999999996</v>
          </cell>
        </row>
        <row r="1011">
          <cell r="A1011" t="str">
            <v>KQ2H06-U01A</v>
          </cell>
          <cell r="B1011">
            <v>0</v>
          </cell>
          <cell r="C1011">
            <v>97004460</v>
          </cell>
          <cell r="D1011">
            <v>0</v>
          </cell>
          <cell r="E1011">
            <v>0</v>
          </cell>
          <cell r="F1011">
            <v>2.8665000000000003</v>
          </cell>
        </row>
        <row r="1012">
          <cell r="A1012" t="str">
            <v>KQ2H06-U03A</v>
          </cell>
          <cell r="B1012">
            <v>0</v>
          </cell>
          <cell r="C1012">
            <v>91005550</v>
          </cell>
          <cell r="D1012">
            <v>0</v>
          </cell>
          <cell r="E1012">
            <v>0</v>
          </cell>
          <cell r="F1012">
            <v>3.7044000000000001</v>
          </cell>
        </row>
        <row r="1013">
          <cell r="A1013" t="str">
            <v>KQ2H07-01S</v>
          </cell>
          <cell r="B1013" t="str">
            <v>KQ2H07-01AS</v>
          </cell>
          <cell r="C1013">
            <v>0</v>
          </cell>
          <cell r="D1013">
            <v>0</v>
          </cell>
          <cell r="E1013">
            <v>0</v>
          </cell>
          <cell r="F1013">
            <v>5.3813760000000004</v>
          </cell>
        </row>
        <row r="1014">
          <cell r="A1014" t="str">
            <v>KQ2H07-34S</v>
          </cell>
          <cell r="B1014">
            <v>0</v>
          </cell>
          <cell r="C1014">
            <v>1360488</v>
          </cell>
          <cell r="D1014">
            <v>0</v>
          </cell>
          <cell r="E1014" t="str">
            <v>FITTING, 1 TOUCH, 1/4ODX1/8NPT</v>
          </cell>
          <cell r="F1014">
            <v>3.3957000000000002</v>
          </cell>
        </row>
        <row r="1015">
          <cell r="A1015" t="str">
            <v>KQ2H07-36S</v>
          </cell>
          <cell r="B1015">
            <v>0</v>
          </cell>
          <cell r="C1015" t="str">
            <v>D1002180</v>
          </cell>
          <cell r="D1015">
            <v>0</v>
          </cell>
          <cell r="E1015" t="str">
            <v>FITTING,STR,3/8MPT,1/4OD</v>
          </cell>
          <cell r="F1015">
            <v>4.165</v>
          </cell>
        </row>
        <row r="1016">
          <cell r="A1016" t="str">
            <v>KQ2H08-00</v>
          </cell>
          <cell r="B1016">
            <v>0</v>
          </cell>
          <cell r="C1016" t="str">
            <v>D1000591</v>
          </cell>
          <cell r="D1016">
            <v>0</v>
          </cell>
          <cell r="E1016" t="str">
            <v>UNION,STRAIGHT,8MM</v>
          </cell>
          <cell r="F1016">
            <v>4.0360320000000005</v>
          </cell>
        </row>
        <row r="1017">
          <cell r="A1017" t="str">
            <v>KQ2H08-00A</v>
          </cell>
          <cell r="B1017">
            <v>0</v>
          </cell>
          <cell r="C1017">
            <v>1305225</v>
          </cell>
          <cell r="D1017">
            <v>0</v>
          </cell>
          <cell r="E1017" t="str">
            <v>UNION,STRAIGHT,8MM</v>
          </cell>
          <cell r="F1017">
            <v>4.1674499999999997</v>
          </cell>
        </row>
        <row r="1018">
          <cell r="A1018" t="str">
            <v>KQ2H08-01AS</v>
          </cell>
          <cell r="B1018">
            <v>0</v>
          </cell>
          <cell r="C1018">
            <v>1305120</v>
          </cell>
          <cell r="D1018" t="str">
            <v>80.0000.0732</v>
          </cell>
          <cell r="E1018" t="str">
            <v>Pneumatic Fitting 1/8 D8</v>
          </cell>
          <cell r="F1018">
            <v>2.62</v>
          </cell>
        </row>
        <row r="1019">
          <cell r="A1019" t="str">
            <v>KQ2H08-01S</v>
          </cell>
          <cell r="B1019" t="str">
            <v>KQ2H08-01AS</v>
          </cell>
          <cell r="C1019">
            <v>1305120</v>
          </cell>
          <cell r="D1019" t="str">
            <v>A0000016201</v>
          </cell>
          <cell r="E1019" t="str">
            <v>STRAIGHT,1/8 R(PT) M,8MM F</v>
          </cell>
          <cell r="F1019">
            <v>2.62</v>
          </cell>
        </row>
        <row r="1020">
          <cell r="A1020" t="str">
            <v>KQ2H08-02AS</v>
          </cell>
          <cell r="B1020">
            <v>0</v>
          </cell>
          <cell r="C1020" t="str">
            <v>1305141/  D1002116</v>
          </cell>
          <cell r="D1020">
            <v>3604312</v>
          </cell>
          <cell r="E1020" t="str">
            <v>STRAIGHT,1/4 R(PT) M,8MM F</v>
          </cell>
          <cell r="F1020">
            <v>2.2343999999999999</v>
          </cell>
        </row>
        <row r="1021">
          <cell r="A1021" t="str">
            <v>KQ2H08-02S</v>
          </cell>
          <cell r="B1021" t="str">
            <v>KQ2H08-02AS</v>
          </cell>
          <cell r="C1021">
            <v>0</v>
          </cell>
          <cell r="D1021" t="str">
            <v>80.0001.1490</v>
          </cell>
          <cell r="E1021">
            <v>0</v>
          </cell>
          <cell r="F1021">
            <v>2.23</v>
          </cell>
        </row>
        <row r="1022">
          <cell r="A1022" t="str">
            <v>KQ2H08-03AS</v>
          </cell>
          <cell r="B1022" t="str">
            <v>Delta P/N = 3604297</v>
          </cell>
          <cell r="C1022">
            <v>1305194</v>
          </cell>
          <cell r="D1022">
            <v>0</v>
          </cell>
          <cell r="E1022" t="str">
            <v>STRAIGHT,3/8 R(PT) M,8MM F</v>
          </cell>
          <cell r="F1022">
            <v>2.5577999999999999</v>
          </cell>
        </row>
        <row r="1023">
          <cell r="A1023" t="str">
            <v>KQ2H08-10</v>
          </cell>
          <cell r="B1023" t="str">
            <v>KQ2H08-10A</v>
          </cell>
          <cell r="C1023">
            <v>0</v>
          </cell>
          <cell r="D1023" t="str">
            <v>80.0000.9306</v>
          </cell>
          <cell r="E1023" t="str">
            <v>UNION,8MM TO 10MM</v>
          </cell>
          <cell r="F1023">
            <v>6.7267199999999994</v>
          </cell>
        </row>
        <row r="1024">
          <cell r="A1024" t="str">
            <v>KQ2H08-10A</v>
          </cell>
          <cell r="B1024">
            <v>0</v>
          </cell>
          <cell r="C1024">
            <v>1305190</v>
          </cell>
          <cell r="D1024">
            <v>3604488</v>
          </cell>
          <cell r="E1024" t="str">
            <v>STRAIGHT,REDUCER,10MM F,8MM F</v>
          </cell>
          <cell r="F1024">
            <v>4.5863999999999994</v>
          </cell>
        </row>
        <row r="1025">
          <cell r="A1025" t="str">
            <v>KQ2H08-U02A</v>
          </cell>
          <cell r="B1025">
            <v>0</v>
          </cell>
          <cell r="C1025">
            <v>4001086</v>
          </cell>
          <cell r="D1025">
            <v>3604344</v>
          </cell>
          <cell r="E1025" t="str">
            <v>STRAIGHT,1/4 NPT M,8MM F</v>
          </cell>
          <cell r="F1025">
            <v>2.35</v>
          </cell>
        </row>
        <row r="1026">
          <cell r="A1026" t="str">
            <v>KQ2H09-11A</v>
          </cell>
          <cell r="B1026">
            <v>0</v>
          </cell>
          <cell r="C1026" t="str">
            <v>D1003471</v>
          </cell>
          <cell r="D1026">
            <v>3604480</v>
          </cell>
          <cell r="E1026" t="str">
            <v>STRAIGHT,REDUCER,3/8" F,5/16"F</v>
          </cell>
          <cell r="F1026">
            <v>6.1739999999999995</v>
          </cell>
        </row>
        <row r="1027">
          <cell r="A1027" t="str">
            <v>KQ2H09-34AS</v>
          </cell>
          <cell r="B1027">
            <v>0</v>
          </cell>
          <cell r="C1027" t="str">
            <v>D1000323</v>
          </cell>
          <cell r="D1027">
            <v>3603300</v>
          </cell>
          <cell r="E1027" t="str">
            <v>FITTING STRAIGHT 5/16ODX1/8NPT</v>
          </cell>
          <cell r="F1027">
            <v>3.3809999999999998</v>
          </cell>
        </row>
        <row r="1028">
          <cell r="A1028" t="str">
            <v>KQ2H10-00</v>
          </cell>
          <cell r="B1028">
            <v>0</v>
          </cell>
          <cell r="C1028">
            <v>4002111</v>
          </cell>
          <cell r="D1028" t="str">
            <v>A0000016212</v>
          </cell>
          <cell r="E1028" t="str">
            <v>UNION,STRAIGHT,10MM</v>
          </cell>
          <cell r="F1028">
            <v>7.4969999999999999</v>
          </cell>
        </row>
        <row r="1029">
          <cell r="A1029" t="str">
            <v>KQ2H10-00A</v>
          </cell>
          <cell r="B1029">
            <v>0</v>
          </cell>
          <cell r="C1029">
            <v>1305226</v>
          </cell>
          <cell r="D1029" t="str">
            <v>68704584-000</v>
          </cell>
          <cell r="E1029" t="str">
            <v>10MM PORT STRAIGHT UNION / COU</v>
          </cell>
          <cell r="F1029">
            <v>6.747300000000001</v>
          </cell>
        </row>
        <row r="1030">
          <cell r="A1030" t="str">
            <v>KQ2H10-01AS</v>
          </cell>
          <cell r="B1030">
            <v>0</v>
          </cell>
          <cell r="C1030">
            <v>1131347</v>
          </cell>
          <cell r="D1030">
            <v>0</v>
          </cell>
          <cell r="E1030" t="str">
            <v>FITTING-STRAIGHT G1/8M 10/8</v>
          </cell>
          <cell r="F1030">
            <v>4.0571999999999999</v>
          </cell>
        </row>
        <row r="1031">
          <cell r="A1031" t="str">
            <v>KQ2H10-02AS</v>
          </cell>
          <cell r="B1031">
            <v>0</v>
          </cell>
          <cell r="C1031">
            <v>1305137</v>
          </cell>
          <cell r="D1031">
            <v>2002285</v>
          </cell>
          <cell r="E1031" t="str">
            <v>STRAIGHT,1/4 R(PT) M,10MM F</v>
          </cell>
          <cell r="F1031">
            <v>2.86944</v>
          </cell>
        </row>
        <row r="1032">
          <cell r="A1032" t="str">
            <v>KQ2H10-02S</v>
          </cell>
          <cell r="B1032">
            <v>0</v>
          </cell>
          <cell r="C1032" t="str">
            <v>D1002634</v>
          </cell>
          <cell r="D1032" t="str">
            <v>A0000016204</v>
          </cell>
          <cell r="E1032" t="str">
            <v>10MM STRAIGHT MALE</v>
          </cell>
          <cell r="F1032">
            <v>4.6475520000000001</v>
          </cell>
        </row>
        <row r="1033">
          <cell r="A1033" t="str">
            <v>KQ2H10-03AS</v>
          </cell>
          <cell r="B1033" t="str">
            <v>91000670 Replaced by 1305135</v>
          </cell>
          <cell r="C1033" t="str">
            <v>91000670/ 1305135/ D1003289</v>
          </cell>
          <cell r="D1033" t="str">
            <v>3604466/ 80.0000.0735</v>
          </cell>
          <cell r="E1033" t="str">
            <v>STRAIGHT,3/8 R(PT) M,10MM F</v>
          </cell>
          <cell r="F1033">
            <v>2.9694000000000003</v>
          </cell>
        </row>
        <row r="1034">
          <cell r="A1034" t="str">
            <v>KQ2H10-03S</v>
          </cell>
          <cell r="B1034" t="str">
            <v>KQ2H10-03AS</v>
          </cell>
          <cell r="C1034">
            <v>0</v>
          </cell>
          <cell r="D1034" t="str">
            <v>80.0000.9307/ A0000016205</v>
          </cell>
          <cell r="E1034" t="str">
            <v>10MM STRAIGHT MALE</v>
          </cell>
          <cell r="F1034">
            <v>2.9694000000000003</v>
          </cell>
        </row>
        <row r="1035">
          <cell r="A1035" t="str">
            <v>KQ2H10-04AS</v>
          </cell>
          <cell r="B1035" t="str">
            <v>D1003290/ 91004800 Replaced by 4001903</v>
          </cell>
          <cell r="C1035" t="str">
            <v>D1003290/ 91004800/ 4001903</v>
          </cell>
          <cell r="D1035" t="str">
            <v>3604467/ A0000016206</v>
          </cell>
          <cell r="E1035" t="str">
            <v>STRAIGHT,1/2 R(PT) M,10MM F</v>
          </cell>
          <cell r="F1035">
            <v>3.8220000000000001</v>
          </cell>
        </row>
        <row r="1036">
          <cell r="A1036" t="str">
            <v>KQ2H10-04S</v>
          </cell>
          <cell r="B1036" t="str">
            <v>KQ2H10-04AS</v>
          </cell>
          <cell r="C1036">
            <v>0</v>
          </cell>
          <cell r="D1036">
            <v>0</v>
          </cell>
          <cell r="E1036" t="str">
            <v>10MM STRAIGHT MALE</v>
          </cell>
          <cell r="F1036">
            <v>3.82</v>
          </cell>
        </row>
        <row r="1037">
          <cell r="A1037" t="str">
            <v>KQ2H10-12A</v>
          </cell>
          <cell r="B1037" t="str">
            <v>Replaced KQ2H10-12</v>
          </cell>
          <cell r="C1037">
            <v>4002071</v>
          </cell>
          <cell r="D1037" t="str">
            <v>80.0001.1450</v>
          </cell>
          <cell r="E1037" t="str">
            <v>Pneumatic Fitting</v>
          </cell>
          <cell r="F1037">
            <v>5.0715000000000003</v>
          </cell>
        </row>
        <row r="1038">
          <cell r="A1038" t="str">
            <v>KQ2H10-U03A</v>
          </cell>
          <cell r="B1038">
            <v>0</v>
          </cell>
          <cell r="C1038">
            <v>4001108</v>
          </cell>
          <cell r="D1038">
            <v>0</v>
          </cell>
          <cell r="E1038" t="str">
            <v>FITTING-STRAIGHT 3/8M 10/8</v>
          </cell>
          <cell r="F1038">
            <v>3.6945999999999999</v>
          </cell>
        </row>
        <row r="1039">
          <cell r="A1039" t="str">
            <v>KQ2H12-00A</v>
          </cell>
          <cell r="B1039">
            <v>0</v>
          </cell>
          <cell r="C1039" t="str">
            <v>D1002102</v>
          </cell>
          <cell r="D1039">
            <v>0</v>
          </cell>
          <cell r="E1039" t="str">
            <v>UNION,STRAIGHT,12MM</v>
          </cell>
          <cell r="F1039">
            <v>6.3209999999999988</v>
          </cell>
        </row>
        <row r="1040">
          <cell r="A1040" t="str">
            <v>KQ2H12-02AS</v>
          </cell>
          <cell r="B1040">
            <v>0</v>
          </cell>
          <cell r="C1040">
            <v>91006400</v>
          </cell>
          <cell r="D1040">
            <v>0</v>
          </cell>
          <cell r="E1040" t="str">
            <v>FITTING-MALE CONN 12MMX1/4NPT ONE-TOUCH</v>
          </cell>
          <cell r="F1040">
            <v>5.0274000000000001</v>
          </cell>
        </row>
        <row r="1041">
          <cell r="A1041" t="str">
            <v>KQ2H12-02S</v>
          </cell>
          <cell r="B1041" t="str">
            <v>KQ2H12-02AS</v>
          </cell>
          <cell r="C1041">
            <v>0</v>
          </cell>
          <cell r="D1041" t="str">
            <v>80.0001.1456</v>
          </cell>
          <cell r="E1041">
            <v>0</v>
          </cell>
          <cell r="F1041">
            <v>5.03</v>
          </cell>
        </row>
        <row r="1042">
          <cell r="A1042" t="str">
            <v>KQ2H12-03AS</v>
          </cell>
          <cell r="B1042">
            <v>0</v>
          </cell>
          <cell r="C1042">
            <v>1361045</v>
          </cell>
          <cell r="D1042">
            <v>3604285</v>
          </cell>
          <cell r="E1042" t="str">
            <v>12MM STRAIGHT MALE</v>
          </cell>
          <cell r="F1042">
            <v>3.4104000000000001</v>
          </cell>
        </row>
        <row r="1043">
          <cell r="A1043" t="str">
            <v>KQ2H12-03S</v>
          </cell>
          <cell r="B1043">
            <v>0</v>
          </cell>
          <cell r="C1043">
            <v>4001510</v>
          </cell>
          <cell r="D1043" t="str">
            <v>A0000016207</v>
          </cell>
          <cell r="E1043" t="str">
            <v>12MM STRAIGHT MALE</v>
          </cell>
          <cell r="F1043">
            <v>3.4104000000000001</v>
          </cell>
        </row>
        <row r="1044">
          <cell r="A1044" t="str">
            <v>KQ2H12-04AS</v>
          </cell>
          <cell r="B1044">
            <v>0</v>
          </cell>
          <cell r="C1044">
            <v>1586103</v>
          </cell>
          <cell r="D1044" t="str">
            <v xml:space="preserve">80.0000.6032/ </v>
          </cell>
          <cell r="E1044" t="str">
            <v>Pneumatic Fitting</v>
          </cell>
          <cell r="F1044">
            <v>6.6639999999999997</v>
          </cell>
        </row>
        <row r="1045">
          <cell r="A1045" t="str">
            <v>KQ2H12-04S</v>
          </cell>
          <cell r="B1045" t="str">
            <v>KQ2H12-04AS</v>
          </cell>
          <cell r="C1045">
            <v>0</v>
          </cell>
          <cell r="D1045" t="str">
            <v>A0000016208</v>
          </cell>
          <cell r="E1045" t="str">
            <v>12MM STRAIGHT MALE</v>
          </cell>
          <cell r="F1045">
            <v>6.66</v>
          </cell>
        </row>
        <row r="1046">
          <cell r="A1046" t="str">
            <v>KQ2H16-03AS</v>
          </cell>
          <cell r="B1046">
            <v>0</v>
          </cell>
          <cell r="C1046">
            <v>4020185</v>
          </cell>
          <cell r="D1046">
            <v>0</v>
          </cell>
          <cell r="E1046" t="str">
            <v>FITTING STRAIGHT 16/14 G3/8</v>
          </cell>
          <cell r="F1046">
            <v>9.8343000000000007</v>
          </cell>
        </row>
        <row r="1047">
          <cell r="A1047" t="str">
            <v>KQ2H16-04AS</v>
          </cell>
          <cell r="B1047">
            <v>0</v>
          </cell>
          <cell r="C1047">
            <v>1361015</v>
          </cell>
          <cell r="D1047">
            <v>0</v>
          </cell>
          <cell r="E1047" t="str">
            <v>FITTING-STRAIGHT G1/2M 12/16 KQ2H</v>
          </cell>
          <cell r="F1047">
            <v>10.0548</v>
          </cell>
        </row>
        <row r="1048">
          <cell r="A1048" t="str">
            <v>KQ2H16-04S</v>
          </cell>
          <cell r="B1048">
            <v>0</v>
          </cell>
          <cell r="C1048">
            <v>4001751</v>
          </cell>
          <cell r="D1048">
            <v>0</v>
          </cell>
          <cell r="E1048" t="str">
            <v>FITTING-STRAIGHT R1/2 16</v>
          </cell>
          <cell r="F1048">
            <v>10.192</v>
          </cell>
        </row>
        <row r="1049">
          <cell r="A1049" t="str">
            <v>KQ2H23-04</v>
          </cell>
          <cell r="B1049">
            <v>0</v>
          </cell>
          <cell r="C1049">
            <v>1361153</v>
          </cell>
          <cell r="D1049">
            <v>0</v>
          </cell>
          <cell r="E1049" t="str">
            <v>FITTING-REDUCTION 4/3.2 UNION DOUBLE</v>
          </cell>
          <cell r="F1049">
            <v>4.9548800000000011</v>
          </cell>
        </row>
        <row r="1050">
          <cell r="A1050" t="str">
            <v>KQ2K04-M5</v>
          </cell>
          <cell r="B1050" t="str">
            <v>KQ2K04-M5A</v>
          </cell>
          <cell r="C1050">
            <v>0</v>
          </cell>
          <cell r="D1050" t="str">
            <v>80.0000.1042</v>
          </cell>
          <cell r="E1050" t="str">
            <v>Pneumatic Fitting</v>
          </cell>
          <cell r="F1050">
            <v>6.8897919999999999</v>
          </cell>
        </row>
        <row r="1051">
          <cell r="A1051" t="str">
            <v>KQ2K08-01AS</v>
          </cell>
          <cell r="B1051">
            <v>0</v>
          </cell>
          <cell r="C1051" t="str">
            <v>G1003808</v>
          </cell>
          <cell r="D1051" t="str">
            <v>80.0000.0733</v>
          </cell>
          <cell r="E1051" t="str">
            <v>Pneumatic Fitting</v>
          </cell>
          <cell r="F1051">
            <v>6.849024</v>
          </cell>
        </row>
        <row r="1052">
          <cell r="A1052" t="str">
            <v>KQ2L02-M3G</v>
          </cell>
          <cell r="B1052">
            <v>0</v>
          </cell>
          <cell r="C1052">
            <v>4000964</v>
          </cell>
          <cell r="D1052">
            <v>0</v>
          </cell>
          <cell r="E1052" t="str">
            <v>ELBOW-UNION M3M 2/1.4</v>
          </cell>
          <cell r="F1052">
            <v>5.6448000000000009</v>
          </cell>
        </row>
        <row r="1053">
          <cell r="A1053" t="str">
            <v>KQ2L02-M5N</v>
          </cell>
          <cell r="B1053">
            <v>0</v>
          </cell>
          <cell r="C1053">
            <v>1361140</v>
          </cell>
          <cell r="D1053">
            <v>0</v>
          </cell>
          <cell r="E1053" t="str">
            <v>FITTING-ELBOW M5 KQ2L02</v>
          </cell>
          <cell r="F1053">
            <v>4.1454000000000004</v>
          </cell>
        </row>
        <row r="1054">
          <cell r="A1054" t="str">
            <v>KQ2L03-32A</v>
          </cell>
          <cell r="B1054">
            <v>0</v>
          </cell>
          <cell r="C1054" t="str">
            <v>D1001895</v>
          </cell>
          <cell r="D1054">
            <v>3601240</v>
          </cell>
          <cell r="E1054" t="str">
            <v>FITTING ELBOW ONE</v>
          </cell>
          <cell r="F1054">
            <v>4.851</v>
          </cell>
        </row>
        <row r="1055">
          <cell r="A1055" t="str">
            <v>KQ2L03-32N</v>
          </cell>
          <cell r="B1055">
            <v>0</v>
          </cell>
          <cell r="C1055">
            <v>91101650</v>
          </cell>
          <cell r="D1055">
            <v>0</v>
          </cell>
          <cell r="E1055" t="str">
            <v>FITTING-ELBOW MALE 5/32X10-32</v>
          </cell>
          <cell r="F1055">
            <v>4.4981999999999998</v>
          </cell>
        </row>
        <row r="1056">
          <cell r="A1056" t="str">
            <v>KQ2L03-34AS</v>
          </cell>
          <cell r="B1056">
            <v>0</v>
          </cell>
          <cell r="C1056" t="str">
            <v>D1002118</v>
          </cell>
          <cell r="D1056" t="str">
            <v>3604350/ 3601237</v>
          </cell>
          <cell r="E1056" t="str">
            <v>ELBOW,1/8 NPT M,5/32 OD F</v>
          </cell>
          <cell r="F1056">
            <v>4.12</v>
          </cell>
        </row>
        <row r="1057">
          <cell r="A1057" t="str">
            <v>KQ2L04-00</v>
          </cell>
          <cell r="B1057" t="str">
            <v>KQ2L04-00A</v>
          </cell>
          <cell r="C1057">
            <v>0</v>
          </cell>
          <cell r="D1057" t="str">
            <v>80.0000.0501</v>
          </cell>
          <cell r="E1057" t="str">
            <v>Pneumatic Fitting</v>
          </cell>
          <cell r="F1057">
            <v>3.35</v>
          </cell>
        </row>
        <row r="1058">
          <cell r="A1058" t="str">
            <v>KQ2L04-00A</v>
          </cell>
          <cell r="B1058">
            <v>0</v>
          </cell>
          <cell r="C1058">
            <v>1305209</v>
          </cell>
          <cell r="D1058">
            <v>3604278</v>
          </cell>
          <cell r="E1058" t="str">
            <v>FITTING,ELBOW,4MM,WHITE</v>
          </cell>
          <cell r="F1058">
            <v>3.3515999999999999</v>
          </cell>
        </row>
        <row r="1059">
          <cell r="A1059" t="str">
            <v>KQ2L04-01AS</v>
          </cell>
          <cell r="B1059" t="str">
            <v>Replaced KQ2L04-01S</v>
          </cell>
          <cell r="C1059" t="str">
            <v>1305086/  D1002147</v>
          </cell>
          <cell r="D1059" t="str">
            <v>A0000016229</v>
          </cell>
          <cell r="E1059" t="str">
            <v>ELBOW,MALE,4MM</v>
          </cell>
          <cell r="F1059">
            <v>2.2123499999999998</v>
          </cell>
        </row>
        <row r="1060">
          <cell r="A1060" t="str">
            <v>KQ2L04-01NS</v>
          </cell>
          <cell r="B1060">
            <v>0</v>
          </cell>
          <cell r="C1060">
            <v>4020049</v>
          </cell>
          <cell r="D1060">
            <v>0</v>
          </cell>
          <cell r="E1060" t="str">
            <v>CONNECTOR KQ2L04-01NS</v>
          </cell>
          <cell r="F1060">
            <v>2.3519999999999999</v>
          </cell>
        </row>
        <row r="1061">
          <cell r="A1061" t="str">
            <v>KQ2L04-02AS</v>
          </cell>
          <cell r="B1061">
            <v>0</v>
          </cell>
          <cell r="C1061">
            <v>1131348</v>
          </cell>
          <cell r="D1061" t="str">
            <v>A0000016230</v>
          </cell>
          <cell r="E1061" t="str">
            <v>ELBOW,MALE,4MM</v>
          </cell>
          <cell r="F1061">
            <v>4.508</v>
          </cell>
        </row>
        <row r="1062">
          <cell r="A1062" t="str">
            <v>KQ2L04-02S</v>
          </cell>
          <cell r="B1062">
            <v>0</v>
          </cell>
          <cell r="C1062">
            <v>1135472</v>
          </cell>
          <cell r="D1062">
            <v>0</v>
          </cell>
          <cell r="E1062">
            <v>0</v>
          </cell>
          <cell r="F1062">
            <v>4.508</v>
          </cell>
        </row>
        <row r="1063">
          <cell r="A1063" t="str">
            <v>KQ2L04-06</v>
          </cell>
          <cell r="B1063" t="str">
            <v>KQ2L04-06A</v>
          </cell>
          <cell r="C1063">
            <v>0</v>
          </cell>
          <cell r="D1063">
            <v>3603793</v>
          </cell>
          <cell r="E1063" t="str">
            <v>FITTING ELBOW REDUCER 4MM-6MM</v>
          </cell>
          <cell r="F1063">
            <v>4.3214079999999999</v>
          </cell>
        </row>
        <row r="1064">
          <cell r="A1064" t="str">
            <v>KQ2L04-06A</v>
          </cell>
          <cell r="B1064">
            <v>0</v>
          </cell>
          <cell r="C1064">
            <v>1305222</v>
          </cell>
          <cell r="D1064" t="str">
            <v>80.0001.0125</v>
          </cell>
          <cell r="E1064" t="str">
            <v>Pneumatic Fitting</v>
          </cell>
          <cell r="F1064">
            <v>2.9693999999999998</v>
          </cell>
        </row>
        <row r="1065">
          <cell r="A1065" t="str">
            <v>KQ2L04-08</v>
          </cell>
          <cell r="B1065" t="str">
            <v>KQ2L04-08A</v>
          </cell>
          <cell r="C1065">
            <v>0</v>
          </cell>
          <cell r="D1065" t="str">
            <v>80.0000.0059</v>
          </cell>
          <cell r="E1065" t="str">
            <v>Pneumatic Fitting</v>
          </cell>
          <cell r="F1065">
            <v>4.28064</v>
          </cell>
        </row>
        <row r="1066">
          <cell r="A1066" t="str">
            <v>KQ2L04-99A</v>
          </cell>
          <cell r="B1066" t="str">
            <v>Replaced KQ2L04-99</v>
          </cell>
          <cell r="C1066">
            <v>1360352</v>
          </cell>
          <cell r="D1066" t="str">
            <v>3603935/ 80.0001.0109</v>
          </cell>
          <cell r="E1066" t="str">
            <v>Pneumatic Fitting</v>
          </cell>
          <cell r="F1066">
            <v>3.45</v>
          </cell>
        </row>
        <row r="1067">
          <cell r="A1067" t="str">
            <v>KQ2L04-M3G</v>
          </cell>
          <cell r="B1067">
            <v>0</v>
          </cell>
          <cell r="C1067">
            <v>91005300</v>
          </cell>
          <cell r="D1067" t="str">
            <v>80.0000.0360</v>
          </cell>
          <cell r="E1067" t="str">
            <v>Pneumatic Fitting</v>
          </cell>
          <cell r="F1067">
            <v>5.4977999999999998</v>
          </cell>
        </row>
        <row r="1068">
          <cell r="A1068" t="str">
            <v>KQ2L04-M5A</v>
          </cell>
          <cell r="B1068">
            <v>0</v>
          </cell>
          <cell r="C1068">
            <v>1305087</v>
          </cell>
          <cell r="D1068">
            <v>3601336</v>
          </cell>
          <cell r="E1068" t="str">
            <v>FITTING,ELBOW,UNION,1/4 TUBE</v>
          </cell>
          <cell r="F1068">
            <v>2.9106000000000001</v>
          </cell>
        </row>
        <row r="1069">
          <cell r="A1069" t="str">
            <v>KQ2L04-M5N</v>
          </cell>
          <cell r="B1069">
            <v>0</v>
          </cell>
          <cell r="C1069">
            <v>1305205</v>
          </cell>
          <cell r="D1069" t="str">
            <v>80.0000.0359</v>
          </cell>
          <cell r="E1069" t="str">
            <v>Pneumatic Fitting</v>
          </cell>
          <cell r="F1069">
            <v>3.4</v>
          </cell>
        </row>
        <row r="1070">
          <cell r="A1070" t="str">
            <v>KQ2L06-00</v>
          </cell>
          <cell r="B1070" t="str">
            <v>KQ2L06-00A</v>
          </cell>
          <cell r="C1070" t="str">
            <v>D1003323</v>
          </cell>
          <cell r="D1070" t="str">
            <v>3603771/ 80.0000.0522</v>
          </cell>
          <cell r="E1070" t="str">
            <v>FITTING, UNION ELBOW, T6</v>
          </cell>
          <cell r="F1070">
            <v>3.0379999999999998</v>
          </cell>
        </row>
        <row r="1071">
          <cell r="A1071" t="str">
            <v>KQ2L06-00A</v>
          </cell>
          <cell r="B1071">
            <v>0</v>
          </cell>
          <cell r="C1071">
            <v>1305210</v>
          </cell>
          <cell r="D1071">
            <v>0</v>
          </cell>
          <cell r="E1071" t="str">
            <v>ELBOW,UNION,6MMOD</v>
          </cell>
          <cell r="F1071">
            <v>3.0379999999999998</v>
          </cell>
        </row>
        <row r="1072">
          <cell r="A1072" t="str">
            <v>KQ2L06-01AS</v>
          </cell>
          <cell r="B1072">
            <v>0</v>
          </cell>
          <cell r="C1072" t="str">
            <v>1305105/ D1000828/ G1003860</v>
          </cell>
          <cell r="D1072">
            <v>3604286</v>
          </cell>
          <cell r="E1072" t="str">
            <v>ELBOW,1/8 R(PT) M,6MM F</v>
          </cell>
          <cell r="F1072">
            <v>2.39</v>
          </cell>
        </row>
        <row r="1073">
          <cell r="A1073" t="str">
            <v>KQ2L06-01NS</v>
          </cell>
          <cell r="B1073">
            <v>0</v>
          </cell>
          <cell r="C1073">
            <v>1305208</v>
          </cell>
          <cell r="D1073">
            <v>0</v>
          </cell>
          <cell r="E1073" t="str">
            <v>ELBOW-UNION 1/8M 6/4</v>
          </cell>
          <cell r="F1073">
            <v>2.4953249999999998</v>
          </cell>
        </row>
        <row r="1074">
          <cell r="A1074" t="str">
            <v>KQ2L06-01S</v>
          </cell>
          <cell r="B1074" t="str">
            <v>KQ2L06-01AS</v>
          </cell>
          <cell r="C1074">
            <v>0</v>
          </cell>
          <cell r="D1074">
            <v>0</v>
          </cell>
          <cell r="E1074">
            <v>0</v>
          </cell>
          <cell r="F1074">
            <v>2.39</v>
          </cell>
        </row>
        <row r="1075">
          <cell r="A1075" t="str">
            <v>KQ2L06-02AS</v>
          </cell>
          <cell r="B1075">
            <v>0</v>
          </cell>
          <cell r="C1075">
            <v>1305140</v>
          </cell>
          <cell r="D1075">
            <v>3604298</v>
          </cell>
          <cell r="E1075" t="str">
            <v>ELBOW,1/4 R(PT) M,6MM F</v>
          </cell>
          <cell r="F1075">
            <v>3.3123999999999998</v>
          </cell>
        </row>
        <row r="1076">
          <cell r="A1076" t="str">
            <v>KQ2L06-08</v>
          </cell>
          <cell r="B1076" t="str">
            <v>KQ2L06-08A</v>
          </cell>
          <cell r="C1076">
            <v>0</v>
          </cell>
          <cell r="D1076" t="str">
            <v>80.0000.0113</v>
          </cell>
          <cell r="E1076" t="str">
            <v>Pneumatic Fitting</v>
          </cell>
          <cell r="F1076">
            <v>4.3214079999999999</v>
          </cell>
        </row>
        <row r="1077">
          <cell r="A1077" t="str">
            <v>KQ2L06-08A</v>
          </cell>
          <cell r="B1077">
            <v>0</v>
          </cell>
          <cell r="C1077">
            <v>1260455</v>
          </cell>
          <cell r="D1077">
            <v>3604337</v>
          </cell>
          <cell r="E1077" t="str">
            <v>ELBOW,REDUCER,6MM F,8MM M</v>
          </cell>
          <cell r="F1077">
            <v>4.32</v>
          </cell>
        </row>
        <row r="1078">
          <cell r="A1078" t="str">
            <v>KQ2L06-99</v>
          </cell>
          <cell r="B1078" t="str">
            <v>KQ2L06-99A</v>
          </cell>
          <cell r="C1078">
            <v>1360411</v>
          </cell>
          <cell r="D1078" t="str">
            <v>80.0000.0746/ A0000016575</v>
          </cell>
          <cell r="E1078" t="str">
            <v>PLUG-IN ELBOW, 6MM OD</v>
          </cell>
          <cell r="F1078">
            <v>2.35</v>
          </cell>
        </row>
        <row r="1079">
          <cell r="A1079" t="str">
            <v>KQ2L06-99A</v>
          </cell>
          <cell r="B1079">
            <v>0</v>
          </cell>
          <cell r="C1079">
            <v>1305263</v>
          </cell>
          <cell r="D1079">
            <v>3604234</v>
          </cell>
          <cell r="E1079" t="str">
            <v>PLUG IN ELBOW 6MM</v>
          </cell>
          <cell r="F1079">
            <v>2.3519999999999999</v>
          </cell>
        </row>
        <row r="1080">
          <cell r="A1080" t="str">
            <v>KQ2L06-M5A</v>
          </cell>
          <cell r="B1080">
            <v>0</v>
          </cell>
          <cell r="C1080">
            <v>4001182</v>
          </cell>
          <cell r="D1080" t="str">
            <v>A0000016231</v>
          </cell>
          <cell r="E1080" t="str">
            <v>ELBOW,GASKET,M5x0.8 M,6MM F</v>
          </cell>
          <cell r="F1080">
            <v>4.5863999999999994</v>
          </cell>
        </row>
        <row r="1081">
          <cell r="A1081" t="str">
            <v>KQ2L06-M5N</v>
          </cell>
          <cell r="B1081">
            <v>0</v>
          </cell>
          <cell r="C1081">
            <v>1305207</v>
          </cell>
          <cell r="D1081">
            <v>0</v>
          </cell>
          <cell r="E1081" t="str">
            <v>ELBOW-UNION M5M 6/4</v>
          </cell>
          <cell r="F1081">
            <v>3.1163999999999996</v>
          </cell>
        </row>
        <row r="1082">
          <cell r="A1082" t="str">
            <v>KQ2L06-U01A</v>
          </cell>
          <cell r="B1082">
            <v>0</v>
          </cell>
          <cell r="C1082" t="str">
            <v>D1003483</v>
          </cell>
          <cell r="D1082">
            <v>3604486</v>
          </cell>
          <cell r="E1082" t="str">
            <v>ELBOW,UNV G,1/8 UNI M,6MM F</v>
          </cell>
          <cell r="F1082">
            <v>4.5570000000000004</v>
          </cell>
        </row>
        <row r="1083">
          <cell r="A1083" t="str">
            <v>KQ2L07-01S</v>
          </cell>
          <cell r="B1083" t="str">
            <v>KQ2L07-01AS</v>
          </cell>
          <cell r="C1083">
            <v>0</v>
          </cell>
          <cell r="D1083">
            <v>0</v>
          </cell>
          <cell r="E1083">
            <v>0</v>
          </cell>
          <cell r="F1083">
            <v>7.2974720000000008</v>
          </cell>
        </row>
        <row r="1084">
          <cell r="A1084" t="str">
            <v>KQ2L08-00</v>
          </cell>
          <cell r="B1084" t="str">
            <v>KQ2L08-00A</v>
          </cell>
          <cell r="C1084">
            <v>0</v>
          </cell>
          <cell r="D1084">
            <v>0</v>
          </cell>
          <cell r="E1084">
            <v>0</v>
          </cell>
          <cell r="F1084">
            <v>4.9736959999999995</v>
          </cell>
        </row>
        <row r="1085">
          <cell r="A1085" t="str">
            <v>KQ2L08-00A</v>
          </cell>
          <cell r="B1085">
            <v>0</v>
          </cell>
          <cell r="C1085" t="str">
            <v>1305224/ G1005313</v>
          </cell>
          <cell r="D1085" t="str">
            <v>3604646/ 3603501/ 80.0001.0012</v>
          </cell>
          <cell r="E1085" t="str">
            <v>ELBOW, 8MM TUBING, FEML-FEML</v>
          </cell>
          <cell r="F1085">
            <v>4.9736959999999995</v>
          </cell>
        </row>
        <row r="1086">
          <cell r="A1086" t="str">
            <v>KQ2L08-01AS</v>
          </cell>
          <cell r="B1086">
            <v>0</v>
          </cell>
          <cell r="C1086">
            <v>1305121</v>
          </cell>
          <cell r="D1086">
            <v>3604287</v>
          </cell>
          <cell r="E1086" t="str">
            <v>ELBOW,MALE,8MM</v>
          </cell>
          <cell r="F1086">
            <v>3.18</v>
          </cell>
        </row>
        <row r="1087">
          <cell r="A1087" t="str">
            <v>KQ2L08-01S</v>
          </cell>
          <cell r="B1087" t="str">
            <v>KQ2L08-01AS</v>
          </cell>
          <cell r="C1087">
            <v>0</v>
          </cell>
          <cell r="D1087" t="str">
            <v>A0000016235</v>
          </cell>
          <cell r="E1087" t="str">
            <v>ELBOW,MALE,8MM</v>
          </cell>
          <cell r="F1087">
            <v>3.18</v>
          </cell>
        </row>
        <row r="1088">
          <cell r="A1088" t="str">
            <v>KQ2L08-02AS</v>
          </cell>
          <cell r="B1088">
            <v>0</v>
          </cell>
          <cell r="C1088">
            <v>1305145</v>
          </cell>
          <cell r="D1088">
            <v>3604289</v>
          </cell>
          <cell r="E1088" t="str">
            <v>ELBOW,MALE,8MM</v>
          </cell>
          <cell r="F1088">
            <v>3.2633999999999994</v>
          </cell>
        </row>
        <row r="1089">
          <cell r="A1089" t="str">
            <v>KQ2L08-02S</v>
          </cell>
          <cell r="B1089" t="str">
            <v>KQ2L08-02AS</v>
          </cell>
          <cell r="C1089">
            <v>0</v>
          </cell>
          <cell r="D1089" t="str">
            <v>A0000016236/  80.0001.0929</v>
          </cell>
          <cell r="E1089" t="str">
            <v>ELBOW,MALE,8MM</v>
          </cell>
          <cell r="F1089">
            <v>3.7534000000000001</v>
          </cell>
        </row>
        <row r="1090">
          <cell r="A1090" t="str">
            <v>KQ2L08-03AS</v>
          </cell>
          <cell r="B1090">
            <v>0</v>
          </cell>
          <cell r="C1090">
            <v>1305146</v>
          </cell>
          <cell r="D1090">
            <v>3604299</v>
          </cell>
          <cell r="E1090" t="str">
            <v>ELBOW,MALE,8MM,3/8RPT,W/SEAL</v>
          </cell>
          <cell r="F1090">
            <v>5.1155999999999997</v>
          </cell>
        </row>
        <row r="1091">
          <cell r="A1091" t="str">
            <v>KQ2L08-10A</v>
          </cell>
          <cell r="B1091">
            <v>0</v>
          </cell>
          <cell r="C1091">
            <v>1305223</v>
          </cell>
          <cell r="D1091">
            <v>0</v>
          </cell>
          <cell r="E1091" t="str">
            <v>ELBOW-UNION 10M 8/6</v>
          </cell>
          <cell r="F1091">
            <v>3.7631999999999999</v>
          </cell>
        </row>
        <row r="1092">
          <cell r="A1092" t="str">
            <v>KQ2L08-12A</v>
          </cell>
          <cell r="B1092" t="str">
            <v>Replaced KQ2L08-12</v>
          </cell>
          <cell r="C1092">
            <v>91101610</v>
          </cell>
          <cell r="D1092" t="str">
            <v>80.0001.1543</v>
          </cell>
          <cell r="E1092" t="str">
            <v>Pneumatic Fitting</v>
          </cell>
          <cell r="F1092">
            <v>5.3507999999999996</v>
          </cell>
        </row>
        <row r="1093">
          <cell r="A1093" t="str">
            <v>KQ2L08-99</v>
          </cell>
          <cell r="B1093" t="str">
            <v>KQ2L08-99A</v>
          </cell>
          <cell r="C1093">
            <v>0</v>
          </cell>
          <cell r="D1093" t="str">
            <v>A0000016086</v>
          </cell>
          <cell r="E1093" t="str">
            <v>ELBOW, 8MM, MALE TO FEMALE</v>
          </cell>
          <cell r="F1093">
            <v>3.47</v>
          </cell>
        </row>
        <row r="1094">
          <cell r="A1094" t="str">
            <v>KQ2L08-99A</v>
          </cell>
          <cell r="B1094">
            <v>0</v>
          </cell>
          <cell r="C1094">
            <v>1360410</v>
          </cell>
          <cell r="D1094" t="str">
            <v>3604469/  80.0000.0738</v>
          </cell>
          <cell r="E1094" t="str">
            <v>ELBOW,PLUGIN,8MM M,8MM F</v>
          </cell>
          <cell r="F1094">
            <v>3.4691999999999998</v>
          </cell>
        </row>
        <row r="1095">
          <cell r="A1095" t="str">
            <v>KQ2L10-00</v>
          </cell>
          <cell r="B1095" t="str">
            <v>KQ2L10-00A</v>
          </cell>
          <cell r="C1095">
            <v>0</v>
          </cell>
          <cell r="D1095">
            <v>3603812</v>
          </cell>
          <cell r="E1095" t="str">
            <v>ELBOW, 10MM TO 10MM OD TUBE</v>
          </cell>
          <cell r="F1095">
            <v>7.7459199999999999</v>
          </cell>
        </row>
        <row r="1096">
          <cell r="A1096" t="str">
            <v>KQ2L10-00A</v>
          </cell>
          <cell r="B1096" t="str">
            <v>Replaced KQ2L10-00</v>
          </cell>
          <cell r="C1096" t="str">
            <v>1305142/ G1005308</v>
          </cell>
          <cell r="D1096" t="str">
            <v>3604515/  80.0001.1541</v>
          </cell>
          <cell r="E1096" t="str">
            <v>ELBOW, UNION,10MM F,10MM F</v>
          </cell>
          <cell r="F1096">
            <v>6.0662000000000003</v>
          </cell>
        </row>
        <row r="1097">
          <cell r="A1097" t="str">
            <v>KQ2L10-01AS</v>
          </cell>
          <cell r="B1097">
            <v>0</v>
          </cell>
          <cell r="C1097" t="str">
            <v>1360118/ 4020094</v>
          </cell>
          <cell r="D1097">
            <v>3604338</v>
          </cell>
          <cell r="E1097" t="str">
            <v>ELBOW,1/8 R(PT) M,10MM F</v>
          </cell>
          <cell r="F1097">
            <v>6.2622</v>
          </cell>
        </row>
        <row r="1098">
          <cell r="A1098" t="str">
            <v>KQ2L10-01S</v>
          </cell>
          <cell r="B1098" t="str">
            <v>KQ2L10-01AS</v>
          </cell>
          <cell r="C1098">
            <v>0</v>
          </cell>
          <cell r="D1098">
            <v>0</v>
          </cell>
          <cell r="E1098" t="str">
            <v>ELBOW,1/8 R(PT) M,10MM F</v>
          </cell>
          <cell r="F1098">
            <v>6.6044160000000005</v>
          </cell>
        </row>
        <row r="1099">
          <cell r="A1099" t="str">
            <v>KQ2L10-02AS</v>
          </cell>
          <cell r="B1099">
            <v>0</v>
          </cell>
          <cell r="C1099" t="str">
            <v>1305221/ D1000814</v>
          </cell>
          <cell r="D1099">
            <v>3604300</v>
          </cell>
          <cell r="E1099" t="str">
            <v>ELBOW,1/4 R(PT) M,10MM F</v>
          </cell>
          <cell r="F1099">
            <v>4.2336</v>
          </cell>
        </row>
        <row r="1100">
          <cell r="A1100" t="str">
            <v>KQ2L10-02S</v>
          </cell>
          <cell r="B1100" t="str">
            <v>KQ2L10-02AS</v>
          </cell>
          <cell r="C1100">
            <v>0</v>
          </cell>
          <cell r="D1100" t="str">
            <v>38430336-000</v>
          </cell>
          <cell r="E1100" t="str">
            <v>ONE TOUCH MALE ELBOW FITTING 1</v>
          </cell>
          <cell r="F1100">
            <v>4.2336</v>
          </cell>
        </row>
        <row r="1101">
          <cell r="A1101" t="str">
            <v>KQL10-02S</v>
          </cell>
          <cell r="B1101" t="str">
            <v>KQ2L10-02AS</v>
          </cell>
          <cell r="C1101">
            <v>1304147</v>
          </cell>
          <cell r="D1101">
            <v>0</v>
          </cell>
          <cell r="E1101" t="str">
            <v>ELBOW-UNION 1/4M 10/8</v>
          </cell>
          <cell r="F1101">
            <v>4.2336</v>
          </cell>
        </row>
        <row r="1102">
          <cell r="A1102" t="str">
            <v>KQ2L10-03AS</v>
          </cell>
          <cell r="B1102">
            <v>0</v>
          </cell>
          <cell r="C1102">
            <v>1305148</v>
          </cell>
          <cell r="D1102">
            <v>3604465</v>
          </cell>
          <cell r="E1102" t="str">
            <v>ELBOW,3/8 R(PT) M,10MM F</v>
          </cell>
          <cell r="F1102">
            <v>5.2919999999999998</v>
          </cell>
        </row>
        <row r="1103">
          <cell r="A1103" t="str">
            <v>KQ2L10-03S</v>
          </cell>
          <cell r="B1103">
            <v>0</v>
          </cell>
          <cell r="C1103" t="str">
            <v>D1002708</v>
          </cell>
          <cell r="D1103" t="str">
            <v>A0000016239</v>
          </cell>
          <cell r="E1103" t="str">
            <v>ELBOW MALE 10MM</v>
          </cell>
          <cell r="F1103">
            <v>7.2029999999999994</v>
          </cell>
        </row>
        <row r="1104">
          <cell r="A1104" t="str">
            <v>KQ2L10-04AS</v>
          </cell>
          <cell r="B1104">
            <v>0</v>
          </cell>
          <cell r="C1104">
            <v>4000816</v>
          </cell>
          <cell r="D1104">
            <v>0</v>
          </cell>
          <cell r="E1104" t="str">
            <v>ELBOW-UNION G1/2M 10/8</v>
          </cell>
          <cell r="F1104">
            <v>6.9678000000000004</v>
          </cell>
        </row>
        <row r="1105">
          <cell r="A1105" t="str">
            <v>KQ2L10-99</v>
          </cell>
          <cell r="B1105" t="str">
            <v>KQ2L10-99A</v>
          </cell>
          <cell r="C1105" t="str">
            <v>D1000966</v>
          </cell>
          <cell r="D1105">
            <v>3603396</v>
          </cell>
          <cell r="E1105" t="str">
            <v>ELBOW 10MM M X 10MM F</v>
          </cell>
          <cell r="F1105">
            <v>5.9521280000000001</v>
          </cell>
        </row>
        <row r="1106">
          <cell r="A1106" t="str">
            <v>KQ2L10-99A</v>
          </cell>
          <cell r="B1106" t="str">
            <v>Replaced KQ2L10-99</v>
          </cell>
          <cell r="C1106" t="str">
            <v>1130261/ G1005508</v>
          </cell>
          <cell r="D1106" t="str">
            <v>80.0001.1549</v>
          </cell>
          <cell r="E1106" t="str">
            <v>Pneumatic Fitting</v>
          </cell>
          <cell r="F1106">
            <v>4.4981999999999998</v>
          </cell>
        </row>
        <row r="1107">
          <cell r="A1107" t="str">
            <v>KQ2L10-U03</v>
          </cell>
          <cell r="B1107">
            <v>0</v>
          </cell>
          <cell r="C1107" t="str">
            <v>D1002178</v>
          </cell>
          <cell r="D1107" t="str">
            <v>A0000017286</v>
          </cell>
          <cell r="E1107" t="str">
            <v>10MM ELBOW 3/8 MALE UNVSAL</v>
          </cell>
          <cell r="F1107">
            <v>7.2519999999999998</v>
          </cell>
        </row>
        <row r="1108">
          <cell r="A1108" t="str">
            <v>KQ2L11-35AS</v>
          </cell>
          <cell r="B1108">
            <v>0</v>
          </cell>
          <cell r="C1108" t="str">
            <v>D1003466</v>
          </cell>
          <cell r="D1108">
            <v>3604481</v>
          </cell>
          <cell r="E1108" t="str">
            <v>ELBOW,1/4 NPT M,3/8 OD F</v>
          </cell>
          <cell r="F1108">
            <v>5.2919999999999998</v>
          </cell>
        </row>
        <row r="1109">
          <cell r="A1109" t="str">
            <v>KQ2L12-00A</v>
          </cell>
          <cell r="B1109">
            <v>0</v>
          </cell>
          <cell r="C1109">
            <v>1305319</v>
          </cell>
          <cell r="D1109" t="str">
            <v>80.0001.1542</v>
          </cell>
          <cell r="E1109" t="str">
            <v>Pneumatic Fitting</v>
          </cell>
          <cell r="F1109">
            <v>8.0556000000000001</v>
          </cell>
        </row>
        <row r="1110">
          <cell r="A1110" t="str">
            <v>KQ2L12-02</v>
          </cell>
          <cell r="B1110">
            <v>0</v>
          </cell>
          <cell r="C1110" t="str">
            <v>D1003257</v>
          </cell>
          <cell r="D1110">
            <v>3603297</v>
          </cell>
          <cell r="E1110" t="str">
            <v>ELBOW,12MM TX1/4NPT M ONE TCH</v>
          </cell>
          <cell r="F1110">
            <v>6.4312499999999995</v>
          </cell>
        </row>
        <row r="1111">
          <cell r="A1111" t="str">
            <v>KQ2L12-02AS</v>
          </cell>
          <cell r="B1111" t="str">
            <v>Replaced by 4002069</v>
          </cell>
          <cell r="C1111" t="str">
            <v>4020116/  4002069</v>
          </cell>
          <cell r="D1111">
            <v>3604288</v>
          </cell>
          <cell r="E1111" t="str">
            <v>ELBOW,12MM MALE,1/4THREAD</v>
          </cell>
          <cell r="F1111">
            <v>6.4312499999999995</v>
          </cell>
        </row>
        <row r="1112">
          <cell r="A1112" t="str">
            <v>KQ2L12-03AS</v>
          </cell>
          <cell r="B1112">
            <v>0</v>
          </cell>
          <cell r="C1112">
            <v>1305158</v>
          </cell>
          <cell r="D1112">
            <v>3604314</v>
          </cell>
          <cell r="E1112" t="str">
            <v>ELBOW,3/8 R(PT) M,12MM F</v>
          </cell>
          <cell r="F1112">
            <v>7.9379999999999997</v>
          </cell>
        </row>
        <row r="1113">
          <cell r="A1113" t="str">
            <v>KQ2L12-04AS</v>
          </cell>
          <cell r="B1113">
            <v>0</v>
          </cell>
          <cell r="C1113">
            <v>1305192</v>
          </cell>
          <cell r="D1113">
            <v>3604620</v>
          </cell>
          <cell r="E1113" t="str">
            <v>ELBOW, MALE, 12MM-1/2 NPT</v>
          </cell>
          <cell r="F1113">
            <v>6.9854400000000005</v>
          </cell>
        </row>
        <row r="1114">
          <cell r="A1114" t="str">
            <v>KQ2L12-04S</v>
          </cell>
          <cell r="B1114">
            <v>0</v>
          </cell>
          <cell r="C1114" t="str">
            <v>D2004040</v>
          </cell>
          <cell r="D1114" t="str">
            <v>A0000015880</v>
          </cell>
          <cell r="E1114" t="str">
            <v>ELBOW, MALE, 12MM-1/2 NPT</v>
          </cell>
          <cell r="F1114">
            <v>6.9854400000000005</v>
          </cell>
        </row>
        <row r="1115">
          <cell r="A1115" t="str">
            <v>KQ2L12-U03A</v>
          </cell>
          <cell r="B1115">
            <v>0</v>
          </cell>
          <cell r="C1115" t="str">
            <v>D1002056</v>
          </cell>
          <cell r="D1115">
            <v>3604317</v>
          </cell>
          <cell r="E1115" t="str">
            <v>ELBOW, ONE TOUCH 12MM, 3/8UNI</v>
          </cell>
          <cell r="F1115">
            <v>6.7619999999999996</v>
          </cell>
        </row>
        <row r="1116">
          <cell r="A1116" t="str">
            <v>KQ2L16-03AS</v>
          </cell>
          <cell r="B1116">
            <v>0</v>
          </cell>
          <cell r="C1116">
            <v>91101720</v>
          </cell>
          <cell r="D1116">
            <v>0</v>
          </cell>
          <cell r="E1116">
            <v>0</v>
          </cell>
          <cell r="F1116">
            <v>12.303899999999999</v>
          </cell>
        </row>
        <row r="1117">
          <cell r="A1117" t="str">
            <v>KQ2L16-04S</v>
          </cell>
          <cell r="B1117">
            <v>0</v>
          </cell>
          <cell r="C1117">
            <v>1361014</v>
          </cell>
          <cell r="D1117">
            <v>0</v>
          </cell>
          <cell r="E1117">
            <v>0</v>
          </cell>
          <cell r="F1117">
            <v>12.5244</v>
          </cell>
        </row>
        <row r="1118">
          <cell r="A1118" t="str">
            <v>KQ2L23-00A</v>
          </cell>
          <cell r="B1118">
            <v>0</v>
          </cell>
          <cell r="C1118">
            <v>97001100</v>
          </cell>
          <cell r="D1118">
            <v>0</v>
          </cell>
          <cell r="E1118" t="str">
            <v>FITTING-ELBOW UNION DIA3.2 MM OD</v>
          </cell>
          <cell r="F1118">
            <v>4.0571999999999999</v>
          </cell>
        </row>
        <row r="1119">
          <cell r="A1119" t="str">
            <v>KQ2LE04-00A</v>
          </cell>
          <cell r="B1119">
            <v>0</v>
          </cell>
          <cell r="C1119">
            <v>4001183</v>
          </cell>
          <cell r="D1119">
            <v>0</v>
          </cell>
          <cell r="E1119" t="str">
            <v>BULKHEAD ELBOW-UNION 4-4</v>
          </cell>
          <cell r="F1119">
            <v>8.1222399999999997</v>
          </cell>
        </row>
        <row r="1120">
          <cell r="A1120" t="str">
            <v>KQ2LE06-00</v>
          </cell>
          <cell r="B1120" t="str">
            <v>KQ2LE06-00A</v>
          </cell>
          <cell r="C1120">
            <v>0</v>
          </cell>
          <cell r="D1120">
            <v>3603469</v>
          </cell>
          <cell r="E1120" t="str">
            <v>FITTING,BULKHEAD,6MM ELBOW</v>
          </cell>
          <cell r="F1120">
            <v>9.5397119999999997</v>
          </cell>
        </row>
        <row r="1121">
          <cell r="A1121" t="str">
            <v>KQ2LE08-00</v>
          </cell>
          <cell r="B1121" t="str">
            <v>KQ2LE08-00A</v>
          </cell>
          <cell r="C1121" t="str">
            <v>G1005519</v>
          </cell>
          <cell r="D1121" t="str">
            <v>3603470/ 80.0000.0520</v>
          </cell>
          <cell r="E1121" t="str">
            <v>FITTING,BULKHEAD,8MM ELBOW</v>
          </cell>
          <cell r="F1121">
            <v>9.75</v>
          </cell>
        </row>
        <row r="1122">
          <cell r="A1122" t="str">
            <v>KQ2LE08-00A</v>
          </cell>
          <cell r="B1122" t="str">
            <v>Replaced KQ2LE08-00</v>
          </cell>
          <cell r="C1122">
            <v>1361115</v>
          </cell>
          <cell r="D1122">
            <v>0</v>
          </cell>
          <cell r="E1122" t="str">
            <v>ELBOW 8/6 8/6</v>
          </cell>
          <cell r="F1122">
            <v>9.7509999999999994</v>
          </cell>
        </row>
        <row r="1123">
          <cell r="A1123" t="str">
            <v>KQ2LF04-01</v>
          </cell>
          <cell r="B1123">
            <v>0</v>
          </cell>
          <cell r="C1123" t="str">
            <v>G1003864</v>
          </cell>
          <cell r="D1123" t="str">
            <v>80.0000.1900</v>
          </cell>
          <cell r="E1123" t="str">
            <v>Pneumatic Fitting</v>
          </cell>
          <cell r="F1123">
            <v>4.6067840000000002</v>
          </cell>
        </row>
        <row r="1124">
          <cell r="A1124" t="str">
            <v>KQ2LF04-M5A</v>
          </cell>
          <cell r="B1124">
            <v>0</v>
          </cell>
          <cell r="C1124">
            <v>1361123</v>
          </cell>
          <cell r="D1124">
            <v>0</v>
          </cell>
          <cell r="E1124" t="str">
            <v>RACCORD COUDE M5F 4/2.5</v>
          </cell>
          <cell r="F1124">
            <v>5.6448000000000009</v>
          </cell>
        </row>
        <row r="1125">
          <cell r="A1125" t="str">
            <v>KQ2LF06-01A</v>
          </cell>
          <cell r="B1125">
            <v>0</v>
          </cell>
          <cell r="C1125">
            <v>1305237</v>
          </cell>
          <cell r="D1125">
            <v>0</v>
          </cell>
          <cell r="E1125" t="str">
            <v>ELBOW-UNION G1/8F 6/4</v>
          </cell>
          <cell r="F1125">
            <v>4.7628000000000004</v>
          </cell>
        </row>
        <row r="1126">
          <cell r="A1126" t="str">
            <v>KQ2LF06-02A</v>
          </cell>
          <cell r="B1126">
            <v>0</v>
          </cell>
          <cell r="C1126" t="str">
            <v>D1002088</v>
          </cell>
          <cell r="D1126">
            <v>3604369</v>
          </cell>
          <cell r="E1126" t="str">
            <v>ELBOW,FEMALE,1/4 RC F,6MM F</v>
          </cell>
          <cell r="F1126">
            <v>5.8310000000000004</v>
          </cell>
        </row>
        <row r="1127">
          <cell r="A1127" t="str">
            <v>KQ2LF08-01</v>
          </cell>
          <cell r="B1127" t="str">
            <v>KQ2LF08-01A</v>
          </cell>
          <cell r="C1127">
            <v>0</v>
          </cell>
          <cell r="D1127" t="str">
            <v>80.0000.7509/ 80.00000736</v>
          </cell>
          <cell r="E1127" t="str">
            <v>Pneumatic Fitting</v>
          </cell>
          <cell r="F1127">
            <v>5.5036800000000001</v>
          </cell>
        </row>
        <row r="1128">
          <cell r="A1128" t="str">
            <v>KQ2LF10-02</v>
          </cell>
          <cell r="B1128" t="str">
            <v>KQ2LF10-02A</v>
          </cell>
          <cell r="C1128">
            <v>0</v>
          </cell>
          <cell r="D1128">
            <v>3603604</v>
          </cell>
          <cell r="E1128" t="str">
            <v>UNION,FEM,10MMOD,1/4PT</v>
          </cell>
          <cell r="F1128">
            <v>6.39</v>
          </cell>
        </row>
        <row r="1129">
          <cell r="A1129" t="str">
            <v>KQ2LF10-02A</v>
          </cell>
          <cell r="B1129" t="str">
            <v>Replaced KQ2LF10-02</v>
          </cell>
          <cell r="C1129" t="str">
            <v>D1002581</v>
          </cell>
          <cell r="D1129" t="str">
            <v>3604408/ 80.0000.9564</v>
          </cell>
          <cell r="E1129" t="str">
            <v>ELBOW,1/4 R(PT) F,10MM FEM T</v>
          </cell>
          <cell r="F1129">
            <v>6.394499999999999</v>
          </cell>
        </row>
        <row r="1130">
          <cell r="A1130" t="str">
            <v>KQ2LF12-02</v>
          </cell>
          <cell r="B1130" t="str">
            <v>KQ2LF12-02A</v>
          </cell>
          <cell r="C1130">
            <v>0</v>
          </cell>
          <cell r="D1130" t="str">
            <v>80.0000.7510/ 80.0000.8701</v>
          </cell>
          <cell r="E1130" t="str">
            <v>Pneumatic Fitting</v>
          </cell>
          <cell r="F1130">
            <v>7.24</v>
          </cell>
        </row>
        <row r="1131">
          <cell r="A1131" t="str">
            <v>KQ2LF12-02A</v>
          </cell>
          <cell r="B1131" t="str">
            <v>Replaced KQ2LF12-02</v>
          </cell>
          <cell r="C1131" t="str">
            <v>D1001796</v>
          </cell>
          <cell r="D1131" t="str">
            <v>3604268/ 80.0000.0619</v>
          </cell>
          <cell r="E1131" t="str">
            <v>FITTING,ELBOW, 12MMODX1/4FPT</v>
          </cell>
          <cell r="F1131">
            <v>7.239749999999999</v>
          </cell>
        </row>
        <row r="1132">
          <cell r="A1132" t="str">
            <v>KQ2LU08-00</v>
          </cell>
          <cell r="B1132" t="str">
            <v>KQ2LU08-00A</v>
          </cell>
          <cell r="C1132">
            <v>0</v>
          </cell>
          <cell r="D1132" t="str">
            <v>80.0000.0496</v>
          </cell>
          <cell r="E1132" t="str">
            <v>Fitting Y</v>
          </cell>
          <cell r="F1132">
            <v>9.3358720000000002</v>
          </cell>
        </row>
        <row r="1133">
          <cell r="A1133" t="str">
            <v>KQ2N04-06</v>
          </cell>
          <cell r="B1133">
            <v>0</v>
          </cell>
          <cell r="C1133">
            <v>0</v>
          </cell>
          <cell r="D1133" t="str">
            <v>3603937/ 80.0000.1789</v>
          </cell>
          <cell r="E1133" t="str">
            <v>NIPPLE, REDUCER, 6MM TO 4MM</v>
          </cell>
          <cell r="F1133">
            <v>3.0575999999999999</v>
          </cell>
        </row>
        <row r="1134">
          <cell r="A1134" t="str">
            <v>KQ2N04-99</v>
          </cell>
          <cell r="B1134">
            <v>0</v>
          </cell>
          <cell r="C1134">
            <v>1360133</v>
          </cell>
          <cell r="D1134">
            <v>0</v>
          </cell>
          <cell r="E1134" t="str">
            <v>JONCTION-DOUBLE D=4MM</v>
          </cell>
          <cell r="F1134">
            <v>1.6339050000000002</v>
          </cell>
        </row>
        <row r="1135">
          <cell r="A1135" t="str">
            <v>KQ2N04-M5</v>
          </cell>
          <cell r="B1135">
            <v>0</v>
          </cell>
          <cell r="C1135">
            <v>4001788</v>
          </cell>
          <cell r="D1135">
            <v>3603665</v>
          </cell>
          <cell r="E1135" t="str">
            <v>FITTING,M5,PLUG-IN MALE,ADPTR</v>
          </cell>
          <cell r="F1135">
            <v>3.4</v>
          </cell>
        </row>
        <row r="1136">
          <cell r="A1136" t="str">
            <v>KQ2N06-99</v>
          </cell>
          <cell r="B1136">
            <v>0</v>
          </cell>
          <cell r="C1136">
            <v>4001012</v>
          </cell>
          <cell r="D1136">
            <v>3603927</v>
          </cell>
          <cell r="E1136" t="str">
            <v>FITTING,NIPPLE,6MM TO 6MM</v>
          </cell>
          <cell r="F1136">
            <v>1.6714880000000001</v>
          </cell>
        </row>
        <row r="1137">
          <cell r="A1137" t="str">
            <v>KQ2N08-10</v>
          </cell>
          <cell r="B1137">
            <v>0</v>
          </cell>
          <cell r="C1137">
            <v>0</v>
          </cell>
          <cell r="D1137" t="str">
            <v>80.0001.2111</v>
          </cell>
          <cell r="E1137" t="str">
            <v>Pneumatic Fitting</v>
          </cell>
          <cell r="F1137">
            <v>3.4652799999999999</v>
          </cell>
        </row>
        <row r="1138">
          <cell r="A1138" t="str">
            <v>KQ2N08-99</v>
          </cell>
          <cell r="B1138">
            <v>0</v>
          </cell>
          <cell r="C1138">
            <v>0</v>
          </cell>
          <cell r="D1138" t="str">
            <v>80.0000.6345</v>
          </cell>
          <cell r="E1138" t="str">
            <v>Kupplungsstⁿck</v>
          </cell>
          <cell r="F1138">
            <v>1.916096</v>
          </cell>
        </row>
        <row r="1139">
          <cell r="A1139" t="str">
            <v>KQ2N10-99</v>
          </cell>
          <cell r="B1139">
            <v>0</v>
          </cell>
          <cell r="C1139">
            <v>1360840</v>
          </cell>
          <cell r="D1139" t="str">
            <v>80.0001.2110</v>
          </cell>
          <cell r="E1139" t="str">
            <v>Pneumatic Fitting</v>
          </cell>
          <cell r="F1139">
            <v>2.0384000000000002</v>
          </cell>
        </row>
        <row r="1140">
          <cell r="A1140" t="str">
            <v>KQ2N12-99</v>
          </cell>
          <cell r="B1140">
            <v>0</v>
          </cell>
          <cell r="C1140">
            <v>0</v>
          </cell>
          <cell r="D1140" t="str">
            <v>80.0000.7508</v>
          </cell>
          <cell r="E1140" t="str">
            <v>Steckverbindung ╪12</v>
          </cell>
          <cell r="F1140">
            <v>2.7314560000000001</v>
          </cell>
        </row>
        <row r="1141">
          <cell r="A1141" t="str">
            <v>KQ2P-04</v>
          </cell>
          <cell r="B1141">
            <v>0</v>
          </cell>
          <cell r="C1141" t="str">
            <v>1317009/ G1003758</v>
          </cell>
          <cell r="D1141">
            <v>3604435</v>
          </cell>
          <cell r="E1141" t="str">
            <v>PLUG, 4MM TUBE</v>
          </cell>
          <cell r="F1141">
            <v>1.02</v>
          </cell>
        </row>
        <row r="1142">
          <cell r="A1142" t="str">
            <v>KQ2P-06</v>
          </cell>
          <cell r="B1142">
            <v>0</v>
          </cell>
          <cell r="C1142" t="str">
            <v>1317018/ G1003869</v>
          </cell>
          <cell r="D1142" t="str">
            <v>A0000017083/  80.0000.7690</v>
          </cell>
          <cell r="E1142" t="str">
            <v>Blind Plug Dia6mm</v>
          </cell>
          <cell r="F1142">
            <v>1.02</v>
          </cell>
        </row>
        <row r="1143">
          <cell r="A1143" t="str">
            <v>KQ2P-08</v>
          </cell>
          <cell r="B1143" t="str">
            <v>G1003757 Replaced by 1317038</v>
          </cell>
          <cell r="C1143" t="str">
            <v>1317038/ G1003757</v>
          </cell>
          <cell r="D1143" t="str">
            <v>38430484-000/  80.0000.0680</v>
          </cell>
          <cell r="E1143" t="str">
            <v>5/16" ONE TOUCH FITTING PLUG P</v>
          </cell>
          <cell r="F1143">
            <v>1.02</v>
          </cell>
        </row>
        <row r="1144">
          <cell r="A1144" t="str">
            <v>KQ2P-10</v>
          </cell>
          <cell r="B1144">
            <v>0</v>
          </cell>
          <cell r="C1144">
            <v>1317024</v>
          </cell>
          <cell r="D1144" t="str">
            <v>80.0001.2005</v>
          </cell>
          <cell r="E1144" t="str">
            <v>Blind Plug</v>
          </cell>
          <cell r="F1144">
            <v>1.5491839999999999</v>
          </cell>
        </row>
        <row r="1145">
          <cell r="A1145" t="str">
            <v>KQ2P-11</v>
          </cell>
          <cell r="B1145">
            <v>0</v>
          </cell>
          <cell r="C1145" t="str">
            <v>D1002523</v>
          </cell>
          <cell r="D1145" t="str">
            <v>A0000014902</v>
          </cell>
          <cell r="E1145" t="str">
            <v>PLUG,3/8</v>
          </cell>
          <cell r="F1145">
            <v>3.4545000000000003</v>
          </cell>
        </row>
        <row r="1146">
          <cell r="A1146" t="str">
            <v>KQ2P-12</v>
          </cell>
          <cell r="B1146">
            <v>0</v>
          </cell>
          <cell r="C1146">
            <v>1130671</v>
          </cell>
          <cell r="D1146" t="str">
            <v>A0000016260</v>
          </cell>
          <cell r="E1146" t="str">
            <v>PLUG, 12MM</v>
          </cell>
          <cell r="F1146">
            <v>1.9012</v>
          </cell>
        </row>
        <row r="1147">
          <cell r="A1147" t="str">
            <v>KQ2P-16</v>
          </cell>
          <cell r="B1147">
            <v>0</v>
          </cell>
          <cell r="C1147">
            <v>7025554</v>
          </cell>
          <cell r="D1147">
            <v>0</v>
          </cell>
          <cell r="E1147">
            <v>0</v>
          </cell>
          <cell r="F1147">
            <v>2.3372999999999999</v>
          </cell>
        </row>
        <row r="1148">
          <cell r="A1148" t="str">
            <v>KQ2P-23</v>
          </cell>
          <cell r="B1148" t="str">
            <v>KQ2P-23</v>
          </cell>
          <cell r="C1148">
            <v>0</v>
          </cell>
          <cell r="D1148" t="str">
            <v>80.0001.0124</v>
          </cell>
          <cell r="E1148" t="str">
            <v>Blind Plug Dia3.2mm</v>
          </cell>
          <cell r="F1148">
            <v>2.0791679999999997</v>
          </cell>
        </row>
        <row r="1149">
          <cell r="A1149" t="str">
            <v>KQ2R01-03A</v>
          </cell>
          <cell r="B1149">
            <v>0</v>
          </cell>
          <cell r="C1149" t="str">
            <v>D1002097</v>
          </cell>
          <cell r="D1149">
            <v>3604363</v>
          </cell>
          <cell r="E1149" t="str">
            <v>PLUG IN REDUCER 5/32" TO 1/8</v>
          </cell>
          <cell r="F1149">
            <v>3.6382500000000002</v>
          </cell>
        </row>
        <row r="1150">
          <cell r="A1150" t="str">
            <v>KQ2R02-04A</v>
          </cell>
          <cell r="B1150">
            <v>0</v>
          </cell>
          <cell r="C1150">
            <v>1360702</v>
          </cell>
          <cell r="D1150">
            <v>0</v>
          </cell>
          <cell r="E1150" t="str">
            <v>FITTING-REDUCING-RIGHT-PLUGGABLE</v>
          </cell>
          <cell r="F1150">
            <v>2.5</v>
          </cell>
        </row>
        <row r="1151">
          <cell r="A1151" t="str">
            <v>KQ2R04-06</v>
          </cell>
          <cell r="B1151" t="str">
            <v>KQ2R04-06A</v>
          </cell>
          <cell r="C1151" t="str">
            <v>G1003781</v>
          </cell>
          <cell r="D1151" t="str">
            <v>80.0000.7822</v>
          </cell>
          <cell r="E1151" t="str">
            <v>Reduction 6mm to 4mm</v>
          </cell>
          <cell r="F1151">
            <v>2.68</v>
          </cell>
        </row>
        <row r="1152">
          <cell r="A1152" t="str">
            <v>KQ2R04-06A</v>
          </cell>
          <cell r="B1152">
            <v>0</v>
          </cell>
          <cell r="C1152">
            <v>1305132</v>
          </cell>
          <cell r="D1152" t="str">
            <v>A0000016214</v>
          </cell>
          <cell r="E1152" t="str">
            <v>REDUCER,PLUGIN,6MM M,4MM F</v>
          </cell>
          <cell r="F1152">
            <v>2.68</v>
          </cell>
        </row>
        <row r="1153">
          <cell r="A1153" t="str">
            <v>KQ2R04-08A</v>
          </cell>
          <cell r="B1153">
            <v>0</v>
          </cell>
          <cell r="C1153" t="str">
            <v>D1002061/ D1000975</v>
          </cell>
          <cell r="D1153">
            <v>3604324</v>
          </cell>
          <cell r="E1153" t="str">
            <v>REDUCER,ONE TOUCH 8MM, 4MM MF</v>
          </cell>
          <cell r="F1153">
            <v>3.8587500000000001</v>
          </cell>
        </row>
        <row r="1154">
          <cell r="A1154" t="str">
            <v>KQ2R04-10</v>
          </cell>
          <cell r="B1154" t="str">
            <v>KQ2R04-10A</v>
          </cell>
          <cell r="C1154">
            <v>0</v>
          </cell>
          <cell r="D1154" t="str">
            <v>80.0001.1128</v>
          </cell>
          <cell r="E1154" t="str">
            <v>Pneumatic Fitting</v>
          </cell>
          <cell r="F1154">
            <v>3.3429760000000002</v>
          </cell>
        </row>
        <row r="1155">
          <cell r="A1155" t="str">
            <v>KQ2R06-04</v>
          </cell>
          <cell r="B1155" t="str">
            <v>KQ2R06-04A</v>
          </cell>
          <cell r="C1155">
            <v>0</v>
          </cell>
          <cell r="D1155" t="str">
            <v>80.0001.0334</v>
          </cell>
          <cell r="E1155" t="str">
            <v>Reduction</v>
          </cell>
          <cell r="F1155">
            <v>3.1391360000000001</v>
          </cell>
        </row>
        <row r="1156">
          <cell r="A1156" t="str">
            <v>KQ2R06-04A</v>
          </cell>
          <cell r="B1156" t="str">
            <v>Replaced KQ2R06-04</v>
          </cell>
          <cell r="C1156">
            <v>1305310</v>
          </cell>
          <cell r="D1156">
            <v>0</v>
          </cell>
          <cell r="E1156" t="str">
            <v>FITTING-REDUCING 4M 6/4F</v>
          </cell>
          <cell r="F1156">
            <v>3.1391360000000001</v>
          </cell>
        </row>
        <row r="1157">
          <cell r="A1157" t="str">
            <v>KQ2R06-08</v>
          </cell>
          <cell r="B1157">
            <v>0</v>
          </cell>
          <cell r="C1157" t="str">
            <v>G1003857</v>
          </cell>
          <cell r="D1157" t="str">
            <v>A0000017085</v>
          </cell>
          <cell r="E1157" t="str">
            <v>REDUCER 8MM TO 6MM</v>
          </cell>
          <cell r="F1157">
            <v>3.0983679999999998</v>
          </cell>
        </row>
        <row r="1158">
          <cell r="A1158" t="str">
            <v>KQ2R06-08A</v>
          </cell>
          <cell r="B1158">
            <v>0</v>
          </cell>
          <cell r="C1158" t="str">
            <v>1305167/ D1003473</v>
          </cell>
          <cell r="D1158" t="str">
            <v>A0000015854</v>
          </cell>
          <cell r="E1158" t="str">
            <v>REDUCER, 6MM TO 8MM, STRAIGHT</v>
          </cell>
          <cell r="F1158">
            <v>3.15</v>
          </cell>
        </row>
        <row r="1159">
          <cell r="A1159" t="str">
            <v>KQ2R06-10A</v>
          </cell>
          <cell r="B1159">
            <v>0</v>
          </cell>
          <cell r="C1159" t="str">
            <v>1305160/ D1003465</v>
          </cell>
          <cell r="D1159">
            <v>3604484</v>
          </cell>
          <cell r="E1159" t="str">
            <v>REDUCER,PLUGIN,10MM M,6MM F</v>
          </cell>
          <cell r="F1159">
            <v>3.6713249999999999</v>
          </cell>
        </row>
        <row r="1160">
          <cell r="A1160" t="str">
            <v>KQ2R06-12A</v>
          </cell>
          <cell r="B1160">
            <v>0</v>
          </cell>
          <cell r="C1160">
            <v>1360737</v>
          </cell>
          <cell r="D1160">
            <v>3604275</v>
          </cell>
          <cell r="E1160" t="str">
            <v>REDUCER,STRAIGHT,6MM TO 12MM</v>
          </cell>
          <cell r="F1160">
            <v>4.6481399999999997</v>
          </cell>
        </row>
        <row r="1161">
          <cell r="A1161" t="str">
            <v>KQ2R07-09</v>
          </cell>
          <cell r="B1161">
            <v>0</v>
          </cell>
          <cell r="C1161" t="str">
            <v>D1000589</v>
          </cell>
          <cell r="D1161" t="str">
            <v>A0000016446</v>
          </cell>
          <cell r="E1161" t="str">
            <v>PLUG-IN REDUCER,5/16-1/4</v>
          </cell>
          <cell r="F1161">
            <v>5.4390000000000001</v>
          </cell>
        </row>
        <row r="1162">
          <cell r="A1162" t="str">
            <v>KQ2R08-10</v>
          </cell>
          <cell r="B1162" t="str">
            <v>KQ2R08-10A</v>
          </cell>
          <cell r="C1162">
            <v>0</v>
          </cell>
          <cell r="D1162" t="str">
            <v>A0000016084/ 80.0001.2008</v>
          </cell>
          <cell r="E1162" t="str">
            <v>REDUCER,STRAIGHT,8MM TO 10MM</v>
          </cell>
          <cell r="F1162">
            <v>3.6847999999999996</v>
          </cell>
        </row>
        <row r="1163">
          <cell r="A1163" t="str">
            <v>KQ2R08-10A</v>
          </cell>
          <cell r="B1163" t="str">
            <v>Replaced KQ2R08-10</v>
          </cell>
          <cell r="C1163">
            <v>1260456</v>
          </cell>
          <cell r="D1163" t="str">
            <v>80.0001.2012</v>
          </cell>
          <cell r="E1163" t="str">
            <v>Reduction</v>
          </cell>
          <cell r="F1163">
            <v>3.6847999999999996</v>
          </cell>
        </row>
        <row r="1164">
          <cell r="A1164" t="str">
            <v>KQ2R08-12</v>
          </cell>
          <cell r="B1164" t="str">
            <v>KQ2R08-12A</v>
          </cell>
          <cell r="C1164" t="str">
            <v>D1003136</v>
          </cell>
          <cell r="D1164" t="str">
            <v>A0000016217</v>
          </cell>
          <cell r="E1164" t="str">
            <v>REDUCER,8MM TO 12MM,STRAIGHT</v>
          </cell>
          <cell r="F1164">
            <v>3.9544959999999998</v>
          </cell>
        </row>
        <row r="1165">
          <cell r="A1165" t="str">
            <v>KQ2R08-12A</v>
          </cell>
          <cell r="B1165">
            <v>0</v>
          </cell>
          <cell r="C1165">
            <v>91007050</v>
          </cell>
          <cell r="D1165" t="str">
            <v>80.0001.1453</v>
          </cell>
          <cell r="E1165" t="str">
            <v>Reduction</v>
          </cell>
          <cell r="F1165">
            <v>3.9544959999999998</v>
          </cell>
        </row>
        <row r="1166">
          <cell r="A1166" t="str">
            <v>KQ2R10-12</v>
          </cell>
          <cell r="B1166">
            <v>0</v>
          </cell>
          <cell r="C1166" t="str">
            <v>D1000979</v>
          </cell>
          <cell r="D1166" t="str">
            <v>A0000016218</v>
          </cell>
          <cell r="E1166" t="str">
            <v>REDUCER,STRAIGHT,10MM TO 12MM</v>
          </cell>
          <cell r="F1166">
            <v>5.0715000000000003</v>
          </cell>
        </row>
        <row r="1167">
          <cell r="A1167" t="str">
            <v>KQ2R23-04</v>
          </cell>
          <cell r="B1167" t="str">
            <v>KQ2R23-04A</v>
          </cell>
          <cell r="C1167">
            <v>0</v>
          </cell>
          <cell r="D1167">
            <v>0</v>
          </cell>
          <cell r="E1167">
            <v>0</v>
          </cell>
          <cell r="F1167">
            <v>3.2206720000000004</v>
          </cell>
        </row>
        <row r="1168">
          <cell r="A1168" t="str">
            <v>KQ2S02-M3G</v>
          </cell>
          <cell r="B1168">
            <v>0</v>
          </cell>
          <cell r="C1168">
            <v>4000931</v>
          </cell>
          <cell r="D1168">
            <v>0</v>
          </cell>
          <cell r="E1168" t="str">
            <v>FITTING-STRAIGHT M3</v>
          </cell>
          <cell r="F1168">
            <v>4.7040000000000006</v>
          </cell>
        </row>
        <row r="1169">
          <cell r="A1169" t="str">
            <v>KQ2S04-01NS</v>
          </cell>
          <cell r="B1169">
            <v>0</v>
          </cell>
          <cell r="C1169">
            <v>1305165</v>
          </cell>
          <cell r="D1169">
            <v>0</v>
          </cell>
          <cell r="E1169" t="str">
            <v>FITTING-STRAIGHT 1/8M 4/2.5</v>
          </cell>
          <cell r="F1169">
            <v>3.6259999999999999</v>
          </cell>
        </row>
        <row r="1170">
          <cell r="A1170" t="str">
            <v>KQ2S04-M3G</v>
          </cell>
          <cell r="B1170">
            <v>0</v>
          </cell>
          <cell r="C1170">
            <v>1305184</v>
          </cell>
          <cell r="D1170">
            <v>0</v>
          </cell>
          <cell r="E1170" t="str">
            <v>FITTING-STRAIGHT M3 4/2.5</v>
          </cell>
          <cell r="F1170">
            <v>4.6569600000000007</v>
          </cell>
        </row>
        <row r="1171">
          <cell r="A1171" t="str">
            <v>KQ2S04-M5A</v>
          </cell>
          <cell r="B1171">
            <v>0</v>
          </cell>
          <cell r="C1171">
            <v>1360319</v>
          </cell>
          <cell r="D1171">
            <v>0</v>
          </cell>
          <cell r="E1171" t="str">
            <v>FITTING-QUICK D=4</v>
          </cell>
          <cell r="F1171">
            <v>3.8808000000000002</v>
          </cell>
        </row>
        <row r="1172">
          <cell r="A1172" t="str">
            <v>KQ2S04-M5N</v>
          </cell>
          <cell r="B1172">
            <v>0</v>
          </cell>
          <cell r="C1172">
            <v>1305157</v>
          </cell>
          <cell r="D1172">
            <v>1120204</v>
          </cell>
          <cell r="E1172" t="str">
            <v>MALE CNCTR,HEX SKT HD,4MM TUBE</v>
          </cell>
          <cell r="F1172">
            <v>3.0085999999999999</v>
          </cell>
        </row>
        <row r="1173">
          <cell r="A1173" t="str">
            <v>KQ2S04-M6A</v>
          </cell>
          <cell r="B1173">
            <v>0</v>
          </cell>
          <cell r="C1173">
            <v>4000889</v>
          </cell>
          <cell r="D1173">
            <v>0</v>
          </cell>
          <cell r="E1173" t="str">
            <v>FITTING-QUICK D=4</v>
          </cell>
          <cell r="F1173">
            <v>3.8808000000000002</v>
          </cell>
        </row>
        <row r="1174">
          <cell r="A1174" t="str">
            <v>KQ2S06-01NS</v>
          </cell>
          <cell r="B1174">
            <v>0</v>
          </cell>
          <cell r="C1174">
            <v>1305138</v>
          </cell>
          <cell r="D1174">
            <v>0</v>
          </cell>
          <cell r="E1174" t="str">
            <v>FITTING-STRAIGHT 1/8M 6/4</v>
          </cell>
          <cell r="F1174">
            <v>2.5724999999999998</v>
          </cell>
        </row>
        <row r="1175">
          <cell r="A1175" t="str">
            <v>KQ2S06-01S</v>
          </cell>
          <cell r="B1175">
            <v>0</v>
          </cell>
          <cell r="C1175" t="str">
            <v>D1002304</v>
          </cell>
          <cell r="D1175">
            <v>3603606</v>
          </cell>
          <cell r="E1175" t="str">
            <v>FITTING,STR,1/8 NPT,6MM TUBE</v>
          </cell>
          <cell r="F1175">
            <v>2.8129919999999999</v>
          </cell>
        </row>
        <row r="1176">
          <cell r="A1176" t="str">
            <v>KQ2S06-01SA</v>
          </cell>
          <cell r="B1176" t="str">
            <v>KQ2S06-01AS</v>
          </cell>
          <cell r="C1176">
            <v>1305129</v>
          </cell>
          <cell r="D1176">
            <v>0</v>
          </cell>
          <cell r="E1176" t="str">
            <v>FITTING-STRAIGHT G1/8M 6/4</v>
          </cell>
          <cell r="F1176">
            <v>3.5868000000000002</v>
          </cell>
        </row>
        <row r="1177">
          <cell r="A1177" t="str">
            <v>KQ2S06-M5A</v>
          </cell>
          <cell r="B1177">
            <v>0</v>
          </cell>
          <cell r="C1177">
            <v>1360320</v>
          </cell>
          <cell r="D1177">
            <v>0</v>
          </cell>
          <cell r="E1177" t="str">
            <v>CONTACT-SAFETY</v>
          </cell>
          <cell r="F1177">
            <v>3.9248999999999996</v>
          </cell>
        </row>
        <row r="1178">
          <cell r="A1178" t="str">
            <v>KQ2S06-M5N</v>
          </cell>
          <cell r="B1178">
            <v>0</v>
          </cell>
          <cell r="C1178">
            <v>1305139</v>
          </cell>
          <cell r="D1178">
            <v>0</v>
          </cell>
          <cell r="E1178" t="str">
            <v>FITTING-STRAIGHT M5 6/4</v>
          </cell>
          <cell r="F1178">
            <v>2.4402000000000004</v>
          </cell>
        </row>
        <row r="1179">
          <cell r="A1179" t="str">
            <v>KQ2S08-01AS</v>
          </cell>
          <cell r="B1179">
            <v>0</v>
          </cell>
          <cell r="C1179">
            <v>1305166</v>
          </cell>
          <cell r="D1179">
            <v>0</v>
          </cell>
          <cell r="E1179" t="str">
            <v>FITTING-STRAIGHT 1/8M 8/6</v>
          </cell>
          <cell r="F1179">
            <v>4.2649600000000003</v>
          </cell>
        </row>
        <row r="1180">
          <cell r="A1180" t="str">
            <v>KQ2S08-01S</v>
          </cell>
          <cell r="B1180">
            <v>0</v>
          </cell>
          <cell r="C1180" t="str">
            <v>D1002928</v>
          </cell>
          <cell r="D1180">
            <v>2001770</v>
          </cell>
          <cell r="E1180" t="str">
            <v>CONNECTOR,MALE,8MM,1/8"PT</v>
          </cell>
          <cell r="F1180">
            <v>4.26</v>
          </cell>
        </row>
        <row r="1181">
          <cell r="A1181" t="str">
            <v>KQ2S10-01AS</v>
          </cell>
          <cell r="B1181">
            <v>0</v>
          </cell>
          <cell r="C1181">
            <v>1360659</v>
          </cell>
          <cell r="D1181" t="str">
            <v>80.0001.1548</v>
          </cell>
          <cell r="E1181" t="str">
            <v>Pneumatic Fitting</v>
          </cell>
          <cell r="F1181">
            <v>3.7631999999999999</v>
          </cell>
        </row>
        <row r="1182">
          <cell r="A1182" t="str">
            <v>KQ2S10-02S 1/4</v>
          </cell>
          <cell r="B1182" t="str">
            <v>KQ2S10-02AS</v>
          </cell>
          <cell r="C1182">
            <v>1305219</v>
          </cell>
          <cell r="D1182">
            <v>0</v>
          </cell>
          <cell r="E1182" t="str">
            <v>FITTING-STRAIGHT G1/4M 10/8</v>
          </cell>
          <cell r="F1182">
            <v>5.5173999999999994</v>
          </cell>
        </row>
        <row r="1183">
          <cell r="A1183" t="str">
            <v>KQ2S12-02S</v>
          </cell>
          <cell r="B1183" t="str">
            <v>KQ2S12-02AS</v>
          </cell>
          <cell r="C1183">
            <v>0</v>
          </cell>
          <cell r="D1183" t="str">
            <v>80.0000.8702</v>
          </cell>
          <cell r="E1183" t="str">
            <v>Pneumatic Fitting</v>
          </cell>
          <cell r="F1183">
            <v>5.9521280000000001</v>
          </cell>
        </row>
        <row r="1184">
          <cell r="A1184" t="str">
            <v>KQ2S12-03AS</v>
          </cell>
          <cell r="B1184">
            <v>0</v>
          </cell>
          <cell r="C1184">
            <v>1305159</v>
          </cell>
          <cell r="D1184">
            <v>0</v>
          </cell>
          <cell r="E1184" t="str">
            <v>FITTING-STRAIGHT G3/8M 12/10</v>
          </cell>
          <cell r="F1184">
            <v>7.1441999999999997</v>
          </cell>
        </row>
        <row r="1185">
          <cell r="A1185" t="str">
            <v>KQ2S12-04S</v>
          </cell>
          <cell r="B1185">
            <v>0</v>
          </cell>
          <cell r="C1185">
            <v>1305601</v>
          </cell>
          <cell r="D1185">
            <v>0</v>
          </cell>
          <cell r="E1185" t="str">
            <v>CONNECTR,STRT. MALE,12MM1/2NPT</v>
          </cell>
          <cell r="F1185">
            <v>7.8497999999999992</v>
          </cell>
        </row>
        <row r="1186">
          <cell r="A1186" t="str">
            <v>KQ2S23-M5N</v>
          </cell>
          <cell r="B1186">
            <v>0</v>
          </cell>
          <cell r="C1186">
            <v>1361144</v>
          </cell>
          <cell r="D1186">
            <v>0</v>
          </cell>
          <cell r="E1186" t="str">
            <v>FITTING-STRAIGHT M5 3.2/2</v>
          </cell>
          <cell r="F1186">
            <v>3.2633999999999999</v>
          </cell>
        </row>
        <row r="1187">
          <cell r="A1187" t="str">
            <v>KQ2T03-34NS</v>
          </cell>
          <cell r="B1187">
            <v>0</v>
          </cell>
          <cell r="C1187" t="str">
            <v>D1001892</v>
          </cell>
          <cell r="D1187" t="str">
            <v> 655-611</v>
          </cell>
          <cell r="E1187" t="str">
            <v>TEE 5/32 OD 5/32 OD  1/8 MNPT</v>
          </cell>
          <cell r="F1187">
            <v>5.8065000000000007</v>
          </cell>
        </row>
        <row r="1188">
          <cell r="A1188" t="str">
            <v>KQ2T04-00</v>
          </cell>
          <cell r="B1188" t="str">
            <v>KQ2T04-00A</v>
          </cell>
          <cell r="C1188" t="str">
            <v>D1003262</v>
          </cell>
          <cell r="D1188" t="str">
            <v>A0000016219</v>
          </cell>
          <cell r="E1188" t="str">
            <v>TEE,UNION,4MM</v>
          </cell>
          <cell r="F1188">
            <v>5.2184999999999988</v>
          </cell>
        </row>
        <row r="1189">
          <cell r="A1189" t="str">
            <v>KQ2T04-00A</v>
          </cell>
          <cell r="B1189" t="str">
            <v>Replaced KQ2T04-00</v>
          </cell>
          <cell r="C1189">
            <v>4000570</v>
          </cell>
          <cell r="D1189">
            <v>3604622</v>
          </cell>
          <cell r="E1189" t="str">
            <v>TEE,UNION,4MM</v>
          </cell>
          <cell r="F1189">
            <v>5.2184999999999988</v>
          </cell>
        </row>
        <row r="1190">
          <cell r="A1190" t="str">
            <v>KQ2T06-00</v>
          </cell>
          <cell r="B1190" t="str">
            <v>KQ2T06-00A</v>
          </cell>
          <cell r="C1190">
            <v>0</v>
          </cell>
          <cell r="D1190" t="str">
            <v>80.0000.2288/ A0000016220</v>
          </cell>
          <cell r="E1190" t="str">
            <v>TEE,UNION,6MM</v>
          </cell>
          <cell r="F1190">
            <v>4.4000000000000004</v>
          </cell>
        </row>
        <row r="1191">
          <cell r="A1191" t="str">
            <v>KQ2T06-00A</v>
          </cell>
          <cell r="B1191" t="str">
            <v>Replaced KQ2T06-00</v>
          </cell>
          <cell r="C1191">
            <v>1305176</v>
          </cell>
          <cell r="D1191">
            <v>3604209</v>
          </cell>
          <cell r="E1191" t="str">
            <v>TEE, UNION, 6MM</v>
          </cell>
          <cell r="F1191">
            <v>4.4000000000000004</v>
          </cell>
        </row>
        <row r="1192">
          <cell r="A1192" t="str">
            <v>KQ2T06-01AS</v>
          </cell>
          <cell r="B1192">
            <v>0</v>
          </cell>
          <cell r="C1192">
            <v>4020151</v>
          </cell>
          <cell r="D1192">
            <v>0</v>
          </cell>
          <cell r="E1192" t="str">
            <v>FITTING UNION T</v>
          </cell>
          <cell r="F1192">
            <v>7.1883000000000008</v>
          </cell>
        </row>
        <row r="1193">
          <cell r="A1193" t="str">
            <v>KQ2T06-08A</v>
          </cell>
          <cell r="B1193">
            <v>0</v>
          </cell>
          <cell r="C1193">
            <v>1304100</v>
          </cell>
          <cell r="D1193">
            <v>0</v>
          </cell>
          <cell r="E1193" t="str">
            <v>FITTING T06-08-06</v>
          </cell>
          <cell r="F1193">
            <v>6.879599999999999</v>
          </cell>
        </row>
        <row r="1194">
          <cell r="A1194" t="str">
            <v>KQ2T06-M5</v>
          </cell>
          <cell r="B1194">
            <v>0</v>
          </cell>
          <cell r="C1194" t="str">
            <v>D1003234</v>
          </cell>
          <cell r="D1194">
            <v>3603939</v>
          </cell>
          <cell r="E1194" t="str">
            <v>TEE,6 MM TUBE, M5</v>
          </cell>
          <cell r="F1194">
            <v>9.2119999999999997</v>
          </cell>
        </row>
        <row r="1195">
          <cell r="A1195" t="str">
            <v>KQ2T08-00A</v>
          </cell>
          <cell r="B1195" t="str">
            <v>Replaced KQ2T08-00</v>
          </cell>
          <cell r="C1195">
            <v>1305173</v>
          </cell>
          <cell r="D1195" t="str">
            <v>3604644/ A0000016221/ 80.0000.0410</v>
          </cell>
          <cell r="E1195" t="str">
            <v>TEE,UNION,3X 8MM F</v>
          </cell>
          <cell r="F1195">
            <v>4.6966499999999991</v>
          </cell>
        </row>
        <row r="1196">
          <cell r="A1196" t="str">
            <v>KQ2T08-01AS</v>
          </cell>
          <cell r="B1196" t="str">
            <v>Replaced KQ2T08-01S</v>
          </cell>
          <cell r="C1196">
            <v>1305122</v>
          </cell>
          <cell r="D1196" t="str">
            <v>80.0000.1762</v>
          </cell>
          <cell r="E1196" t="str">
            <v>Pneumatic Fitting</v>
          </cell>
          <cell r="F1196">
            <v>7.2030000000000003</v>
          </cell>
        </row>
        <row r="1197">
          <cell r="A1197" t="str">
            <v>KQ2T08-02AS</v>
          </cell>
          <cell r="B1197">
            <v>0</v>
          </cell>
          <cell r="C1197">
            <v>1305265</v>
          </cell>
          <cell r="D1197">
            <v>0</v>
          </cell>
          <cell r="E1197" t="str">
            <v>FITTING T G1/4M-8-8</v>
          </cell>
          <cell r="F1197">
            <v>8.3790000000000013</v>
          </cell>
        </row>
        <row r="1198">
          <cell r="A1198" t="str">
            <v>KQ2T08-03AS</v>
          </cell>
          <cell r="B1198">
            <v>0</v>
          </cell>
          <cell r="C1198">
            <v>1305175</v>
          </cell>
          <cell r="D1198">
            <v>0</v>
          </cell>
          <cell r="E1198" t="str">
            <v>FITTING T G3/8M-8-8</v>
          </cell>
          <cell r="F1198">
            <v>8.9963999999999995</v>
          </cell>
        </row>
        <row r="1199">
          <cell r="A1199" t="str">
            <v>KQ2T08-06</v>
          </cell>
          <cell r="B1199" t="str">
            <v>KQ2T08-06A</v>
          </cell>
          <cell r="C1199">
            <v>4001714</v>
          </cell>
          <cell r="D1199">
            <v>0</v>
          </cell>
          <cell r="E1199" t="str">
            <v>FITTING T 8/6-6/4-8/6</v>
          </cell>
          <cell r="F1199">
            <v>5.8298240000000003</v>
          </cell>
        </row>
        <row r="1200">
          <cell r="A1200" t="str">
            <v>KQ2T08-06A</v>
          </cell>
          <cell r="B1200" t="str">
            <v>Replaced KQ2T08-06</v>
          </cell>
          <cell r="C1200" t="str">
            <v>G1005555</v>
          </cell>
          <cell r="D1200" t="str">
            <v>80.0000.0747</v>
          </cell>
          <cell r="E1200" t="str">
            <v>Pneumatic Fitting</v>
          </cell>
          <cell r="F1200">
            <v>5.83</v>
          </cell>
        </row>
        <row r="1201">
          <cell r="A1201" t="str">
            <v>KQ2T08-10A</v>
          </cell>
          <cell r="B1201">
            <v>0</v>
          </cell>
          <cell r="C1201" t="str">
            <v>1304099/ 4001235</v>
          </cell>
          <cell r="D1201">
            <v>0</v>
          </cell>
          <cell r="E1201" t="str">
            <v>FITTING T 8/6-10/8-8/6</v>
          </cell>
          <cell r="F1201">
            <v>5.9461499999999994</v>
          </cell>
        </row>
        <row r="1202">
          <cell r="A1202" t="str">
            <v>KQ2T10-00</v>
          </cell>
          <cell r="B1202" t="str">
            <v>KQ2T10-00A</v>
          </cell>
          <cell r="C1202">
            <v>0</v>
          </cell>
          <cell r="D1202">
            <v>0</v>
          </cell>
          <cell r="E1202">
            <v>0</v>
          </cell>
          <cell r="F1202">
            <v>6.2720000000000002</v>
          </cell>
        </row>
        <row r="1203">
          <cell r="A1203" t="str">
            <v>KQ2T10-00A</v>
          </cell>
          <cell r="B1203" t="str">
            <v>Replaced KQ2T10-00</v>
          </cell>
          <cell r="C1203" t="str">
            <v>1305150/ D1002583</v>
          </cell>
          <cell r="D1203" t="str">
            <v>3604410/ 80.0001.1126</v>
          </cell>
          <cell r="E1203" t="str">
            <v>TEE,UNION,10MM FEM T</v>
          </cell>
          <cell r="F1203">
            <v>6.2720000000000002</v>
          </cell>
        </row>
        <row r="1204">
          <cell r="A1204" t="str">
            <v>KQ2T10-01AS</v>
          </cell>
          <cell r="B1204">
            <v>0</v>
          </cell>
          <cell r="C1204">
            <v>1135624</v>
          </cell>
          <cell r="D1204">
            <v>0</v>
          </cell>
          <cell r="E1204" t="str">
            <v>FITTING T G1/8M-10-10</v>
          </cell>
          <cell r="F1204">
            <v>9.4079999999999995</v>
          </cell>
        </row>
        <row r="1205">
          <cell r="A1205" t="str">
            <v>KQ2T10-01S</v>
          </cell>
          <cell r="B1205" t="str">
            <v>KQ2T10-01AS</v>
          </cell>
          <cell r="C1205">
            <v>0</v>
          </cell>
          <cell r="D1205">
            <v>0</v>
          </cell>
          <cell r="E1205">
            <v>0</v>
          </cell>
          <cell r="F1205">
            <v>9.4079999999999995</v>
          </cell>
        </row>
        <row r="1206">
          <cell r="A1206" t="str">
            <v>KQ2T10-03AS</v>
          </cell>
          <cell r="B1206">
            <v>0</v>
          </cell>
          <cell r="C1206">
            <v>1305178</v>
          </cell>
          <cell r="D1206">
            <v>0</v>
          </cell>
          <cell r="E1206" t="str">
            <v>FITTING T G3/8M-10-10</v>
          </cell>
          <cell r="F1206">
            <v>10.848599999999999</v>
          </cell>
        </row>
        <row r="1207">
          <cell r="A1207" t="str">
            <v>KQ2T10-04S</v>
          </cell>
          <cell r="B1207">
            <v>0</v>
          </cell>
          <cell r="C1207">
            <v>1305179</v>
          </cell>
          <cell r="D1207">
            <v>0</v>
          </cell>
          <cell r="E1207">
            <v>0</v>
          </cell>
          <cell r="F1207">
            <v>11.730600000000001</v>
          </cell>
        </row>
        <row r="1208">
          <cell r="A1208" t="str">
            <v>KQ2T10-08</v>
          </cell>
          <cell r="B1208">
            <v>0</v>
          </cell>
          <cell r="C1208" t="str">
            <v>D1000973</v>
          </cell>
          <cell r="D1208">
            <v>3603531</v>
          </cell>
          <cell r="E1208" t="str">
            <v>TEE,1TOUCH 10MM THRU X8MM</v>
          </cell>
          <cell r="F1208">
            <v>6.8897919999999999</v>
          </cell>
        </row>
        <row r="1209">
          <cell r="A1209" t="str">
            <v>KQ2T10-08A</v>
          </cell>
          <cell r="B1209">
            <v>0</v>
          </cell>
          <cell r="C1209" t="str">
            <v>D1002060</v>
          </cell>
          <cell r="D1209">
            <v>3604325</v>
          </cell>
          <cell r="E1209" t="str">
            <v>TEE, ONE TOUCH 10MM, 8MM</v>
          </cell>
          <cell r="F1209">
            <v>6.9090000000000007</v>
          </cell>
        </row>
        <row r="1210">
          <cell r="A1210" t="str">
            <v>KQ2T10-12A</v>
          </cell>
          <cell r="B1210">
            <v>0</v>
          </cell>
          <cell r="C1210" t="str">
            <v>D1003182</v>
          </cell>
          <cell r="D1210">
            <v>3604455</v>
          </cell>
          <cell r="E1210" t="str">
            <v>TEE,REDUCER,12MM F,2X 10MM F</v>
          </cell>
          <cell r="F1210">
            <v>7.4602500000000003</v>
          </cell>
        </row>
        <row r="1211">
          <cell r="A1211" t="str">
            <v>KQ2T10-G02A</v>
          </cell>
          <cell r="B1211">
            <v>0</v>
          </cell>
          <cell r="C1211">
            <v>1585950</v>
          </cell>
          <cell r="D1211">
            <v>0</v>
          </cell>
          <cell r="E1211">
            <v>0</v>
          </cell>
          <cell r="F1211">
            <v>8.6362500000000004</v>
          </cell>
        </row>
        <row r="1212">
          <cell r="A1212" t="str">
            <v>KQ2T12-00</v>
          </cell>
          <cell r="B1212">
            <v>0</v>
          </cell>
          <cell r="C1212" t="str">
            <v>D1002169</v>
          </cell>
          <cell r="D1212" t="str">
            <v>A0000016223</v>
          </cell>
          <cell r="E1212" t="str">
            <v>TEE,UNION,12MM</v>
          </cell>
          <cell r="F1212">
            <v>10.151232000000002</v>
          </cell>
        </row>
        <row r="1213">
          <cell r="A1213" t="str">
            <v>KQ2T12-00A</v>
          </cell>
          <cell r="B1213">
            <v>0</v>
          </cell>
          <cell r="C1213">
            <v>97000830</v>
          </cell>
          <cell r="D1213">
            <v>3604623</v>
          </cell>
          <cell r="E1213" t="str">
            <v>TEE,UNION,12MM</v>
          </cell>
          <cell r="F1213">
            <v>10.1136</v>
          </cell>
        </row>
        <row r="1214">
          <cell r="A1214" t="str">
            <v>KQ2T12-10A</v>
          </cell>
          <cell r="B1214">
            <v>0</v>
          </cell>
          <cell r="C1214">
            <v>4001216</v>
          </cell>
          <cell r="D1214">
            <v>0</v>
          </cell>
          <cell r="E1214" t="str">
            <v>FITTING T 12-10-12</v>
          </cell>
          <cell r="F1214">
            <v>10.760400000000001</v>
          </cell>
        </row>
        <row r="1215">
          <cell r="A1215" t="str">
            <v>KQ2T16-00</v>
          </cell>
          <cell r="B1215">
            <v>0</v>
          </cell>
          <cell r="C1215">
            <v>1361016</v>
          </cell>
          <cell r="D1215">
            <v>0</v>
          </cell>
          <cell r="E1215">
            <v>0</v>
          </cell>
          <cell r="F1215">
            <v>17.772299999999998</v>
          </cell>
        </row>
        <row r="1216">
          <cell r="A1216" t="str">
            <v>KQ2T23-00A</v>
          </cell>
          <cell r="B1216" t="str">
            <v>Replaced KQ2T23-00</v>
          </cell>
          <cell r="C1216">
            <v>0</v>
          </cell>
          <cell r="D1216" t="str">
            <v>3604678/ 80.0000.9437</v>
          </cell>
          <cell r="E1216" t="str">
            <v>FITTING,UNION,TEE,3.2mm</v>
          </cell>
          <cell r="F1216">
            <v>6.0336640000000008</v>
          </cell>
        </row>
        <row r="1217">
          <cell r="A1217" t="str">
            <v>KQ2TW08-00A</v>
          </cell>
          <cell r="B1217" t="str">
            <v>Replaced KQ2TW08-00</v>
          </cell>
          <cell r="C1217">
            <v>0</v>
          </cell>
          <cell r="D1217" t="str">
            <v>80.0001.1110</v>
          </cell>
          <cell r="E1217" t="str">
            <v>Fitting (Cross)</v>
          </cell>
          <cell r="F1217">
            <v>9.5397119999999997</v>
          </cell>
        </row>
        <row r="1218">
          <cell r="A1218" t="str">
            <v>KQ2TW12-00A</v>
          </cell>
          <cell r="B1218" t="str">
            <v>Replaced KQ2TW12-00</v>
          </cell>
          <cell r="C1218">
            <v>0</v>
          </cell>
          <cell r="D1218" t="str">
            <v>80.0001.1523</v>
          </cell>
          <cell r="E1218" t="str">
            <v>Fitting</v>
          </cell>
          <cell r="F1218">
            <v>14.391103999999999</v>
          </cell>
        </row>
        <row r="1219">
          <cell r="A1219" t="str">
            <v>KQ2U04-00A</v>
          </cell>
          <cell r="B1219" t="str">
            <v>Replaced KQ2U04-00</v>
          </cell>
          <cell r="C1219">
            <v>1305151</v>
          </cell>
          <cell r="D1219">
            <v>3603204</v>
          </cell>
          <cell r="E1219" t="str">
            <v>FITTING Y 4-4-4</v>
          </cell>
          <cell r="F1219">
            <v>4.9329279999999995</v>
          </cell>
        </row>
        <row r="1220">
          <cell r="A1220" t="str">
            <v>KQ2U04-01AS</v>
          </cell>
          <cell r="B1220">
            <v>0</v>
          </cell>
          <cell r="C1220">
            <v>1360230</v>
          </cell>
          <cell r="D1220">
            <v>3604451</v>
          </cell>
          <cell r="E1220" t="str">
            <v>UNION Y 4MM TUBE X 1/8NPT</v>
          </cell>
          <cell r="F1220">
            <v>7.1001000000000012</v>
          </cell>
        </row>
        <row r="1221">
          <cell r="A1221" t="str">
            <v>KQ2U04-06A</v>
          </cell>
          <cell r="B1221">
            <v>0</v>
          </cell>
          <cell r="C1221">
            <v>1305161</v>
          </cell>
          <cell r="D1221">
            <v>3603460</v>
          </cell>
          <cell r="E1221" t="str">
            <v>FITTING,DIFF-DIA Y-UNION,4-6MM</v>
          </cell>
          <cell r="F1221">
            <v>4.91568</v>
          </cell>
        </row>
        <row r="1222">
          <cell r="A1222" t="str">
            <v>KQ2U06-00</v>
          </cell>
          <cell r="B1222" t="str">
            <v>KQ2U06-00A</v>
          </cell>
          <cell r="C1222">
            <v>0</v>
          </cell>
          <cell r="D1222" t="str">
            <v>80.0001.0185</v>
          </cell>
          <cell r="E1222">
            <v>0</v>
          </cell>
          <cell r="F1222">
            <v>4.6500000000000004</v>
          </cell>
        </row>
        <row r="1223">
          <cell r="A1223" t="str">
            <v>KQ2U06-00A</v>
          </cell>
          <cell r="B1223" t="str">
            <v>Replaced KQ2U06-00</v>
          </cell>
          <cell r="C1223" t="str">
            <v>1305152/ D1007304</v>
          </cell>
          <cell r="D1223" t="str">
            <v>A0000017797</v>
          </cell>
          <cell r="E1223" t="str">
            <v>Y UNION, 6MM</v>
          </cell>
          <cell r="F1223">
            <v>4.6500000000000004</v>
          </cell>
        </row>
        <row r="1224">
          <cell r="A1224" t="str">
            <v>KQ2U06-01S</v>
          </cell>
          <cell r="B1224" t="str">
            <v>KQ2U06-01AS</v>
          </cell>
          <cell r="C1224" t="str">
            <v>D1001551</v>
          </cell>
          <cell r="D1224">
            <v>3603749</v>
          </cell>
          <cell r="E1224" t="str">
            <v>FITTING, BRANCH, 6MM X 1/8 NPT</v>
          </cell>
          <cell r="F1224">
            <v>8.5</v>
          </cell>
        </row>
        <row r="1225">
          <cell r="A1225" t="str">
            <v>KQ2U06-08</v>
          </cell>
          <cell r="B1225" t="str">
            <v>KQ2U06-08A</v>
          </cell>
          <cell r="C1225" t="str">
            <v>G1003768</v>
          </cell>
          <cell r="D1225" t="str">
            <v>80.0000.7821</v>
          </cell>
          <cell r="E1225" t="str">
            <v>Pneumatic Fitting</v>
          </cell>
          <cell r="F1225">
            <v>7</v>
          </cell>
        </row>
        <row r="1226">
          <cell r="A1226" t="str">
            <v>KQ2U06-08A</v>
          </cell>
          <cell r="B1226">
            <v>0</v>
          </cell>
          <cell r="C1226">
            <v>1305174</v>
          </cell>
          <cell r="D1226">
            <v>3603584</v>
          </cell>
          <cell r="E1226" t="str">
            <v>FITTING Y 6/4-8/6-6/4</v>
          </cell>
          <cell r="F1226">
            <v>6.9971999999999994</v>
          </cell>
        </row>
        <row r="1227">
          <cell r="A1227" t="str">
            <v>KQ2U07-09A</v>
          </cell>
          <cell r="B1227">
            <v>0</v>
          </cell>
          <cell r="C1227" t="str">
            <v>D1000580</v>
          </cell>
          <cell r="D1227">
            <v>3602843</v>
          </cell>
          <cell r="E1227" t="str">
            <v>FITT,BRANCH-Y,1/4 T,5/16 T</v>
          </cell>
          <cell r="F1227">
            <v>9.4079999999999995</v>
          </cell>
        </row>
        <row r="1228">
          <cell r="A1228" t="str">
            <v>KQ2U08-00</v>
          </cell>
          <cell r="B1228" t="str">
            <v>KQ2U08-00A</v>
          </cell>
          <cell r="C1228">
            <v>0</v>
          </cell>
          <cell r="D1228">
            <v>0</v>
          </cell>
          <cell r="E1228">
            <v>0</v>
          </cell>
          <cell r="F1228">
            <v>6.1559679999999997</v>
          </cell>
        </row>
        <row r="1229">
          <cell r="A1229" t="str">
            <v>KQ2U08-00A</v>
          </cell>
          <cell r="B1229" t="str">
            <v>Replaced KQ2U08-00</v>
          </cell>
          <cell r="C1229">
            <v>1305162</v>
          </cell>
          <cell r="D1229" t="str">
            <v>80.0001.2197</v>
          </cell>
          <cell r="E1229" t="str">
            <v>Pneumatic Fitting</v>
          </cell>
          <cell r="F1229">
            <v>6.16</v>
          </cell>
        </row>
        <row r="1230">
          <cell r="A1230" t="str">
            <v>KQ2U08-01AS</v>
          </cell>
          <cell r="B1230">
            <v>0</v>
          </cell>
          <cell r="C1230">
            <v>1305123</v>
          </cell>
          <cell r="D1230">
            <v>0</v>
          </cell>
          <cell r="E1230" t="str">
            <v>FITTING Y G1/8-8-8</v>
          </cell>
          <cell r="F1230">
            <v>12.083399999999999</v>
          </cell>
        </row>
        <row r="1231">
          <cell r="A1231" t="str">
            <v>KQ2U08-10</v>
          </cell>
          <cell r="B1231" t="str">
            <v>KQ2U08-10A</v>
          </cell>
          <cell r="C1231">
            <v>0</v>
          </cell>
          <cell r="D1231">
            <v>0</v>
          </cell>
          <cell r="E1231">
            <v>0</v>
          </cell>
          <cell r="F1231">
            <v>6.33</v>
          </cell>
        </row>
        <row r="1232">
          <cell r="A1232" t="str">
            <v>KQ2U08-10A</v>
          </cell>
          <cell r="B1232">
            <v>0</v>
          </cell>
          <cell r="C1232">
            <v>1305244</v>
          </cell>
          <cell r="D1232" t="str">
            <v>80.0000.9563</v>
          </cell>
          <cell r="E1232" t="str">
            <v>Pneumatic Fitting</v>
          </cell>
          <cell r="F1232">
            <v>6.3283499999999995</v>
          </cell>
        </row>
        <row r="1233">
          <cell r="A1233" t="str">
            <v>KQ2U08-99</v>
          </cell>
          <cell r="B1233">
            <v>0</v>
          </cell>
          <cell r="C1233" t="str">
            <v>D1002709</v>
          </cell>
          <cell r="D1233">
            <v>3603853</v>
          </cell>
          <cell r="E1233" t="str">
            <v>Y FITTING,8MM MALE,8MM FEMALES</v>
          </cell>
          <cell r="F1233">
            <v>12.74</v>
          </cell>
        </row>
        <row r="1234">
          <cell r="A1234" t="str">
            <v>KQ2U10-00</v>
          </cell>
          <cell r="B1234" t="str">
            <v>KQ2U10-00A</v>
          </cell>
          <cell r="C1234">
            <v>0</v>
          </cell>
          <cell r="D1234" t="str">
            <v>68705938-000</v>
          </cell>
          <cell r="E1234" t="str">
            <v>10MM PORT Y-SPLIT CONNECTOR</v>
          </cell>
          <cell r="F1234">
            <v>6.75</v>
          </cell>
        </row>
        <row r="1235">
          <cell r="A1235" t="str">
            <v>KQ2U10-00A</v>
          </cell>
          <cell r="B1235" t="str">
            <v>Replaced KQ2U10-00</v>
          </cell>
          <cell r="C1235" t="str">
            <v>1305228/  G1005311</v>
          </cell>
          <cell r="D1235" t="str">
            <v>80.0001.1544</v>
          </cell>
          <cell r="E1235" t="str">
            <v>Pneumatic Fitting</v>
          </cell>
          <cell r="F1235">
            <v>6.7473000000000001</v>
          </cell>
        </row>
        <row r="1236">
          <cell r="A1236" t="str">
            <v>KQ2U10-12A</v>
          </cell>
          <cell r="B1236">
            <v>0</v>
          </cell>
          <cell r="C1236">
            <v>4001090</v>
          </cell>
          <cell r="D1236" t="str">
            <v>3603271/ 80.0000.3191</v>
          </cell>
          <cell r="E1236" t="str">
            <v>Fitting (Y 12/10)</v>
          </cell>
          <cell r="F1236">
            <v>11.2896</v>
          </cell>
        </row>
        <row r="1237">
          <cell r="A1237" t="str">
            <v>KQ2U11-00A</v>
          </cell>
          <cell r="B1237">
            <v>0</v>
          </cell>
          <cell r="C1237" t="str">
            <v>D1003472</v>
          </cell>
          <cell r="D1237">
            <v>3604489</v>
          </cell>
          <cell r="E1237" t="str">
            <v>UNION, Y, 3/8"F</v>
          </cell>
          <cell r="F1237">
            <v>12.74</v>
          </cell>
        </row>
        <row r="1238">
          <cell r="A1238" t="str">
            <v>KQ2U12-00A</v>
          </cell>
          <cell r="B1238">
            <v>0</v>
          </cell>
          <cell r="C1238">
            <v>4002340</v>
          </cell>
          <cell r="D1238" t="str">
            <v>2002349/ 80.0001.1560</v>
          </cell>
          <cell r="E1238" t="str">
            <v>CONNECTOR, Y-SPLIT, 12MM</v>
          </cell>
          <cell r="F1238">
            <v>12.45</v>
          </cell>
        </row>
        <row r="1239">
          <cell r="A1239" t="str">
            <v>KQ2U12-03AS</v>
          </cell>
          <cell r="B1239">
            <v>0</v>
          </cell>
          <cell r="C1239" t="str">
            <v>D1001555</v>
          </cell>
          <cell r="D1239">
            <v>3604195</v>
          </cell>
          <cell r="E1239" t="str">
            <v>FITTING BRANCH Y 12MM X 3/8NPT</v>
          </cell>
          <cell r="F1239">
            <v>15.0065685</v>
          </cell>
        </row>
        <row r="1240">
          <cell r="A1240" t="str">
            <v>KQ2U16-00</v>
          </cell>
          <cell r="B1240">
            <v>0</v>
          </cell>
          <cell r="C1240">
            <v>1361017</v>
          </cell>
          <cell r="D1240">
            <v>0</v>
          </cell>
          <cell r="E1240">
            <v>0</v>
          </cell>
          <cell r="F1240">
            <v>17.4636</v>
          </cell>
        </row>
        <row r="1241">
          <cell r="A1241" t="str">
            <v>KQ2U23-00</v>
          </cell>
          <cell r="B1241" t="str">
            <v>KQ2U23-00A</v>
          </cell>
          <cell r="C1241" t="str">
            <v>G1005238</v>
          </cell>
          <cell r="D1241">
            <v>3603989</v>
          </cell>
          <cell r="E1241" t="str">
            <v>Y FITTING, 3.2MM OD, PUSH</v>
          </cell>
          <cell r="F1241">
            <v>5.7890559999999995</v>
          </cell>
        </row>
        <row r="1242">
          <cell r="A1242" t="str">
            <v>KQ2UD04-06A</v>
          </cell>
          <cell r="B1242">
            <v>0</v>
          </cell>
          <cell r="C1242">
            <v>4000613</v>
          </cell>
          <cell r="D1242" t="str">
            <v>80.0000.9993</v>
          </cell>
          <cell r="E1242" t="str">
            <v>Pneumatic Fitting 06 auf 4x04</v>
          </cell>
          <cell r="F1242">
            <v>9.3933</v>
          </cell>
        </row>
        <row r="1243">
          <cell r="A1243" t="str">
            <v>KQ2V04-M5A</v>
          </cell>
          <cell r="B1243">
            <v>0</v>
          </cell>
          <cell r="C1243">
            <v>4000611</v>
          </cell>
          <cell r="D1243">
            <v>0</v>
          </cell>
          <cell r="E1243" t="str">
            <v>ELBOW FITTING M5/04</v>
          </cell>
          <cell r="F1243">
            <v>6.0858000000000008</v>
          </cell>
        </row>
        <row r="1244">
          <cell r="A1244" t="str">
            <v>KQ2V06-M5A</v>
          </cell>
          <cell r="B1244">
            <v>0</v>
          </cell>
          <cell r="C1244">
            <v>1305133</v>
          </cell>
          <cell r="D1244">
            <v>0</v>
          </cell>
          <cell r="E1244" t="str">
            <v>ELBOW-UNION M5M 6/4</v>
          </cell>
          <cell r="F1244">
            <v>4.7297250000000002</v>
          </cell>
        </row>
        <row r="1245">
          <cell r="A1245" t="str">
            <v>KQ2V08-03S</v>
          </cell>
          <cell r="B1245" t="str">
            <v>KQ2V08-03AS</v>
          </cell>
          <cell r="C1245">
            <v>0</v>
          </cell>
          <cell r="D1245" t="str">
            <v>80.0000.0500</v>
          </cell>
          <cell r="E1245" t="str">
            <v>Pneumatic Fitting</v>
          </cell>
          <cell r="F1245">
            <v>6.6859520000000003</v>
          </cell>
        </row>
        <row r="1246">
          <cell r="A1246" t="str">
            <v>KQ2V10-03S</v>
          </cell>
          <cell r="B1246" t="str">
            <v>KQ2V10-03AS</v>
          </cell>
          <cell r="C1246">
            <v>0</v>
          </cell>
          <cell r="D1246" t="str">
            <v>80.0000.6015</v>
          </cell>
          <cell r="E1246" t="str">
            <v>Pneumatic Fitting</v>
          </cell>
          <cell r="F1246">
            <v>9.6620160000000013</v>
          </cell>
        </row>
        <row r="1247">
          <cell r="A1247" t="str">
            <v>KQ2V12-04S</v>
          </cell>
          <cell r="B1247" t="str">
            <v>KQ2V12-04AS</v>
          </cell>
          <cell r="C1247">
            <v>0</v>
          </cell>
          <cell r="D1247" t="str">
            <v>80.0000.7504</v>
          </cell>
          <cell r="E1247" t="str">
            <v>Pneumatic Fitting</v>
          </cell>
          <cell r="F1247">
            <v>13.534975999999999</v>
          </cell>
        </row>
        <row r="1248">
          <cell r="A1248" t="str">
            <v>KQ2VD04-01AS</v>
          </cell>
          <cell r="B1248">
            <v>0</v>
          </cell>
          <cell r="C1248">
            <v>4000937</v>
          </cell>
          <cell r="D1248">
            <v>0</v>
          </cell>
          <cell r="E1248" t="str">
            <v>ELBOW-UNION DOUBLE M5M 6/4</v>
          </cell>
          <cell r="F1248">
            <v>13.327019999999999</v>
          </cell>
        </row>
        <row r="1249">
          <cell r="A1249" t="str">
            <v>KQ2VD06-02AS</v>
          </cell>
          <cell r="B1249">
            <v>0</v>
          </cell>
          <cell r="C1249" t="str">
            <v>D1000815</v>
          </cell>
          <cell r="D1249" t="str">
            <v>3603542/ 3604326</v>
          </cell>
          <cell r="E1249" t="str">
            <v>ELBOW,DOUBLE,1/4 R(PT) M,6MM F</v>
          </cell>
          <cell r="F1249">
            <v>12.161799999999999</v>
          </cell>
        </row>
        <row r="1250">
          <cell r="A1250" t="str">
            <v>KQ2VD06-02S</v>
          </cell>
          <cell r="B1250" t="str">
            <v>KQ2VD06-02AS</v>
          </cell>
          <cell r="C1250" t="str">
            <v>D1002067</v>
          </cell>
          <cell r="D1250">
            <v>3604326</v>
          </cell>
          <cell r="E1250" t="str">
            <v>ELBOW DOUBLE 1/4 R(PT) M 6MM F</v>
          </cell>
          <cell r="F1250">
            <v>12.164250000000001</v>
          </cell>
        </row>
        <row r="1251">
          <cell r="A1251" t="str">
            <v>KQ2VD08-02S</v>
          </cell>
          <cell r="B1251" t="str">
            <v>KQ2VD08-02AS</v>
          </cell>
          <cell r="C1251" t="str">
            <v>G1005316</v>
          </cell>
          <cell r="D1251" t="str">
            <v>80.0001.2109</v>
          </cell>
          <cell r="E1251">
            <v>0</v>
          </cell>
          <cell r="F1251">
            <v>14.839551999999999</v>
          </cell>
        </row>
        <row r="1252">
          <cell r="A1252" t="str">
            <v>KQ2VD08-03S</v>
          </cell>
          <cell r="B1252" t="str">
            <v>KQ2VD08-03AS</v>
          </cell>
          <cell r="C1252">
            <v>0</v>
          </cell>
          <cell r="D1252">
            <v>0</v>
          </cell>
          <cell r="E1252">
            <v>0</v>
          </cell>
          <cell r="F1252">
            <v>15.899520000000001</v>
          </cell>
        </row>
        <row r="1253">
          <cell r="A1253" t="str">
            <v>KQ2VD10-02AS</v>
          </cell>
          <cell r="B1253">
            <v>0</v>
          </cell>
          <cell r="C1253" t="str">
            <v>D1002062</v>
          </cell>
          <cell r="D1253">
            <v>3604327</v>
          </cell>
          <cell r="E1253" t="str">
            <v>ELBOW,2X UNIV,1/4R(PT),10MM</v>
          </cell>
          <cell r="F1253">
            <v>14.552999999999999</v>
          </cell>
        </row>
        <row r="1254">
          <cell r="A1254" t="str">
            <v>KQ2VD12-03AS</v>
          </cell>
          <cell r="B1254">
            <v>0</v>
          </cell>
          <cell r="C1254" t="str">
            <v>D1002104</v>
          </cell>
          <cell r="D1254">
            <v>3604364</v>
          </cell>
          <cell r="E1254" t="str">
            <v>ELBOW,DOUBLE,3/8 R(PT)M,12MM F</v>
          </cell>
          <cell r="F1254">
            <v>18.73368</v>
          </cell>
        </row>
        <row r="1255">
          <cell r="A1255" t="str">
            <v>KQ2VF08-01AS</v>
          </cell>
          <cell r="B1255">
            <v>0</v>
          </cell>
          <cell r="C1255" t="str">
            <v>95107370/ G1003863</v>
          </cell>
          <cell r="D1255" t="str">
            <v>80.0000.0192</v>
          </cell>
          <cell r="E1255" t="str">
            <v>Pneumatic Fitting</v>
          </cell>
          <cell r="F1255">
            <v>7.9089919999999996</v>
          </cell>
        </row>
        <row r="1256">
          <cell r="A1256" t="str">
            <v>KQ2VF08-01S</v>
          </cell>
          <cell r="B1256" t="str">
            <v>KQ2VF08-01AS</v>
          </cell>
          <cell r="C1256">
            <v>0</v>
          </cell>
          <cell r="D1256">
            <v>0</v>
          </cell>
          <cell r="E1256">
            <v>0</v>
          </cell>
          <cell r="F1256">
            <v>7.9089919999999996</v>
          </cell>
        </row>
        <row r="1257">
          <cell r="A1257" t="str">
            <v>KQ2VT06-02AS</v>
          </cell>
          <cell r="B1257">
            <v>0</v>
          </cell>
          <cell r="C1257" t="str">
            <v>D1002224</v>
          </cell>
          <cell r="D1257">
            <v>3604301</v>
          </cell>
          <cell r="E1257" t="str">
            <v>ELBOW,TRIPLE,6MM,1/4RPT,W/SEAL</v>
          </cell>
          <cell r="F1257">
            <v>21.658000000000001</v>
          </cell>
        </row>
        <row r="1258">
          <cell r="A1258" t="str">
            <v>KQ2VT08-02S</v>
          </cell>
          <cell r="B1258" t="str">
            <v>KQ2VT08-02AS</v>
          </cell>
          <cell r="C1258">
            <v>0</v>
          </cell>
          <cell r="D1258" t="str">
            <v>80.0001.1301</v>
          </cell>
          <cell r="E1258" t="str">
            <v>Fitting</v>
          </cell>
          <cell r="F1258">
            <v>20.58784</v>
          </cell>
        </row>
        <row r="1259">
          <cell r="A1259" t="str">
            <v>KQ2VT12-02S</v>
          </cell>
          <cell r="B1259" t="str">
            <v>KQ2VT12-02AS</v>
          </cell>
          <cell r="C1259">
            <v>0</v>
          </cell>
          <cell r="D1259" t="str">
            <v>80.0000.8703</v>
          </cell>
          <cell r="E1259" t="str">
            <v>Pneumatic Fitting</v>
          </cell>
          <cell r="F1259">
            <v>25.806144000000003</v>
          </cell>
        </row>
        <row r="1260">
          <cell r="A1260" t="str">
            <v>KQ2VT12-04S</v>
          </cell>
          <cell r="B1260">
            <v>0</v>
          </cell>
          <cell r="C1260" t="str">
            <v>D1001038</v>
          </cell>
          <cell r="D1260">
            <v>3603877</v>
          </cell>
          <cell r="E1260" t="str">
            <v>TRIPLE 12MM OD ELBOW 1/2''MALE</v>
          </cell>
          <cell r="F1260">
            <v>34.152999999999999</v>
          </cell>
        </row>
        <row r="1261">
          <cell r="A1261" t="str">
            <v>KQ2W04-99</v>
          </cell>
          <cell r="B1261" t="str">
            <v xml:space="preserve">KQ2W04-99A </v>
          </cell>
          <cell r="C1261">
            <v>0</v>
          </cell>
          <cell r="D1261" t="str">
            <v>80.0000.0503</v>
          </cell>
          <cell r="E1261" t="str">
            <v>Pneumatic Fitting</v>
          </cell>
          <cell r="F1261">
            <v>5.992896</v>
          </cell>
        </row>
        <row r="1262">
          <cell r="A1262" t="str">
            <v>KQ2W04-M3G</v>
          </cell>
          <cell r="B1262">
            <v>0</v>
          </cell>
          <cell r="C1262">
            <v>4001224</v>
          </cell>
          <cell r="D1262">
            <v>0</v>
          </cell>
          <cell r="E1262" t="str">
            <v>ELBOW-UNION M3M 4/2.5</v>
          </cell>
          <cell r="F1262">
            <v>9.702</v>
          </cell>
        </row>
        <row r="1263">
          <cell r="A1263" t="str">
            <v>KQ2W04-M5A</v>
          </cell>
          <cell r="B1263">
            <v>0</v>
          </cell>
          <cell r="C1263">
            <v>1135619</v>
          </cell>
          <cell r="D1263">
            <v>0</v>
          </cell>
          <cell r="E1263" t="str">
            <v>ELBOW-UNION M5M 4/2.5</v>
          </cell>
          <cell r="F1263">
            <v>6.5267999999999997</v>
          </cell>
        </row>
        <row r="1264">
          <cell r="A1264" t="str">
            <v>KQ2W04-M5N</v>
          </cell>
          <cell r="B1264">
            <v>0</v>
          </cell>
          <cell r="C1264">
            <v>1305211</v>
          </cell>
          <cell r="D1264">
            <v>0</v>
          </cell>
          <cell r="E1264" t="str">
            <v>ELBOW-UNION M5M 4/2.5</v>
          </cell>
          <cell r="F1264">
            <v>4.41</v>
          </cell>
        </row>
        <row r="1265">
          <cell r="A1265" t="str">
            <v>KQ2W06-M5</v>
          </cell>
          <cell r="B1265">
            <v>0</v>
          </cell>
          <cell r="C1265" t="str">
            <v>D1003239</v>
          </cell>
          <cell r="D1265">
            <v>3603666</v>
          </cell>
          <cell r="E1265" t="str">
            <v>FITTING,ELBOW,EXTND,6MMTUBE,M5</v>
          </cell>
          <cell r="F1265">
            <v>7.35</v>
          </cell>
        </row>
        <row r="1266">
          <cell r="A1266" t="str">
            <v>KQ2W06-M5A</v>
          </cell>
          <cell r="B1266">
            <v>0</v>
          </cell>
          <cell r="C1266">
            <v>91000110</v>
          </cell>
          <cell r="D1266">
            <v>0</v>
          </cell>
          <cell r="E1266">
            <v>0</v>
          </cell>
          <cell r="F1266">
            <v>6.5267999999999997</v>
          </cell>
        </row>
        <row r="1267">
          <cell r="A1267" t="str">
            <v>KQ2W06-M5N</v>
          </cell>
          <cell r="B1267">
            <v>0</v>
          </cell>
          <cell r="C1267">
            <v>1305213</v>
          </cell>
          <cell r="D1267">
            <v>0</v>
          </cell>
          <cell r="E1267" t="str">
            <v>ELBOW-UNION M5M 6/4</v>
          </cell>
          <cell r="F1267">
            <v>4.41</v>
          </cell>
        </row>
        <row r="1268">
          <cell r="A1268" t="str">
            <v>KQ2W08-01AS</v>
          </cell>
          <cell r="B1268">
            <v>0</v>
          </cell>
          <cell r="C1268" t="str">
            <v>1305309/ 1586140</v>
          </cell>
          <cell r="D1268">
            <v>0</v>
          </cell>
          <cell r="E1268" t="str">
            <v>ELBOW-UNION 1/8M 8/6</v>
          </cell>
          <cell r="F1268">
            <v>8.2026000000000003</v>
          </cell>
        </row>
        <row r="1269">
          <cell r="A1269" t="str">
            <v>KQ2W08-99</v>
          </cell>
          <cell r="B1269" t="str">
            <v>KQ2W08-99A</v>
          </cell>
          <cell r="C1269">
            <v>0</v>
          </cell>
          <cell r="D1269" t="str">
            <v>80.0000.0744</v>
          </cell>
          <cell r="E1269" t="str">
            <v>Pneumatic Fitting</v>
          </cell>
          <cell r="F1269">
            <v>7.5420800000000003</v>
          </cell>
        </row>
        <row r="1270">
          <cell r="A1270" t="str">
            <v>KQ2X04-06</v>
          </cell>
          <cell r="B1270" t="str">
            <v>KQ2X04-06A</v>
          </cell>
          <cell r="C1270">
            <v>0</v>
          </cell>
          <cell r="D1270">
            <v>0</v>
          </cell>
          <cell r="E1270">
            <v>0</v>
          </cell>
          <cell r="F1270">
            <v>6.8897919999999999</v>
          </cell>
        </row>
        <row r="1271">
          <cell r="A1271" t="str">
            <v>KQ2X06-08</v>
          </cell>
          <cell r="B1271">
            <v>0</v>
          </cell>
          <cell r="C1271" t="str">
            <v>D1003236</v>
          </cell>
          <cell r="D1271" t="str">
            <v>A0000016139</v>
          </cell>
          <cell r="E1271" t="str">
            <v>PLUG-IN "Y" 8MM TO 6MM</v>
          </cell>
          <cell r="F1271">
            <v>9.6529999999999987</v>
          </cell>
        </row>
        <row r="1272">
          <cell r="A1272" t="str">
            <v>KQ2XD04-06A</v>
          </cell>
          <cell r="B1272">
            <v>0</v>
          </cell>
          <cell r="C1272">
            <v>3010193</v>
          </cell>
          <cell r="D1272">
            <v>0</v>
          </cell>
          <cell r="E1272" t="str">
            <v>FITTING Y PLUG-IN 6/4</v>
          </cell>
          <cell r="F1272">
            <v>12.35</v>
          </cell>
        </row>
        <row r="1273">
          <cell r="A1273" t="str">
            <v>KQ2XD06-08</v>
          </cell>
          <cell r="B1273">
            <v>0</v>
          </cell>
          <cell r="C1273">
            <v>1360288</v>
          </cell>
          <cell r="D1273">
            <v>0</v>
          </cell>
          <cell r="E1273">
            <v>0</v>
          </cell>
          <cell r="F1273">
            <v>13.318199999999999</v>
          </cell>
        </row>
        <row r="1274">
          <cell r="A1274" t="str">
            <v>KQ2Y04-M5N</v>
          </cell>
          <cell r="B1274">
            <v>0</v>
          </cell>
          <cell r="C1274">
            <v>91101920</v>
          </cell>
          <cell r="D1274">
            <v>0</v>
          </cell>
          <cell r="E1274" t="str">
            <v>FITTING-MALE RUN TEE 4MMXM5 ONE-TOUCH</v>
          </cell>
          <cell r="F1274">
            <v>6.9236999999999993</v>
          </cell>
        </row>
        <row r="1275">
          <cell r="A1275" t="str">
            <v>KQ2Y08-01S</v>
          </cell>
          <cell r="B1275" t="str">
            <v>KQ2Y08-01AS</v>
          </cell>
          <cell r="C1275">
            <v>0</v>
          </cell>
          <cell r="D1275" t="str">
            <v>80.0000.0058</v>
          </cell>
          <cell r="E1275" t="str">
            <v>Pneumatic Fitting</v>
          </cell>
          <cell r="F1275">
            <v>6.8082559999999992</v>
          </cell>
        </row>
        <row r="1276">
          <cell r="A1276" t="str">
            <v>KQ2Y08-02AS</v>
          </cell>
          <cell r="B1276">
            <v>0</v>
          </cell>
          <cell r="C1276">
            <v>1301090</v>
          </cell>
          <cell r="D1276">
            <v>0</v>
          </cell>
          <cell r="E1276" t="str">
            <v>FITTING T G1/4M-8-8</v>
          </cell>
          <cell r="F1276">
            <v>8.3790000000000013</v>
          </cell>
        </row>
        <row r="1277">
          <cell r="A1277" t="str">
            <v>KQ2Y10-02AS</v>
          </cell>
          <cell r="B1277">
            <v>0</v>
          </cell>
          <cell r="C1277">
            <v>91102040</v>
          </cell>
          <cell r="D1277">
            <v>0</v>
          </cell>
          <cell r="E1277" t="str">
            <v>FITTING-MALE RUN TEE 10MMX1/4 ONE-TOUCH</v>
          </cell>
          <cell r="F1277">
            <v>10.275300000000001</v>
          </cell>
        </row>
        <row r="1278">
          <cell r="A1278" t="str">
            <v>KQ2Y10-03AS</v>
          </cell>
          <cell r="B1278">
            <v>0</v>
          </cell>
          <cell r="C1278">
            <v>1305181</v>
          </cell>
          <cell r="D1278">
            <v>0</v>
          </cell>
          <cell r="E1278" t="str">
            <v>FITTING T G3/8M-10-10</v>
          </cell>
          <cell r="F1278">
            <v>10.848599999999999</v>
          </cell>
        </row>
        <row r="1279">
          <cell r="A1279" t="str">
            <v>KQ2Y10-04S</v>
          </cell>
          <cell r="B1279">
            <v>0</v>
          </cell>
          <cell r="C1279">
            <v>1305182</v>
          </cell>
          <cell r="D1279">
            <v>0</v>
          </cell>
          <cell r="E1279">
            <v>0</v>
          </cell>
          <cell r="F1279">
            <v>11.730600000000001</v>
          </cell>
        </row>
        <row r="1280">
          <cell r="A1280" t="str">
            <v>KQ2Y12-04AS</v>
          </cell>
          <cell r="B1280">
            <v>0</v>
          </cell>
          <cell r="C1280">
            <v>4002070</v>
          </cell>
          <cell r="D1280">
            <v>0</v>
          </cell>
          <cell r="E1280" t="str">
            <v>FITTING Y G1/2M-12-12</v>
          </cell>
          <cell r="F1280">
            <v>10.878000000000002</v>
          </cell>
        </row>
        <row r="1281">
          <cell r="A1281" t="str">
            <v>KQ2Z06-02S</v>
          </cell>
          <cell r="B1281">
            <v>0</v>
          </cell>
          <cell r="C1281">
            <v>1361092</v>
          </cell>
          <cell r="D1281">
            <v>3603399</v>
          </cell>
          <cell r="E1281" t="str">
            <v>ELBOW,DUAL UNI,6MM F X 1/4BSPT</v>
          </cell>
          <cell r="F1281">
            <v>10.7163</v>
          </cell>
        </row>
        <row r="1282">
          <cell r="A1282" t="str">
            <v>KQ2Z08-02S</v>
          </cell>
          <cell r="B1282">
            <v>0</v>
          </cell>
          <cell r="C1282">
            <v>1361093</v>
          </cell>
          <cell r="D1282">
            <v>0</v>
          </cell>
          <cell r="E1282">
            <v>0</v>
          </cell>
          <cell r="F1282">
            <v>10.7163</v>
          </cell>
        </row>
        <row r="1283">
          <cell r="A1283" t="str">
            <v>KQ2Z10-03AS</v>
          </cell>
          <cell r="B1283">
            <v>0</v>
          </cell>
          <cell r="C1283" t="str">
            <v>D1002059</v>
          </cell>
          <cell r="D1283">
            <v>3604318</v>
          </cell>
          <cell r="E1283" t="str">
            <v>ELBOW UNIV 2X 10MM X 3/8 Rc M</v>
          </cell>
          <cell r="F1283">
            <v>11.94375</v>
          </cell>
        </row>
        <row r="1284">
          <cell r="A1284" t="str">
            <v>KQ2Z12-03AS</v>
          </cell>
          <cell r="B1284">
            <v>0</v>
          </cell>
          <cell r="C1284" t="str">
            <v>D1002084</v>
          </cell>
          <cell r="D1284">
            <v>3604313</v>
          </cell>
          <cell r="E1284" t="str">
            <v>ELBOW,DOUBLE,3/8 R(PT) M, 2MM F</v>
          </cell>
          <cell r="F1284">
            <v>17.296999999999997</v>
          </cell>
        </row>
        <row r="1285">
          <cell r="A1285" t="str">
            <v>KQ2Z12-04AS</v>
          </cell>
          <cell r="B1285">
            <v>0</v>
          </cell>
          <cell r="C1285">
            <v>3604181</v>
          </cell>
          <cell r="D1285">
            <v>0</v>
          </cell>
          <cell r="E1285">
            <v>0</v>
          </cell>
          <cell r="F1285">
            <v>17.393039999999999</v>
          </cell>
        </row>
        <row r="1286">
          <cell r="A1286" t="str">
            <v>KQ2ZD04-01S</v>
          </cell>
          <cell r="B1286" t="str">
            <v>KQ2ZD04-01S</v>
          </cell>
          <cell r="C1286">
            <v>0</v>
          </cell>
          <cell r="D1286" t="str">
            <v>80.0000.1977</v>
          </cell>
          <cell r="E1286" t="str">
            <v>Pneumatic Fitting</v>
          </cell>
          <cell r="F1286">
            <v>15.002624000000001</v>
          </cell>
        </row>
        <row r="1287">
          <cell r="A1287" t="str">
            <v>KQ2ZD06-01S</v>
          </cell>
          <cell r="B1287">
            <v>0</v>
          </cell>
          <cell r="C1287">
            <v>1360289</v>
          </cell>
          <cell r="D1287">
            <v>0</v>
          </cell>
          <cell r="E1287">
            <v>0</v>
          </cell>
          <cell r="F1287">
            <v>16.802099999999999</v>
          </cell>
        </row>
        <row r="1288">
          <cell r="A1288" t="str">
            <v>KQ2ZD08-02S</v>
          </cell>
          <cell r="B1288" t="str">
            <v>KQ2ZD08-02AS</v>
          </cell>
          <cell r="C1288" t="str">
            <v>G1005451</v>
          </cell>
          <cell r="D1288" t="str">
            <v>80.0000.2038/ 80.0000.3005</v>
          </cell>
          <cell r="E1288" t="str">
            <v>Steckverbindung wei▀ - 4-fachEinschraub</v>
          </cell>
          <cell r="F1288">
            <v>18.223295999999998</v>
          </cell>
        </row>
        <row r="1289">
          <cell r="A1289" t="str">
            <v>KQ2ZD08-04S</v>
          </cell>
          <cell r="B1289" t="str">
            <v>KQ2ZD08-04AS</v>
          </cell>
          <cell r="C1289">
            <v>0</v>
          </cell>
          <cell r="D1289" t="str">
            <v>80.0000.7505</v>
          </cell>
          <cell r="E1289" t="str">
            <v>Pneumatic Fitting</v>
          </cell>
          <cell r="F1289">
            <v>20.302464000000004</v>
          </cell>
        </row>
        <row r="1290">
          <cell r="A1290" t="str">
            <v>KQ2ZT08-02S</v>
          </cell>
          <cell r="B1290" t="str">
            <v>KQ2ZT08-02AS</v>
          </cell>
          <cell r="C1290">
            <v>0</v>
          </cell>
          <cell r="D1290" t="str">
            <v>80.0000.2037</v>
          </cell>
          <cell r="E1290" t="str">
            <v>Fitting</v>
          </cell>
          <cell r="F1290">
            <v>22.993151999999998</v>
          </cell>
        </row>
        <row r="1291">
          <cell r="A1291" t="str">
            <v>KQE08-00</v>
          </cell>
          <cell r="B1291">
            <v>0</v>
          </cell>
          <cell r="C1291">
            <v>91101560</v>
          </cell>
          <cell r="D1291">
            <v>0</v>
          </cell>
          <cell r="E1291" t="str">
            <v>FITTING-BULKHEAD UNION 8MM ONE-TOUCH</v>
          </cell>
          <cell r="F1291">
            <v>7.8274559999999997</v>
          </cell>
        </row>
        <row r="1292">
          <cell r="A1292" t="str">
            <v>KQE23-00NJ</v>
          </cell>
          <cell r="B1292" t="str">
            <v>KQ2E23-00NJ</v>
          </cell>
          <cell r="C1292">
            <v>0</v>
          </cell>
          <cell r="D1292" t="str">
            <v>80.0000.0110</v>
          </cell>
          <cell r="E1292">
            <v>0</v>
          </cell>
          <cell r="F1292">
            <v>9.6999999999999993</v>
          </cell>
        </row>
        <row r="1293">
          <cell r="A1293" t="str">
            <v>KQF10-02</v>
          </cell>
          <cell r="B1293" t="str">
            <v>KQ2F10-02A</v>
          </cell>
          <cell r="C1293">
            <v>0</v>
          </cell>
          <cell r="D1293">
            <v>0</v>
          </cell>
          <cell r="E1293">
            <v>0</v>
          </cell>
          <cell r="F1293">
            <v>10.273536</v>
          </cell>
        </row>
        <row r="1294">
          <cell r="A1294" t="str">
            <v>KQG2H04-06</v>
          </cell>
          <cell r="B1294">
            <v>0</v>
          </cell>
          <cell r="C1294">
            <v>0</v>
          </cell>
          <cell r="D1294" t="str">
            <v>80.0001.1981</v>
          </cell>
          <cell r="E1294" t="str">
            <v>Pneumatic Fitting</v>
          </cell>
          <cell r="F1294">
            <v>41.094144</v>
          </cell>
        </row>
        <row r="1295">
          <cell r="A1295" t="str">
            <v>KQG2U06-00</v>
          </cell>
          <cell r="B1295">
            <v>0</v>
          </cell>
          <cell r="C1295">
            <v>0</v>
          </cell>
          <cell r="D1295" t="str">
            <v>80.0001.1538</v>
          </cell>
          <cell r="E1295" t="str">
            <v>Pneumatic Fitting Y 6mm</v>
          </cell>
          <cell r="F1295">
            <v>61.111232000000001</v>
          </cell>
        </row>
        <row r="1296">
          <cell r="A1296" t="str">
            <v>KQGH06-M5</v>
          </cell>
          <cell r="B1296">
            <v>0</v>
          </cell>
          <cell r="C1296">
            <v>0</v>
          </cell>
          <cell r="D1296" t="str">
            <v>80.0001.1947</v>
          </cell>
          <cell r="E1296" t="str">
            <v>Fitting</v>
          </cell>
          <cell r="F1296">
            <v>20.991600000000002</v>
          </cell>
        </row>
        <row r="1297">
          <cell r="A1297" t="str">
            <v>KQH03-32</v>
          </cell>
          <cell r="B1297">
            <v>0</v>
          </cell>
          <cell r="C1297" t="str">
            <v>D1003080</v>
          </cell>
          <cell r="D1297">
            <v>3601287</v>
          </cell>
          <cell r="E1297" t="str">
            <v>FITTING,MALE ONE-</v>
          </cell>
          <cell r="F1297">
            <v>6.125</v>
          </cell>
        </row>
        <row r="1298">
          <cell r="A1298" t="str">
            <v>KQH04-06</v>
          </cell>
          <cell r="B1298">
            <v>0</v>
          </cell>
          <cell r="C1298">
            <v>4020120</v>
          </cell>
          <cell r="D1298">
            <v>0</v>
          </cell>
          <cell r="E1298" t="str">
            <v>REDUCER DIA. 04-06</v>
          </cell>
          <cell r="F1298">
            <v>6.7914000000000003</v>
          </cell>
        </row>
        <row r="1299">
          <cell r="A1299" t="str">
            <v>KQH04-M5</v>
          </cell>
          <cell r="B1299">
            <v>0</v>
          </cell>
          <cell r="C1299">
            <v>91007530</v>
          </cell>
          <cell r="D1299" t="str">
            <v>A0000014424</v>
          </cell>
          <cell r="E1299" t="str">
            <v>FITTING,PNEUMATIC(4MM/M5THD)</v>
          </cell>
          <cell r="F1299">
            <v>5.0714999999999995</v>
          </cell>
        </row>
        <row r="1300">
          <cell r="A1300" t="str">
            <v>KQH06-01S</v>
          </cell>
          <cell r="B1300">
            <v>0</v>
          </cell>
          <cell r="C1300">
            <v>0</v>
          </cell>
          <cell r="D1300">
            <v>0</v>
          </cell>
          <cell r="E1300">
            <v>0</v>
          </cell>
          <cell r="F1300">
            <v>2.6</v>
          </cell>
        </row>
        <row r="1301">
          <cell r="A1301" t="str">
            <v>KQH06-08</v>
          </cell>
          <cell r="B1301">
            <v>0</v>
          </cell>
          <cell r="C1301">
            <v>91005240</v>
          </cell>
          <cell r="D1301">
            <v>0</v>
          </cell>
          <cell r="E1301" t="str">
            <v>FITTING-STRAIGHT DIFF DIA 6-8MM 1-TOUCH</v>
          </cell>
          <cell r="F1301">
            <v>6.7914000000000003</v>
          </cell>
        </row>
        <row r="1302">
          <cell r="A1302" t="str">
            <v>KQH08-03S</v>
          </cell>
          <cell r="B1302">
            <v>0</v>
          </cell>
          <cell r="C1302">
            <v>0</v>
          </cell>
          <cell r="D1302" t="str">
            <v>80.0000.8403</v>
          </cell>
          <cell r="E1302">
            <v>0</v>
          </cell>
          <cell r="F1302">
            <v>4.4029440000000006</v>
          </cell>
        </row>
        <row r="1303">
          <cell r="A1303" t="str">
            <v>KQL04-01S</v>
          </cell>
          <cell r="B1303">
            <v>0</v>
          </cell>
          <cell r="C1303">
            <v>4020141</v>
          </cell>
          <cell r="D1303">
            <v>0</v>
          </cell>
          <cell r="E1303" t="str">
            <v>FITTING KQL04-01S</v>
          </cell>
          <cell r="F1303">
            <v>5.9976000000000003</v>
          </cell>
        </row>
        <row r="1304">
          <cell r="A1304" t="str">
            <v>KQL04-06</v>
          </cell>
          <cell r="B1304" t="str">
            <v>KQ2L04-06A</v>
          </cell>
          <cell r="C1304">
            <v>0</v>
          </cell>
          <cell r="D1304">
            <v>0</v>
          </cell>
          <cell r="E1304">
            <v>0</v>
          </cell>
          <cell r="F1304">
            <v>4.5252480000000004</v>
          </cell>
        </row>
        <row r="1305">
          <cell r="A1305" t="str">
            <v>KQL04-M5</v>
          </cell>
          <cell r="B1305">
            <v>0</v>
          </cell>
          <cell r="C1305">
            <v>4020114</v>
          </cell>
          <cell r="D1305" t="str">
            <v>A0000015324</v>
          </cell>
          <cell r="E1305" t="str">
            <v>M4 TUBE MALE ELBOW CONNECTOR</v>
          </cell>
          <cell r="F1305">
            <v>7.1883000000000008</v>
          </cell>
        </row>
        <row r="1306">
          <cell r="A1306" t="str">
            <v>KQL06-01S</v>
          </cell>
          <cell r="B1306">
            <v>0</v>
          </cell>
          <cell r="C1306">
            <v>4020103</v>
          </cell>
          <cell r="D1306">
            <v>0</v>
          </cell>
          <cell r="E1306" t="str">
            <v>FITTING ELBOW KQL06-01S</v>
          </cell>
          <cell r="F1306">
            <v>6.3504000000000005</v>
          </cell>
        </row>
        <row r="1307">
          <cell r="A1307" t="str">
            <v>KQL06-02S</v>
          </cell>
          <cell r="B1307" t="str">
            <v>KQ2L06-02AS</v>
          </cell>
          <cell r="C1307">
            <v>0</v>
          </cell>
          <cell r="D1307" t="str">
            <v>80.0000.8402</v>
          </cell>
          <cell r="E1307">
            <v>0</v>
          </cell>
          <cell r="F1307">
            <v>4.9329279999999995</v>
          </cell>
        </row>
        <row r="1308">
          <cell r="A1308" t="str">
            <v>KQL06-03S</v>
          </cell>
          <cell r="B1308">
            <v>0</v>
          </cell>
          <cell r="C1308">
            <v>1305189</v>
          </cell>
          <cell r="D1308">
            <v>0</v>
          </cell>
          <cell r="E1308" t="str">
            <v>ELBOW-UNION G3/8M 6/4</v>
          </cell>
          <cell r="F1308">
            <v>7.4528999999999996</v>
          </cell>
        </row>
        <row r="1309">
          <cell r="A1309" t="str">
            <v>KQL06-M5</v>
          </cell>
          <cell r="B1309" t="str">
            <v>KQ2L06-M5A</v>
          </cell>
          <cell r="C1309">
            <v>4020000</v>
          </cell>
          <cell r="D1309" t="str">
            <v>A0000015323</v>
          </cell>
          <cell r="E1309" t="str">
            <v>M6 TUBE MALE ELBOW CONNECTOR</v>
          </cell>
          <cell r="F1309">
            <v>4.5863999999999994</v>
          </cell>
        </row>
        <row r="1310">
          <cell r="A1310" t="str">
            <v>KQL07-35S</v>
          </cell>
          <cell r="B1310">
            <v>0</v>
          </cell>
          <cell r="C1310" t="str">
            <v>D1002171</v>
          </cell>
          <cell r="D1310">
            <v>3601397</v>
          </cell>
          <cell r="E1310" t="str">
            <v>FITTING, ONE TOUCH</v>
          </cell>
          <cell r="F1310">
            <v>8.0359999999999996</v>
          </cell>
        </row>
        <row r="1311">
          <cell r="A1311" t="str">
            <v>KQL08-01S</v>
          </cell>
          <cell r="B1311" t="str">
            <v>KQ2L08-01AS</v>
          </cell>
          <cell r="C1311">
            <v>1305131</v>
          </cell>
          <cell r="D1311">
            <v>0</v>
          </cell>
          <cell r="E1311" t="str">
            <v>ELBOW-UNION 1/8M 8/6</v>
          </cell>
          <cell r="F1311">
            <v>3.18</v>
          </cell>
        </row>
        <row r="1312">
          <cell r="A1312" t="str">
            <v>KQL08-02S</v>
          </cell>
          <cell r="B1312" t="str">
            <v>KQ2L08-02AS</v>
          </cell>
          <cell r="C1312" t="str">
            <v>80.0000.8401</v>
          </cell>
          <cell r="D1312" t="str">
            <v>80.0000.8401</v>
          </cell>
          <cell r="E1312">
            <v>0</v>
          </cell>
          <cell r="F1312">
            <v>4.3499999999999996</v>
          </cell>
        </row>
        <row r="1313">
          <cell r="A1313" t="str">
            <v>KQL08-10</v>
          </cell>
          <cell r="B1313">
            <v>0</v>
          </cell>
          <cell r="C1313">
            <v>91004630</v>
          </cell>
          <cell r="D1313">
            <v>0</v>
          </cell>
          <cell r="E1313" t="str">
            <v>FITTING-REDUCER ELBOW 10-8MM ONE-TOUCH</v>
          </cell>
          <cell r="F1313">
            <v>7.7175000000000002</v>
          </cell>
        </row>
        <row r="1314">
          <cell r="A1314" t="str">
            <v>KQL08-99</v>
          </cell>
          <cell r="B1314" t="str">
            <v>KQ2L08-99A</v>
          </cell>
          <cell r="C1314">
            <v>0</v>
          </cell>
          <cell r="D1314">
            <v>0</v>
          </cell>
          <cell r="E1314">
            <v>0</v>
          </cell>
          <cell r="F1314">
            <v>3.47</v>
          </cell>
        </row>
        <row r="1315">
          <cell r="A1315" t="str">
            <v>KQL08-U01</v>
          </cell>
          <cell r="B1315">
            <v>0</v>
          </cell>
          <cell r="C1315">
            <v>91005600</v>
          </cell>
          <cell r="D1315">
            <v>0</v>
          </cell>
          <cell r="E1315">
            <v>0</v>
          </cell>
          <cell r="F1315">
            <v>7.4088000000000003</v>
          </cell>
        </row>
        <row r="1316">
          <cell r="A1316" t="str">
            <v>KQLU08-02S</v>
          </cell>
          <cell r="B1316">
            <v>0</v>
          </cell>
          <cell r="C1316">
            <v>4020157</v>
          </cell>
          <cell r="D1316">
            <v>0</v>
          </cell>
          <cell r="E1316" t="str">
            <v>FITTING KQLU08-02S</v>
          </cell>
          <cell r="F1316">
            <v>10.9809</v>
          </cell>
        </row>
        <row r="1317">
          <cell r="A1317" t="str">
            <v>KQP-03</v>
          </cell>
          <cell r="B1317">
            <v>0</v>
          </cell>
          <cell r="C1317" t="str">
            <v>D1002314</v>
          </cell>
          <cell r="D1317">
            <v>3601244</v>
          </cell>
          <cell r="E1317" t="str">
            <v>PLUG,5/32"TUBE</v>
          </cell>
          <cell r="F1317">
            <v>4.41</v>
          </cell>
        </row>
        <row r="1318">
          <cell r="A1318" t="str">
            <v>KQP-06</v>
          </cell>
          <cell r="B1318" t="str">
            <v>KQ2P-06</v>
          </cell>
          <cell r="C1318">
            <v>91003170</v>
          </cell>
          <cell r="D1318">
            <v>0</v>
          </cell>
          <cell r="E1318" t="str">
            <v>FITTING-PLUG 6X8MM BLUE</v>
          </cell>
          <cell r="F1318">
            <v>1.02</v>
          </cell>
        </row>
        <row r="1319">
          <cell r="A1319" t="str">
            <v>KQP-08</v>
          </cell>
          <cell r="B1319">
            <v>0</v>
          </cell>
          <cell r="C1319">
            <v>4020097</v>
          </cell>
          <cell r="D1319">
            <v>0</v>
          </cell>
          <cell r="E1319" t="str">
            <v>FITTING PLUG KQP-08</v>
          </cell>
          <cell r="F1319">
            <v>1.1661999999999999</v>
          </cell>
        </row>
        <row r="1320">
          <cell r="A1320" t="str">
            <v>KQP-12</v>
          </cell>
          <cell r="B1320" t="str">
            <v>KQ2P-12</v>
          </cell>
          <cell r="C1320">
            <v>91006450</v>
          </cell>
          <cell r="D1320">
            <v>0</v>
          </cell>
          <cell r="E1320">
            <v>0</v>
          </cell>
          <cell r="F1320">
            <v>2.5401600000000006</v>
          </cell>
        </row>
        <row r="1321">
          <cell r="A1321" t="str">
            <v>KQR08-10</v>
          </cell>
          <cell r="B1321" t="str">
            <v>KQ2R08-10A</v>
          </cell>
          <cell r="C1321">
            <v>0</v>
          </cell>
          <cell r="D1321" t="str">
            <v>A0000015331</v>
          </cell>
          <cell r="E1321" t="str">
            <v>10MM TO 8MM TUBE REDUCER</v>
          </cell>
          <cell r="F1321">
            <v>4.0999999999999996</v>
          </cell>
        </row>
        <row r="1322">
          <cell r="A1322" t="str">
            <v>KQR10-12</v>
          </cell>
          <cell r="B1322">
            <v>0</v>
          </cell>
          <cell r="C1322">
            <v>91101550</v>
          </cell>
          <cell r="D1322">
            <v>0</v>
          </cell>
          <cell r="E1322" t="str">
            <v>FITTING-PLUG IN REDUCER 10-12 ONE-TOUCH</v>
          </cell>
          <cell r="F1322">
            <v>7.8497999999999992</v>
          </cell>
        </row>
        <row r="1323">
          <cell r="A1323" t="str">
            <v>KQS06-M5</v>
          </cell>
          <cell r="B1323" t="str">
            <v>KQ2S06-M5A</v>
          </cell>
          <cell r="C1323">
            <v>0</v>
          </cell>
          <cell r="D1323" t="str">
            <v>A0000015322</v>
          </cell>
          <cell r="E1323" t="str">
            <v>M6 TUBE MALE CONNECTOR</v>
          </cell>
          <cell r="F1323">
            <v>2.772224</v>
          </cell>
        </row>
        <row r="1324">
          <cell r="A1324" t="str">
            <v>KQT04-00</v>
          </cell>
          <cell r="B1324">
            <v>0</v>
          </cell>
          <cell r="C1324">
            <v>1305317</v>
          </cell>
          <cell r="D1324">
            <v>3601422</v>
          </cell>
          <cell r="E1324" t="str">
            <v>FITTING, TEE TUBE</v>
          </cell>
          <cell r="F1324">
            <v>6.4189999999999996</v>
          </cell>
        </row>
        <row r="1325">
          <cell r="A1325" t="str">
            <v>KQT06-00</v>
          </cell>
          <cell r="B1325" t="str">
            <v>KQ2T06-00A</v>
          </cell>
          <cell r="C1325">
            <v>4020074</v>
          </cell>
          <cell r="D1325">
            <v>0</v>
          </cell>
          <cell r="E1325" t="str">
            <v>FITTING T DIAMETER KQT06-00</v>
          </cell>
          <cell r="F1325">
            <v>5.64</v>
          </cell>
        </row>
        <row r="1326">
          <cell r="A1326" t="str">
            <v>KQT08-00</v>
          </cell>
          <cell r="B1326">
            <v>0</v>
          </cell>
          <cell r="C1326">
            <v>4020072</v>
          </cell>
          <cell r="D1326">
            <v>0</v>
          </cell>
          <cell r="E1326" t="str">
            <v>FITTING T DIAMETER KQT08-00</v>
          </cell>
          <cell r="F1326">
            <v>9.7902000000000005</v>
          </cell>
        </row>
        <row r="1327">
          <cell r="A1327" t="str">
            <v>KQT10-00</v>
          </cell>
          <cell r="B1327">
            <v>0</v>
          </cell>
          <cell r="C1327">
            <v>4020073</v>
          </cell>
          <cell r="D1327">
            <v>0</v>
          </cell>
          <cell r="E1327" t="str">
            <v>FITTING T DIAMETER KQT10-00</v>
          </cell>
          <cell r="F1327">
            <v>11.289600000000002</v>
          </cell>
        </row>
        <row r="1328">
          <cell r="A1328" t="str">
            <v>KQT10-02S</v>
          </cell>
          <cell r="B1328">
            <v>0</v>
          </cell>
          <cell r="C1328">
            <v>1305177</v>
          </cell>
          <cell r="D1328">
            <v>0</v>
          </cell>
          <cell r="E1328">
            <v>0</v>
          </cell>
          <cell r="F1328">
            <v>13.274100000000001</v>
          </cell>
        </row>
        <row r="1329">
          <cell r="A1329" t="str">
            <v>KQT12-00</v>
          </cell>
          <cell r="B1329" t="str">
            <v>KQ2T12-00A</v>
          </cell>
          <cell r="C1329">
            <v>0</v>
          </cell>
          <cell r="D1329" t="str">
            <v>A0000015983</v>
          </cell>
          <cell r="E1329" t="str">
            <v>UNION T,12MM</v>
          </cell>
          <cell r="F1329">
            <v>10.151232000000002</v>
          </cell>
        </row>
        <row r="1330">
          <cell r="A1330" t="str">
            <v>KQU04-00</v>
          </cell>
          <cell r="B1330" t="str">
            <v>KQ2U04-00A</v>
          </cell>
          <cell r="C1330">
            <v>0</v>
          </cell>
          <cell r="D1330" t="str">
            <v>A0000016126</v>
          </cell>
          <cell r="E1330" t="str">
            <v>UNION,"Y",4MM</v>
          </cell>
          <cell r="F1330">
            <v>4.9329279999999995</v>
          </cell>
        </row>
        <row r="1331">
          <cell r="A1331" t="str">
            <v>KQU04-06</v>
          </cell>
          <cell r="B1331" t="str">
            <v>KQ2U04-06A</v>
          </cell>
          <cell r="C1331">
            <v>0</v>
          </cell>
          <cell r="D1331">
            <v>0</v>
          </cell>
          <cell r="E1331">
            <v>0</v>
          </cell>
          <cell r="F1331">
            <v>7.5828480000000003</v>
          </cell>
        </row>
        <row r="1332">
          <cell r="A1332" t="str">
            <v>KQU06-00</v>
          </cell>
          <cell r="B1332">
            <v>0</v>
          </cell>
          <cell r="C1332">
            <v>91000220</v>
          </cell>
          <cell r="D1332">
            <v>0</v>
          </cell>
          <cell r="E1332" t="str">
            <v>FITTING-UNION Y 6MMX12.8</v>
          </cell>
          <cell r="F1332">
            <v>9.3933</v>
          </cell>
        </row>
        <row r="1333">
          <cell r="A1333" t="str">
            <v>KQU08-00</v>
          </cell>
          <cell r="B1333">
            <v>0</v>
          </cell>
          <cell r="C1333">
            <v>4020142</v>
          </cell>
          <cell r="D1333">
            <v>0</v>
          </cell>
          <cell r="E1333" t="str">
            <v>FITTING KQU08-00</v>
          </cell>
          <cell r="F1333">
            <v>11.2455</v>
          </cell>
        </row>
        <row r="1334">
          <cell r="A1334" t="str">
            <v>KQU23-00</v>
          </cell>
          <cell r="B1334" t="str">
            <v>KQ2U23-00A</v>
          </cell>
          <cell r="C1334">
            <v>0</v>
          </cell>
          <cell r="D1334">
            <v>0</v>
          </cell>
          <cell r="E1334">
            <v>0</v>
          </cell>
          <cell r="F1334">
            <v>6.1151999999999997</v>
          </cell>
        </row>
        <row r="1335">
          <cell r="A1335" t="str">
            <v>KQV06-M5</v>
          </cell>
          <cell r="B1335">
            <v>0</v>
          </cell>
          <cell r="C1335">
            <v>4020104</v>
          </cell>
          <cell r="D1335">
            <v>0</v>
          </cell>
          <cell r="E1335" t="str">
            <v>FITTING BANJO KQV06-M5</v>
          </cell>
          <cell r="F1335">
            <v>8.2026000000000003</v>
          </cell>
        </row>
        <row r="1336">
          <cell r="A1336" t="str">
            <v>KQW06-M5</v>
          </cell>
          <cell r="B1336">
            <v>0</v>
          </cell>
          <cell r="C1336">
            <v>1305134</v>
          </cell>
          <cell r="D1336">
            <v>0</v>
          </cell>
          <cell r="E1336" t="str">
            <v>ELBOW-UNION M5M 6/4</v>
          </cell>
          <cell r="F1336">
            <v>8.4672000000000001</v>
          </cell>
        </row>
        <row r="1337">
          <cell r="A1337" t="str">
            <v>KQY10-02S</v>
          </cell>
          <cell r="B1337">
            <v>0</v>
          </cell>
          <cell r="C1337">
            <v>1305180</v>
          </cell>
          <cell r="D1337">
            <v>0</v>
          </cell>
          <cell r="E1337">
            <v>0</v>
          </cell>
          <cell r="F1337">
            <v>13.274100000000001</v>
          </cell>
        </row>
        <row r="1338">
          <cell r="A1338" t="str">
            <v>KQZF06-01</v>
          </cell>
          <cell r="B1338">
            <v>0</v>
          </cell>
          <cell r="C1338">
            <v>4020016</v>
          </cell>
          <cell r="D1338">
            <v>0</v>
          </cell>
          <cell r="E1338" t="str">
            <v>FITTING KQZF06-01</v>
          </cell>
          <cell r="F1338">
            <v>12.171600000000002</v>
          </cell>
        </row>
        <row r="1339">
          <cell r="A1339" t="str">
            <v>KSH04-M5</v>
          </cell>
          <cell r="B1339">
            <v>0</v>
          </cell>
          <cell r="C1339">
            <v>7025549</v>
          </cell>
          <cell r="D1339">
            <v>0</v>
          </cell>
          <cell r="E1339">
            <v>0</v>
          </cell>
          <cell r="F1339">
            <v>26.3277</v>
          </cell>
        </row>
        <row r="1340">
          <cell r="A1340" t="str">
            <v>KSH06-M5</v>
          </cell>
          <cell r="B1340">
            <v>0</v>
          </cell>
          <cell r="C1340">
            <v>1360384</v>
          </cell>
          <cell r="D1340">
            <v>0</v>
          </cell>
          <cell r="E1340" t="str">
            <v>FITTING-STRAIGHT M5M 6/4</v>
          </cell>
          <cell r="F1340">
            <v>27.6066</v>
          </cell>
        </row>
        <row r="1341">
          <cell r="A1341" t="str">
            <v>KSH06-M6</v>
          </cell>
          <cell r="B1341">
            <v>0</v>
          </cell>
          <cell r="C1341">
            <v>1305196</v>
          </cell>
          <cell r="D1341">
            <v>0</v>
          </cell>
          <cell r="E1341" t="str">
            <v>FITTING-STRAIGHT M6M 6/4</v>
          </cell>
          <cell r="F1341">
            <v>27.6066</v>
          </cell>
        </row>
        <row r="1342">
          <cell r="A1342" t="str">
            <v>KSH08-01S</v>
          </cell>
          <cell r="B1342">
            <v>0</v>
          </cell>
          <cell r="C1342">
            <v>1360290</v>
          </cell>
          <cell r="D1342">
            <v>0</v>
          </cell>
          <cell r="E1342">
            <v>0</v>
          </cell>
          <cell r="F1342">
            <v>33.516000000000005</v>
          </cell>
        </row>
        <row r="1343">
          <cell r="A1343" t="str">
            <v>KSL03-34S</v>
          </cell>
          <cell r="B1343">
            <v>0</v>
          </cell>
          <cell r="C1343">
            <v>91011470</v>
          </cell>
          <cell r="D1343">
            <v>0</v>
          </cell>
          <cell r="E1343">
            <v>0</v>
          </cell>
          <cell r="F1343">
            <v>26.46</v>
          </cell>
        </row>
        <row r="1344">
          <cell r="A1344" t="str">
            <v>KSL04-M5</v>
          </cell>
          <cell r="B1344">
            <v>0</v>
          </cell>
          <cell r="C1344">
            <v>1261798</v>
          </cell>
          <cell r="D1344">
            <v>3603011</v>
          </cell>
          <cell r="E1344" t="str">
            <v>FITTING,ELBOW 4MM,5MM THD</v>
          </cell>
          <cell r="F1344">
            <v>26.46</v>
          </cell>
        </row>
        <row r="1345">
          <cell r="A1345" t="str">
            <v>KSL06-01S</v>
          </cell>
          <cell r="B1345">
            <v>0</v>
          </cell>
          <cell r="C1345">
            <v>1305199</v>
          </cell>
          <cell r="D1345">
            <v>0</v>
          </cell>
          <cell r="E1345">
            <v>0</v>
          </cell>
          <cell r="F1345">
            <v>21.201074999999999</v>
          </cell>
        </row>
        <row r="1346">
          <cell r="A1346" t="str">
            <v>KSL06-M5</v>
          </cell>
          <cell r="B1346">
            <v>0</v>
          </cell>
          <cell r="C1346">
            <v>1305198</v>
          </cell>
          <cell r="D1346">
            <v>0</v>
          </cell>
          <cell r="E1346" t="str">
            <v>ELBOW-UNION-ROTARY M5M 6/4</v>
          </cell>
          <cell r="F1346">
            <v>28.268099999999997</v>
          </cell>
        </row>
        <row r="1347">
          <cell r="A1347" t="str">
            <v>KSL08-03S</v>
          </cell>
          <cell r="B1347">
            <v>0</v>
          </cell>
          <cell r="C1347">
            <v>0</v>
          </cell>
          <cell r="D1347" t="str">
            <v>80.0001.0905</v>
          </cell>
          <cell r="E1347" t="str">
            <v>Fitting</v>
          </cell>
          <cell r="F1347">
            <v>32.247487999999997</v>
          </cell>
        </row>
        <row r="1348">
          <cell r="A1348" t="str">
            <v>KSL10-03S</v>
          </cell>
          <cell r="B1348">
            <v>0</v>
          </cell>
          <cell r="C1348">
            <v>1305254</v>
          </cell>
          <cell r="D1348">
            <v>0</v>
          </cell>
          <cell r="E1348">
            <v>0</v>
          </cell>
          <cell r="F1348">
            <v>44.1</v>
          </cell>
        </row>
        <row r="1349">
          <cell r="A1349" t="str">
            <v>KXL04-M5</v>
          </cell>
          <cell r="B1349">
            <v>0</v>
          </cell>
          <cell r="C1349">
            <v>0</v>
          </cell>
          <cell r="D1349" t="str">
            <v>80.0001.1435</v>
          </cell>
          <cell r="E1349" t="str">
            <v>Fitting (ball race)</v>
          </cell>
          <cell r="F1349">
            <v>86.102016000000006</v>
          </cell>
        </row>
        <row r="1350">
          <cell r="A1350" t="str">
            <v>KXL06-01S</v>
          </cell>
          <cell r="B1350">
            <v>0</v>
          </cell>
          <cell r="C1350">
            <v>91102440</v>
          </cell>
          <cell r="D1350">
            <v>0</v>
          </cell>
          <cell r="E1350">
            <v>0</v>
          </cell>
          <cell r="F1350">
            <v>81.805500000000009</v>
          </cell>
        </row>
        <row r="1351">
          <cell r="A1351" t="str">
            <v>LXFHABC-75S-X20A</v>
          </cell>
          <cell r="B1351">
            <v>0</v>
          </cell>
          <cell r="C1351">
            <v>4000967</v>
          </cell>
          <cell r="D1351">
            <v>0</v>
          </cell>
          <cell r="E1351" t="str">
            <v>LINEAR SPINDLE DRIVE</v>
          </cell>
          <cell r="F1351">
            <v>1670.1993</v>
          </cell>
        </row>
        <row r="1352">
          <cell r="A1352" t="str">
            <v>M-01H-4</v>
          </cell>
          <cell r="B1352">
            <v>0</v>
          </cell>
          <cell r="C1352" t="str">
            <v>91101430/  G1003802</v>
          </cell>
          <cell r="D1352" t="str">
            <v>80.0000.2168</v>
          </cell>
          <cell r="E1352" t="str">
            <v>Pneumatic Fitting</v>
          </cell>
          <cell r="F1352">
            <v>2.3814000000000002</v>
          </cell>
        </row>
        <row r="1353">
          <cell r="A1353" t="str">
            <v>M-01H-6</v>
          </cell>
          <cell r="B1353">
            <v>0</v>
          </cell>
          <cell r="C1353">
            <v>1305267</v>
          </cell>
          <cell r="D1353" t="str">
            <v>80.0000.0957</v>
          </cell>
          <cell r="E1353" t="str">
            <v>Pneumatic Fitting</v>
          </cell>
          <cell r="F1353">
            <v>2.4108000000000001</v>
          </cell>
        </row>
        <row r="1354">
          <cell r="A1354" t="str">
            <v>M-3ALU-2</v>
          </cell>
          <cell r="B1354">
            <v>0</v>
          </cell>
          <cell r="C1354">
            <v>1361168</v>
          </cell>
          <cell r="D1354">
            <v>0</v>
          </cell>
          <cell r="E1354" t="str">
            <v>ELBOW-UNION M3M 2/1.2</v>
          </cell>
          <cell r="F1354">
            <v>12.103</v>
          </cell>
        </row>
        <row r="1355">
          <cell r="A1355" t="str">
            <v>M-3ALU-3</v>
          </cell>
          <cell r="B1355">
            <v>0</v>
          </cell>
          <cell r="C1355">
            <v>91100970</v>
          </cell>
          <cell r="D1355">
            <v>3601670</v>
          </cell>
          <cell r="E1355" t="str">
            <v>FITTING,ELBOW,BARB M3-3MM</v>
          </cell>
          <cell r="F1355">
            <v>4.1999999999999993</v>
          </cell>
        </row>
        <row r="1356">
          <cell r="A1356" t="str">
            <v>M-3ALU-4</v>
          </cell>
          <cell r="B1356">
            <v>0</v>
          </cell>
          <cell r="C1356">
            <v>1305104</v>
          </cell>
          <cell r="D1356">
            <v>3601560</v>
          </cell>
          <cell r="E1356" t="str">
            <v>FITTING,BARBED-ELBOW M3X0.5ID8</v>
          </cell>
          <cell r="F1356">
            <v>3.1457999999999995</v>
          </cell>
        </row>
        <row r="1357">
          <cell r="A1357" t="str">
            <v>M-3AU-2</v>
          </cell>
          <cell r="B1357">
            <v>0</v>
          </cell>
          <cell r="C1357">
            <v>1360701</v>
          </cell>
          <cell r="D1357" t="str">
            <v>80.0000.1101</v>
          </cell>
          <cell r="E1357" t="str">
            <v>Fitting</v>
          </cell>
          <cell r="F1357">
            <v>3.8807999999999994</v>
          </cell>
        </row>
        <row r="1358">
          <cell r="A1358" t="str">
            <v>M-3AU-3</v>
          </cell>
          <cell r="B1358">
            <v>0</v>
          </cell>
          <cell r="C1358">
            <v>1305245</v>
          </cell>
          <cell r="D1358">
            <v>0</v>
          </cell>
          <cell r="E1358" t="str">
            <v>FITTING, BARBED,M3,2MM ID</v>
          </cell>
          <cell r="F1358">
            <v>1.3406400000000001</v>
          </cell>
        </row>
        <row r="1359">
          <cell r="A1359" t="str">
            <v>M-3AU-4</v>
          </cell>
          <cell r="B1359">
            <v>0</v>
          </cell>
          <cell r="C1359" t="str">
            <v>1305103/ D1003188</v>
          </cell>
          <cell r="D1359">
            <v>3601559</v>
          </cell>
          <cell r="E1359" t="str">
            <v>FITTING,BARBED STRAIGHT M3X0.5</v>
          </cell>
          <cell r="F1359">
            <v>1.1759999999999999</v>
          </cell>
        </row>
        <row r="1360">
          <cell r="A1360" t="str">
            <v>M-3P</v>
          </cell>
          <cell r="B1360">
            <v>0</v>
          </cell>
          <cell r="C1360">
            <v>1585334</v>
          </cell>
          <cell r="D1360">
            <v>0</v>
          </cell>
          <cell r="E1360" t="str">
            <v>CAP MALE M3</v>
          </cell>
          <cell r="F1360">
            <v>1.47</v>
          </cell>
        </row>
        <row r="1361">
          <cell r="A1361" t="str">
            <v>M-3UL</v>
          </cell>
          <cell r="B1361">
            <v>0</v>
          </cell>
          <cell r="C1361">
            <v>0</v>
          </cell>
          <cell r="D1361" t="str">
            <v>80.0000.1023</v>
          </cell>
          <cell r="E1361" t="str">
            <v>Elbow Screw Fitting</v>
          </cell>
          <cell r="F1361">
            <v>4.1943999999999999</v>
          </cell>
        </row>
        <row r="1362">
          <cell r="A1362" t="str">
            <v>M-3UT</v>
          </cell>
          <cell r="B1362">
            <v>0</v>
          </cell>
          <cell r="C1362">
            <v>0</v>
          </cell>
          <cell r="D1362" t="str">
            <v>3602941/ 80.0000.2966</v>
          </cell>
          <cell r="E1362" t="str">
            <v>FITTING,UNIV TEE,M3 STUD</v>
          </cell>
          <cell r="F1362">
            <v>4.0768000000000004</v>
          </cell>
        </row>
        <row r="1363">
          <cell r="A1363" t="str">
            <v>M-5ALN-4</v>
          </cell>
          <cell r="B1363">
            <v>0</v>
          </cell>
          <cell r="C1363" t="str">
            <v>G1003785</v>
          </cell>
          <cell r="D1363" t="str">
            <v>80.0000.0348</v>
          </cell>
          <cell r="E1363" t="str">
            <v>Pneumatic Fitting</v>
          </cell>
          <cell r="F1363">
            <v>5.4221440000000003</v>
          </cell>
        </row>
        <row r="1364">
          <cell r="A1364" t="str">
            <v>M-5ALU-3</v>
          </cell>
          <cell r="B1364">
            <v>0</v>
          </cell>
          <cell r="C1364">
            <v>0</v>
          </cell>
          <cell r="D1364">
            <v>3601669</v>
          </cell>
          <cell r="E1364" t="str">
            <v>FITTING,ELBOW,BARB M5-3MM</v>
          </cell>
          <cell r="F1364">
            <v>6.8082559999999992</v>
          </cell>
        </row>
        <row r="1365">
          <cell r="A1365" t="str">
            <v>M-5ALU-4</v>
          </cell>
          <cell r="B1365">
            <v>0</v>
          </cell>
          <cell r="C1365">
            <v>1305169</v>
          </cell>
          <cell r="D1365">
            <v>3601218</v>
          </cell>
          <cell r="E1365" t="str">
            <v>FITT ELBOW HOSE BARB M5X 0.8SS</v>
          </cell>
          <cell r="F1365">
            <v>4.3805999999999994</v>
          </cell>
        </row>
        <row r="1366">
          <cell r="A1366" t="str">
            <v>M-5ALU-6</v>
          </cell>
          <cell r="B1366">
            <v>0</v>
          </cell>
          <cell r="C1366">
            <v>0</v>
          </cell>
          <cell r="D1366" t="str">
            <v>3601403/ 80.0000.0523</v>
          </cell>
          <cell r="E1366" t="str">
            <v>FITTING,BARB ELBOW</v>
          </cell>
          <cell r="F1366">
            <v>6.2782720000000003</v>
          </cell>
        </row>
        <row r="1367">
          <cell r="A1367" t="str">
            <v>M-5AU-3</v>
          </cell>
          <cell r="B1367">
            <v>0</v>
          </cell>
          <cell r="C1367">
            <v>0</v>
          </cell>
          <cell r="D1367" t="str">
            <v>3601280/ 80.0001.0301</v>
          </cell>
          <cell r="E1367" t="str">
            <v>FITTING,BARB M5 X .8</v>
          </cell>
          <cell r="F1367">
            <v>1.9976320000000001</v>
          </cell>
        </row>
        <row r="1368">
          <cell r="A1368" t="str">
            <v>M-5AU-4</v>
          </cell>
          <cell r="B1368">
            <v>0</v>
          </cell>
          <cell r="C1368">
            <v>1305232</v>
          </cell>
          <cell r="D1368">
            <v>3601309</v>
          </cell>
          <cell r="E1368" t="str">
            <v>FITTING HOSE BARBED</v>
          </cell>
          <cell r="F1368">
            <v>1.6072</v>
          </cell>
        </row>
        <row r="1369">
          <cell r="A1369" t="str">
            <v>M-5AU-6</v>
          </cell>
          <cell r="B1369">
            <v>0</v>
          </cell>
          <cell r="C1369">
            <v>91100230</v>
          </cell>
          <cell r="D1369">
            <v>3603454</v>
          </cell>
          <cell r="E1369" t="str">
            <v>FITTING,M5,6MM,BARB</v>
          </cell>
          <cell r="F1369">
            <v>1.6072</v>
          </cell>
        </row>
        <row r="1370">
          <cell r="A1370" t="str">
            <v>M-5B</v>
          </cell>
          <cell r="B1370">
            <v>0</v>
          </cell>
          <cell r="C1370">
            <v>1360167</v>
          </cell>
          <cell r="D1370" t="str">
            <v>80.0001.0196</v>
          </cell>
          <cell r="E1370" t="str">
            <v>Reduction</v>
          </cell>
          <cell r="F1370">
            <v>1.0584</v>
          </cell>
        </row>
        <row r="1371">
          <cell r="A1371" t="str">
            <v>M-5E</v>
          </cell>
          <cell r="B1371">
            <v>0</v>
          </cell>
          <cell r="C1371">
            <v>0</v>
          </cell>
          <cell r="D1371" t="str">
            <v>80.0001.0187</v>
          </cell>
          <cell r="E1371" t="str">
            <v>Fitting Connector</v>
          </cell>
          <cell r="F1371">
            <v>2.8129919999999999</v>
          </cell>
        </row>
        <row r="1372">
          <cell r="A1372" t="str">
            <v>M-5H-4</v>
          </cell>
          <cell r="B1372">
            <v>0</v>
          </cell>
          <cell r="C1372">
            <v>1305186</v>
          </cell>
          <cell r="D1372" t="str">
            <v>80.0000.1897</v>
          </cell>
          <cell r="E1372" t="str">
            <v>Pneumatic Fitting</v>
          </cell>
          <cell r="F1372">
            <v>1.6758</v>
          </cell>
        </row>
        <row r="1373">
          <cell r="A1373" t="str">
            <v>M-5H-6</v>
          </cell>
          <cell r="B1373">
            <v>0</v>
          </cell>
          <cell r="C1373">
            <v>1360162</v>
          </cell>
          <cell r="D1373" t="str">
            <v>80.0000.1815</v>
          </cell>
          <cell r="E1373" t="str">
            <v>Pneumatic Fitting</v>
          </cell>
          <cell r="F1373">
            <v>1.25685</v>
          </cell>
        </row>
        <row r="1374">
          <cell r="A1374" t="str">
            <v>M-5HL-4</v>
          </cell>
          <cell r="B1374">
            <v>0</v>
          </cell>
          <cell r="C1374">
            <v>1360163</v>
          </cell>
          <cell r="D1374">
            <v>3601413</v>
          </cell>
          <cell r="E1374" t="str">
            <v>FITTING,90 DEGREE</v>
          </cell>
          <cell r="F1374">
            <v>5.3213999999999997</v>
          </cell>
        </row>
        <row r="1375">
          <cell r="A1375" t="str">
            <v>M-5HL-6</v>
          </cell>
          <cell r="B1375">
            <v>0</v>
          </cell>
          <cell r="C1375">
            <v>1360164</v>
          </cell>
          <cell r="D1375" t="str">
            <v>80.0001.0164</v>
          </cell>
          <cell r="E1375" t="str">
            <v>Fitting Angle 6mm</v>
          </cell>
          <cell r="F1375">
            <v>3.9910499999999995</v>
          </cell>
        </row>
        <row r="1376">
          <cell r="A1376" t="str">
            <v>M-5J</v>
          </cell>
          <cell r="B1376">
            <v>0</v>
          </cell>
          <cell r="C1376">
            <v>4020106</v>
          </cell>
          <cell r="D1376" t="str">
            <v>80.0001.1405</v>
          </cell>
          <cell r="E1376" t="str">
            <v>Fitting (Extension)</v>
          </cell>
          <cell r="F1376">
            <v>1.0289999999999999</v>
          </cell>
        </row>
        <row r="1377">
          <cell r="A1377" t="str">
            <v>M-5L</v>
          </cell>
          <cell r="B1377">
            <v>0</v>
          </cell>
          <cell r="C1377">
            <v>1305300</v>
          </cell>
          <cell r="D1377">
            <v>0</v>
          </cell>
          <cell r="E1377" t="str">
            <v>ELBOW-UNION M5F M5F</v>
          </cell>
          <cell r="F1377">
            <v>1.9844999999999999</v>
          </cell>
        </row>
        <row r="1378">
          <cell r="A1378" t="str">
            <v>M-5N</v>
          </cell>
          <cell r="B1378">
            <v>0</v>
          </cell>
          <cell r="C1378">
            <v>1360166</v>
          </cell>
          <cell r="D1378">
            <v>0</v>
          </cell>
          <cell r="E1378" t="str">
            <v>JOINT-SOCKET-M5M M5M</v>
          </cell>
          <cell r="F1378">
            <v>1.5876000000000001</v>
          </cell>
        </row>
        <row r="1379">
          <cell r="A1379" t="str">
            <v>M-5P</v>
          </cell>
          <cell r="B1379">
            <v>0</v>
          </cell>
          <cell r="C1379" t="str">
            <v>1317003/ 1305187/ D1002733/ G1005387</v>
          </cell>
          <cell r="D1379" t="str">
            <v>655-595/  3601392/ 80.0001.0239</v>
          </cell>
          <cell r="E1379" t="str">
            <v>FITTING,PLUG</v>
          </cell>
          <cell r="F1379">
            <v>0.64680000000000004</v>
          </cell>
        </row>
        <row r="1380">
          <cell r="A1380" t="str">
            <v>M-5UL</v>
          </cell>
          <cell r="B1380">
            <v>0</v>
          </cell>
          <cell r="C1380">
            <v>1360165</v>
          </cell>
          <cell r="D1380" t="str">
            <v>80.0001.0261</v>
          </cell>
          <cell r="E1380" t="str">
            <v>Pneumatic Fitting</v>
          </cell>
          <cell r="F1380">
            <v>2.0837249999999998</v>
          </cell>
        </row>
        <row r="1381">
          <cell r="A1381" t="str">
            <v>M-5UT</v>
          </cell>
          <cell r="B1381">
            <v>0</v>
          </cell>
          <cell r="C1381">
            <v>1305294</v>
          </cell>
          <cell r="D1381" t="str">
            <v>80.0000.2965</v>
          </cell>
          <cell r="E1381" t="str">
            <v>Pneumatic Universal tee</v>
          </cell>
          <cell r="F1381">
            <v>3.0370199999999996</v>
          </cell>
        </row>
        <row r="1382">
          <cell r="A1382" t="str">
            <v>MDHR2-15R-M9PL</v>
          </cell>
          <cell r="B1382">
            <v>0</v>
          </cell>
          <cell r="C1382">
            <v>1361156</v>
          </cell>
          <cell r="D1382">
            <v>0</v>
          </cell>
          <cell r="E1382" t="str">
            <v>GRIPPER-PARALLEL C= 8 2 JAWS DE</v>
          </cell>
          <cell r="F1382">
            <v>999.87439999999992</v>
          </cell>
        </row>
        <row r="1383">
          <cell r="A1383" t="str">
            <v>MDHR3-15R</v>
          </cell>
          <cell r="B1383">
            <v>0</v>
          </cell>
          <cell r="C1383">
            <v>1127380</v>
          </cell>
          <cell r="D1383">
            <v>0</v>
          </cell>
          <cell r="E1383" t="str">
            <v>GRIPPER-CONCENTRIC S= 8 3 JAWS DE</v>
          </cell>
          <cell r="F1383">
            <v>971.61119999999994</v>
          </cell>
        </row>
        <row r="1384">
          <cell r="A1384" t="str">
            <v>MDSUB1-90D-S99</v>
          </cell>
          <cell r="B1384">
            <v>0</v>
          </cell>
          <cell r="C1384">
            <v>91303490</v>
          </cell>
          <cell r="D1384">
            <v>0</v>
          </cell>
          <cell r="E1384" t="str">
            <v>TABLE-ROTARY VANE SIZE 1 90 DEG.</v>
          </cell>
          <cell r="F1384">
            <v>972.46673999999996</v>
          </cell>
        </row>
        <row r="1385">
          <cell r="A1385" t="str">
            <v>MDUB25-20-DM</v>
          </cell>
          <cell r="B1385" t="str">
            <v>MDUB25-20DMZ</v>
          </cell>
          <cell r="C1385">
            <v>1262010</v>
          </cell>
          <cell r="D1385">
            <v>0</v>
          </cell>
          <cell r="E1385">
            <v>0</v>
          </cell>
          <cell r="F1385">
            <v>164.31660000000002</v>
          </cell>
        </row>
        <row r="1386">
          <cell r="A1386" t="str">
            <v>MGJ10-10</v>
          </cell>
          <cell r="B1386">
            <v>0</v>
          </cell>
          <cell r="C1386">
            <v>1261066</v>
          </cell>
          <cell r="D1386">
            <v>0</v>
          </cell>
          <cell r="E1386">
            <v>0</v>
          </cell>
          <cell r="F1386">
            <v>202.59539999999998</v>
          </cell>
        </row>
        <row r="1387">
          <cell r="A1387" t="str">
            <v>MGJ10-20-F8NL</v>
          </cell>
          <cell r="B1387">
            <v>0</v>
          </cell>
          <cell r="C1387">
            <v>4001817</v>
          </cell>
          <cell r="D1387">
            <v>0</v>
          </cell>
          <cell r="E1387" t="str">
            <v>CYLINDER LINEAR 006 0020</v>
          </cell>
          <cell r="F1387">
            <v>369.803</v>
          </cell>
        </row>
        <row r="1388">
          <cell r="A1388" t="str">
            <v>MGJ10-5</v>
          </cell>
          <cell r="B1388">
            <v>0</v>
          </cell>
          <cell r="C1388">
            <v>0</v>
          </cell>
          <cell r="D1388" t="str">
            <v>80.0001.0919</v>
          </cell>
          <cell r="E1388" t="str">
            <v>Guiding Cylinder MGJ10-5</v>
          </cell>
          <cell r="F1388">
            <v>261.60825599999998</v>
          </cell>
        </row>
        <row r="1389">
          <cell r="A1389" t="str">
            <v>MGJ10-5-F8B</v>
          </cell>
          <cell r="B1389">
            <v>0</v>
          </cell>
          <cell r="C1389">
            <v>4001367</v>
          </cell>
          <cell r="D1389">
            <v>0</v>
          </cell>
          <cell r="E1389" t="str">
            <v>CYLINDER-LINEAR DE 010 0005</v>
          </cell>
          <cell r="F1389">
            <v>303.8931</v>
          </cell>
        </row>
        <row r="1390">
          <cell r="A1390" t="str">
            <v>MGJ6-10</v>
          </cell>
          <cell r="B1390">
            <v>0</v>
          </cell>
          <cell r="C1390">
            <v>0</v>
          </cell>
          <cell r="D1390" t="str">
            <v>80.0000.9439</v>
          </cell>
          <cell r="E1390" t="str">
            <v>Cylinder with Guiding</v>
          </cell>
          <cell r="F1390">
            <v>244.89337599999999</v>
          </cell>
        </row>
        <row r="1391">
          <cell r="A1391" t="str">
            <v>MGJ6-2</v>
          </cell>
          <cell r="B1391">
            <v>0</v>
          </cell>
          <cell r="C1391">
            <v>0</v>
          </cell>
          <cell r="D1391" t="str">
            <v>80.0001.1546</v>
          </cell>
          <cell r="E1391" t="str">
            <v>Cylinder with guiding</v>
          </cell>
          <cell r="F1391">
            <v>246.27948799999999</v>
          </cell>
        </row>
        <row r="1392">
          <cell r="A1392" t="str">
            <v>MGJ6-5</v>
          </cell>
          <cell r="B1392">
            <v>0</v>
          </cell>
          <cell r="C1392">
            <v>0</v>
          </cell>
          <cell r="D1392" t="str">
            <v>80.0001.0968</v>
          </cell>
          <cell r="E1392" t="str">
            <v>Cylinder with Guiding</v>
          </cell>
          <cell r="F1392">
            <v>231.15260000000001</v>
          </cell>
        </row>
        <row r="1393">
          <cell r="A1393" t="str">
            <v>MGP M20TF-125</v>
          </cell>
          <cell r="B1393" t="str">
            <v>MGPM20TF-125Z</v>
          </cell>
          <cell r="C1393">
            <v>1260881</v>
          </cell>
          <cell r="D1393">
            <v>0</v>
          </cell>
          <cell r="E1393">
            <v>0</v>
          </cell>
          <cell r="F1393">
            <v>311.5224</v>
          </cell>
        </row>
        <row r="1394">
          <cell r="A1394" t="str">
            <v>MGPL 63TF-25A</v>
          </cell>
          <cell r="B1394" t="str">
            <v>MGPL63TF-25AZ</v>
          </cell>
          <cell r="C1394">
            <v>1261019</v>
          </cell>
          <cell r="D1394">
            <v>0</v>
          </cell>
          <cell r="E1394">
            <v>0</v>
          </cell>
          <cell r="F1394">
            <v>1014.1235999999999</v>
          </cell>
        </row>
        <row r="1395">
          <cell r="A1395" t="str">
            <v>MGPL16-10</v>
          </cell>
          <cell r="B1395">
            <v>0</v>
          </cell>
          <cell r="C1395">
            <v>1260225</v>
          </cell>
          <cell r="D1395">
            <v>0</v>
          </cell>
          <cell r="E1395" t="str">
            <v>CYLINDER-LINEAR DE 016 0010</v>
          </cell>
          <cell r="F1395">
            <v>350.24220000000003</v>
          </cell>
        </row>
        <row r="1396">
          <cell r="A1396" t="str">
            <v>MGPL16-10-Y59A</v>
          </cell>
          <cell r="B1396">
            <v>0</v>
          </cell>
          <cell r="C1396">
            <v>91300870</v>
          </cell>
          <cell r="D1396">
            <v>0</v>
          </cell>
          <cell r="E1396" t="str">
            <v>CYLINDER-GUIDE COMPACT 16X10MM STR</v>
          </cell>
          <cell r="F1396">
            <v>398.09070000000003</v>
          </cell>
        </row>
        <row r="1397">
          <cell r="A1397" t="str">
            <v>MGPL16-10Z</v>
          </cell>
          <cell r="B1397">
            <v>0</v>
          </cell>
          <cell r="C1397">
            <v>4001550</v>
          </cell>
          <cell r="D1397">
            <v>0</v>
          </cell>
          <cell r="E1397" t="str">
            <v>CYLINDER-LINEAR BORE 16-STROKE 10</v>
          </cell>
          <cell r="F1397">
            <v>304.69425000000001</v>
          </cell>
        </row>
        <row r="1398">
          <cell r="A1398" t="str">
            <v>MGPL16-30</v>
          </cell>
          <cell r="B1398">
            <v>0</v>
          </cell>
          <cell r="C1398">
            <v>1260898</v>
          </cell>
          <cell r="D1398">
            <v>0</v>
          </cell>
          <cell r="E1398">
            <v>0</v>
          </cell>
          <cell r="F1398">
            <v>362.23739999999998</v>
          </cell>
        </row>
        <row r="1399">
          <cell r="A1399" t="str">
            <v>MGPL16-75</v>
          </cell>
          <cell r="B1399">
            <v>0</v>
          </cell>
          <cell r="C1399">
            <v>1262075</v>
          </cell>
          <cell r="D1399">
            <v>0</v>
          </cell>
          <cell r="E1399">
            <v>0</v>
          </cell>
          <cell r="F1399">
            <v>256.99520000000001</v>
          </cell>
        </row>
        <row r="1400">
          <cell r="A1400" t="str">
            <v>MGPL16-75Z</v>
          </cell>
          <cell r="B1400">
            <v>0</v>
          </cell>
          <cell r="C1400">
            <v>4001549</v>
          </cell>
          <cell r="D1400">
            <v>0</v>
          </cell>
          <cell r="E1400">
            <v>0</v>
          </cell>
          <cell r="F1400">
            <v>537.87300000000005</v>
          </cell>
        </row>
        <row r="1401">
          <cell r="A1401" t="str">
            <v>MGPL32-50</v>
          </cell>
          <cell r="B1401">
            <v>0</v>
          </cell>
          <cell r="C1401">
            <v>1261010</v>
          </cell>
          <cell r="D1401">
            <v>0</v>
          </cell>
          <cell r="E1401">
            <v>0</v>
          </cell>
          <cell r="F1401">
            <v>577.79820000000007</v>
          </cell>
        </row>
        <row r="1402">
          <cell r="A1402" t="str">
            <v>MGPL50-50</v>
          </cell>
          <cell r="B1402">
            <v>0</v>
          </cell>
          <cell r="C1402">
            <v>1261011</v>
          </cell>
          <cell r="D1402">
            <v>0</v>
          </cell>
          <cell r="E1402">
            <v>0</v>
          </cell>
          <cell r="F1402">
            <v>793.71179999999993</v>
          </cell>
        </row>
        <row r="1403">
          <cell r="A1403" t="str">
            <v>MGPL63-25</v>
          </cell>
          <cell r="B1403">
            <v>0</v>
          </cell>
          <cell r="C1403">
            <v>1261012</v>
          </cell>
          <cell r="D1403">
            <v>0</v>
          </cell>
          <cell r="E1403">
            <v>0</v>
          </cell>
          <cell r="F1403">
            <v>836.66520000000003</v>
          </cell>
        </row>
        <row r="1404">
          <cell r="A1404" t="str">
            <v>MGPM 12-30</v>
          </cell>
          <cell r="B1404" t="str">
            <v xml:space="preserve"> MGPM12-30Z</v>
          </cell>
          <cell r="C1404">
            <v>1262087</v>
          </cell>
          <cell r="D1404">
            <v>0</v>
          </cell>
          <cell r="E1404" t="str">
            <v>CYLINDER-LINEAR 012 0030</v>
          </cell>
          <cell r="F1404">
            <v>279.45680000000004</v>
          </cell>
        </row>
        <row r="1405">
          <cell r="A1405" t="str">
            <v>MGPM12-10</v>
          </cell>
          <cell r="B1405">
            <v>0</v>
          </cell>
          <cell r="C1405">
            <v>1260617</v>
          </cell>
          <cell r="D1405">
            <v>0</v>
          </cell>
          <cell r="E1405" t="str">
            <v>CYLINDER-LINEAR DE 012 0010</v>
          </cell>
          <cell r="F1405">
            <v>169.13819999999998</v>
          </cell>
        </row>
        <row r="1406">
          <cell r="A1406" t="str">
            <v>MGPM12-100</v>
          </cell>
          <cell r="B1406">
            <v>0</v>
          </cell>
          <cell r="C1406">
            <v>4000892</v>
          </cell>
          <cell r="D1406">
            <v>0</v>
          </cell>
          <cell r="E1406" t="str">
            <v>CYLINDER-LINEAR DE 012 0100</v>
          </cell>
          <cell r="F1406">
            <v>240.56549999999999</v>
          </cell>
        </row>
        <row r="1407">
          <cell r="A1407" t="str">
            <v>MGPM12-10Z</v>
          </cell>
          <cell r="B1407">
            <v>0</v>
          </cell>
          <cell r="C1407">
            <v>4001547</v>
          </cell>
          <cell r="D1407">
            <v>0</v>
          </cell>
          <cell r="E1407" t="str">
            <v>CYLINDER-LINEAR DE 012 0010</v>
          </cell>
          <cell r="F1407">
            <v>310.84620000000001</v>
          </cell>
        </row>
        <row r="1408">
          <cell r="A1408" t="str">
            <v>MGPM12-125Z-M9PVM</v>
          </cell>
          <cell r="B1408">
            <v>0</v>
          </cell>
          <cell r="C1408">
            <v>1262143</v>
          </cell>
          <cell r="D1408">
            <v>0</v>
          </cell>
          <cell r="E1408" t="str">
            <v>CYLINDER-LINEAR BI-ROD C=125 2 SENSOR</v>
          </cell>
          <cell r="F1408">
            <v>361.98750000000001</v>
          </cell>
        </row>
        <row r="1409">
          <cell r="A1409" t="str">
            <v>MGPM12-20-Y59AL</v>
          </cell>
          <cell r="B1409">
            <v>0</v>
          </cell>
          <cell r="C1409">
            <v>91302050</v>
          </cell>
          <cell r="D1409">
            <v>0</v>
          </cell>
          <cell r="E1409">
            <v>0</v>
          </cell>
          <cell r="F1409">
            <v>382.9203</v>
          </cell>
        </row>
        <row r="1410">
          <cell r="A1410" t="str">
            <v>MGPM12-30Z</v>
          </cell>
          <cell r="B1410">
            <v>0</v>
          </cell>
          <cell r="C1410">
            <v>4001551</v>
          </cell>
          <cell r="D1410">
            <v>0</v>
          </cell>
          <cell r="E1410">
            <v>0</v>
          </cell>
          <cell r="F1410">
            <v>209.5926</v>
          </cell>
        </row>
        <row r="1411">
          <cell r="A1411" t="str">
            <v>MGPM12-40</v>
          </cell>
          <cell r="B1411">
            <v>0</v>
          </cell>
          <cell r="C1411">
            <v>1360680</v>
          </cell>
          <cell r="D1411">
            <v>0</v>
          </cell>
          <cell r="E1411">
            <v>0</v>
          </cell>
          <cell r="F1411">
            <v>202.7277</v>
          </cell>
        </row>
        <row r="1412">
          <cell r="A1412" t="str">
            <v>MGPM12-50</v>
          </cell>
          <cell r="B1412">
            <v>0</v>
          </cell>
          <cell r="C1412">
            <v>4001359</v>
          </cell>
          <cell r="D1412">
            <v>0</v>
          </cell>
          <cell r="E1412" t="str">
            <v>CYLINDER-LINEAR DE 012 0050</v>
          </cell>
          <cell r="F1412">
            <v>267.73109999999997</v>
          </cell>
        </row>
        <row r="1413">
          <cell r="A1413" t="str">
            <v>MGPM12-50Z</v>
          </cell>
          <cell r="B1413">
            <v>0</v>
          </cell>
          <cell r="C1413">
            <v>4001552</v>
          </cell>
          <cell r="D1413">
            <v>0</v>
          </cell>
          <cell r="E1413" t="str">
            <v>CYLINDER-LINEAR DE 012 0050</v>
          </cell>
          <cell r="F1413">
            <v>283.3768</v>
          </cell>
        </row>
        <row r="1414">
          <cell r="A1414" t="str">
            <v>MGPM16-30</v>
          </cell>
          <cell r="B1414">
            <v>0</v>
          </cell>
          <cell r="C1414">
            <v>1260654</v>
          </cell>
          <cell r="D1414">
            <v>0</v>
          </cell>
          <cell r="E1414">
            <v>0</v>
          </cell>
          <cell r="F1414">
            <v>210.53339999999997</v>
          </cell>
        </row>
        <row r="1415">
          <cell r="A1415" t="str">
            <v>MGPM16-50</v>
          </cell>
          <cell r="B1415">
            <v>0</v>
          </cell>
          <cell r="C1415">
            <v>4001188</v>
          </cell>
          <cell r="D1415">
            <v>0</v>
          </cell>
          <cell r="E1415" t="str">
            <v>CYLINDER-LINEAR DE 016 0050</v>
          </cell>
          <cell r="F1415">
            <v>219.41954999999999</v>
          </cell>
        </row>
        <row r="1416">
          <cell r="A1416" t="str">
            <v>MGPM20-10</v>
          </cell>
          <cell r="B1416">
            <v>0</v>
          </cell>
          <cell r="C1416">
            <v>97000490</v>
          </cell>
          <cell r="D1416">
            <v>0</v>
          </cell>
          <cell r="E1416">
            <v>0</v>
          </cell>
          <cell r="F1416">
            <v>240.12450000000001</v>
          </cell>
        </row>
        <row r="1417">
          <cell r="A1417" t="str">
            <v>MGPM25-50</v>
          </cell>
          <cell r="B1417" t="str">
            <v xml:space="preserve">MGPM25-50Z </v>
          </cell>
          <cell r="C1417">
            <v>97004090</v>
          </cell>
          <cell r="D1417">
            <v>0</v>
          </cell>
          <cell r="E1417">
            <v>0</v>
          </cell>
          <cell r="F1417">
            <v>312.51220000000001</v>
          </cell>
        </row>
        <row r="1418">
          <cell r="A1418" t="str">
            <v>MGPM25TF-125</v>
          </cell>
          <cell r="B1418">
            <v>0</v>
          </cell>
          <cell r="C1418">
            <v>1260274</v>
          </cell>
          <cell r="D1418">
            <v>0</v>
          </cell>
          <cell r="E1418">
            <v>0</v>
          </cell>
          <cell r="F1418">
            <v>365.63310000000001</v>
          </cell>
        </row>
        <row r="1419">
          <cell r="A1419" t="str">
            <v>MGPM25TF-25</v>
          </cell>
          <cell r="B1419">
            <v>0</v>
          </cell>
          <cell r="C1419">
            <v>1260083</v>
          </cell>
          <cell r="D1419">
            <v>0</v>
          </cell>
          <cell r="E1419">
            <v>0</v>
          </cell>
          <cell r="F1419">
            <v>658.58940000000007</v>
          </cell>
        </row>
        <row r="1420">
          <cell r="A1420" t="str">
            <v>MGQL12-10</v>
          </cell>
          <cell r="B1420">
            <v>0</v>
          </cell>
          <cell r="C1420">
            <v>1202722</v>
          </cell>
          <cell r="D1420">
            <v>0</v>
          </cell>
          <cell r="E1420" t="str">
            <v>CYLINDER-LINEAR DE 012 0010</v>
          </cell>
          <cell r="F1420">
            <v>368.10270000000003</v>
          </cell>
        </row>
        <row r="1421">
          <cell r="A1421" t="str">
            <v>MGQL12-20</v>
          </cell>
          <cell r="B1421">
            <v>0</v>
          </cell>
          <cell r="C1421">
            <v>1202736</v>
          </cell>
          <cell r="D1421">
            <v>0</v>
          </cell>
          <cell r="E1421" t="str">
            <v>CYLINDER-LINEAR DE 012 0020</v>
          </cell>
          <cell r="F1421">
            <v>380.4948</v>
          </cell>
        </row>
        <row r="1422">
          <cell r="A1422" t="str">
            <v>MGQL16-10</v>
          </cell>
          <cell r="B1422">
            <v>0</v>
          </cell>
          <cell r="C1422">
            <v>1202488</v>
          </cell>
          <cell r="D1422">
            <v>0</v>
          </cell>
          <cell r="E1422" t="str">
            <v>CYLINDER-LINEAR DE 016 0010</v>
          </cell>
          <cell r="F1422">
            <v>395.97390000000001</v>
          </cell>
        </row>
        <row r="1423">
          <cell r="A1423" t="str">
            <v>MGQL16-20</v>
          </cell>
          <cell r="B1423">
            <v>0</v>
          </cell>
          <cell r="C1423">
            <v>1202566</v>
          </cell>
          <cell r="D1423">
            <v>0</v>
          </cell>
          <cell r="E1423" t="str">
            <v>CYLINDER-LINEAR DE 016 0020</v>
          </cell>
          <cell r="F1423">
            <v>408.32189999999997</v>
          </cell>
        </row>
        <row r="1424">
          <cell r="A1424" t="str">
            <v>MGQL16-30</v>
          </cell>
          <cell r="B1424">
            <v>0</v>
          </cell>
          <cell r="C1424">
            <v>1202565</v>
          </cell>
          <cell r="D1424">
            <v>0</v>
          </cell>
          <cell r="E1424">
            <v>0</v>
          </cell>
          <cell r="F1424">
            <v>420.714</v>
          </cell>
        </row>
        <row r="1425">
          <cell r="A1425" t="str">
            <v>MGQM12-20</v>
          </cell>
          <cell r="B1425">
            <v>0</v>
          </cell>
          <cell r="C1425">
            <v>1202461</v>
          </cell>
          <cell r="D1425">
            <v>0</v>
          </cell>
          <cell r="E1425" t="str">
            <v>CYLINDER-LINEAR DE 012 0020</v>
          </cell>
          <cell r="F1425">
            <v>370.22832</v>
          </cell>
        </row>
        <row r="1426">
          <cell r="A1426" t="str">
            <v>MHC2-10D</v>
          </cell>
          <cell r="B1426">
            <v>0</v>
          </cell>
          <cell r="C1426">
            <v>4001336</v>
          </cell>
          <cell r="D1426">
            <v>0</v>
          </cell>
          <cell r="E1426" t="str">
            <v>GRIPPER-DOUBLE-EFFECT MHC2-10D</v>
          </cell>
          <cell r="F1426">
            <v>223.76339999999999</v>
          </cell>
        </row>
        <row r="1427">
          <cell r="A1427" t="str">
            <v>MHC2-20D</v>
          </cell>
          <cell r="B1427">
            <v>0</v>
          </cell>
          <cell r="C1427">
            <v>1360444</v>
          </cell>
          <cell r="D1427">
            <v>0</v>
          </cell>
          <cell r="E1427">
            <v>0</v>
          </cell>
          <cell r="F1427">
            <v>278.9325</v>
          </cell>
        </row>
        <row r="1428">
          <cell r="A1428" t="str">
            <v>MHF2-12D1</v>
          </cell>
          <cell r="B1428">
            <v>0</v>
          </cell>
          <cell r="C1428">
            <v>1360491</v>
          </cell>
          <cell r="D1428">
            <v>0</v>
          </cell>
          <cell r="E1428">
            <v>0</v>
          </cell>
          <cell r="F1428">
            <v>621.67769999999996</v>
          </cell>
        </row>
        <row r="1429">
          <cell r="A1429" t="str">
            <v>MHF2-16D</v>
          </cell>
          <cell r="B1429">
            <v>0</v>
          </cell>
          <cell r="C1429">
            <v>1360740</v>
          </cell>
          <cell r="D1429">
            <v>0</v>
          </cell>
          <cell r="E1429">
            <v>0</v>
          </cell>
          <cell r="F1429">
            <v>649.24019999999996</v>
          </cell>
        </row>
        <row r="1430">
          <cell r="A1430" t="str">
            <v>MHF2-16D1</v>
          </cell>
          <cell r="B1430">
            <v>0</v>
          </cell>
          <cell r="C1430">
            <v>1360829</v>
          </cell>
          <cell r="D1430">
            <v>0</v>
          </cell>
          <cell r="E1430">
            <v>0</v>
          </cell>
          <cell r="F1430">
            <v>685.97550000000001</v>
          </cell>
        </row>
        <row r="1431">
          <cell r="A1431" t="str">
            <v>MHF2-16D2R</v>
          </cell>
          <cell r="B1431">
            <v>0</v>
          </cell>
          <cell r="C1431">
            <v>1360706</v>
          </cell>
          <cell r="D1431">
            <v>0</v>
          </cell>
          <cell r="E1431">
            <v>0</v>
          </cell>
          <cell r="F1431">
            <v>780.92280000000005</v>
          </cell>
        </row>
        <row r="1432">
          <cell r="A1432" t="str">
            <v>MHF2-20D2</v>
          </cell>
          <cell r="B1432">
            <v>0</v>
          </cell>
          <cell r="C1432">
            <v>1361030</v>
          </cell>
          <cell r="D1432">
            <v>0</v>
          </cell>
          <cell r="E1432">
            <v>0</v>
          </cell>
          <cell r="F1432">
            <v>882</v>
          </cell>
        </row>
        <row r="1433">
          <cell r="A1433" t="str">
            <v>MHF2-8D</v>
          </cell>
          <cell r="B1433">
            <v>0</v>
          </cell>
          <cell r="C1433">
            <v>1360968</v>
          </cell>
          <cell r="D1433">
            <v>0</v>
          </cell>
          <cell r="E1433">
            <v>0</v>
          </cell>
          <cell r="F1433">
            <v>514.47059999999999</v>
          </cell>
        </row>
        <row r="1434">
          <cell r="A1434" t="str">
            <v>MHL2-10D</v>
          </cell>
          <cell r="B1434">
            <v>0</v>
          </cell>
          <cell r="C1434">
            <v>1260271</v>
          </cell>
          <cell r="D1434">
            <v>0</v>
          </cell>
          <cell r="E1434" t="str">
            <v>GRIPPER-PARALLEL S=20 DE</v>
          </cell>
          <cell r="F1434">
            <v>530.25840000000005</v>
          </cell>
        </row>
        <row r="1435">
          <cell r="A1435" t="str">
            <v>MHL2-10D1-Y59A</v>
          </cell>
          <cell r="B1435">
            <v>0</v>
          </cell>
          <cell r="C1435">
            <v>91300890</v>
          </cell>
          <cell r="D1435">
            <v>0</v>
          </cell>
          <cell r="E1435" t="str">
            <v>GRIPPER-PARALLEL WIDE DIA10X40 DBL ACT</v>
          </cell>
          <cell r="F1435">
            <v>698.80859999999996</v>
          </cell>
        </row>
        <row r="1436">
          <cell r="A1436" t="str">
            <v>MHL2-16D</v>
          </cell>
          <cell r="B1436">
            <v>0</v>
          </cell>
          <cell r="C1436">
            <v>1224051</v>
          </cell>
          <cell r="D1436">
            <v>0</v>
          </cell>
          <cell r="E1436" t="str">
            <v>GRIPPER-PARALLEL S=30 DE</v>
          </cell>
          <cell r="F1436">
            <v>573.16769999999997</v>
          </cell>
        </row>
        <row r="1437">
          <cell r="A1437" t="str">
            <v>MHL2-20D</v>
          </cell>
          <cell r="B1437">
            <v>0</v>
          </cell>
          <cell r="C1437">
            <v>1261869</v>
          </cell>
          <cell r="D1437">
            <v>0</v>
          </cell>
          <cell r="E1437">
            <v>0</v>
          </cell>
          <cell r="F1437">
            <v>689.63580000000002</v>
          </cell>
        </row>
        <row r="1438">
          <cell r="A1438" t="str">
            <v>MHL2-25D</v>
          </cell>
          <cell r="B1438">
            <v>0</v>
          </cell>
          <cell r="C1438">
            <v>1360675</v>
          </cell>
          <cell r="D1438">
            <v>0</v>
          </cell>
          <cell r="E1438">
            <v>0</v>
          </cell>
          <cell r="F1438">
            <v>784.67129999999997</v>
          </cell>
        </row>
        <row r="1439">
          <cell r="A1439" t="str">
            <v>MHQ2-20D</v>
          </cell>
          <cell r="B1439">
            <v>0</v>
          </cell>
          <cell r="C1439">
            <v>1224005</v>
          </cell>
          <cell r="D1439">
            <v>0</v>
          </cell>
          <cell r="E1439" t="str">
            <v>PLIER-DOUBLE ACTION MHQ2-20D</v>
          </cell>
          <cell r="F1439">
            <v>548.55499999999995</v>
          </cell>
        </row>
        <row r="1440">
          <cell r="A1440" t="str">
            <v>MHS3-16D</v>
          </cell>
          <cell r="B1440">
            <v>0</v>
          </cell>
          <cell r="C1440">
            <v>1127333</v>
          </cell>
          <cell r="D1440">
            <v>0</v>
          </cell>
          <cell r="E1440">
            <v>0</v>
          </cell>
          <cell r="F1440">
            <v>611.97570000000007</v>
          </cell>
        </row>
        <row r="1441">
          <cell r="A1441" t="str">
            <v>MHS4-20D</v>
          </cell>
          <cell r="B1441">
            <v>0</v>
          </cell>
          <cell r="C1441">
            <v>1260242</v>
          </cell>
          <cell r="D1441">
            <v>0</v>
          </cell>
          <cell r="E1441">
            <v>0</v>
          </cell>
          <cell r="F1441">
            <v>804.7367999999999</v>
          </cell>
        </row>
        <row r="1442">
          <cell r="A1442" t="str">
            <v>MHS4-50D</v>
          </cell>
          <cell r="B1442">
            <v>0</v>
          </cell>
          <cell r="C1442">
            <v>1261002</v>
          </cell>
          <cell r="D1442">
            <v>0</v>
          </cell>
          <cell r="E1442">
            <v>0</v>
          </cell>
          <cell r="F1442">
            <v>764.19787500000007</v>
          </cell>
        </row>
        <row r="1443">
          <cell r="A1443" t="str">
            <v>MHY2-10D-F9NL</v>
          </cell>
          <cell r="B1443">
            <v>0</v>
          </cell>
          <cell r="C1443">
            <v>91300990</v>
          </cell>
          <cell r="D1443">
            <v>0</v>
          </cell>
          <cell r="E1443" t="str">
            <v>GRIPPER-ANGULAR CAM DIA10MM DBL ACTING</v>
          </cell>
          <cell r="F1443">
            <v>426.05009999999999</v>
          </cell>
        </row>
        <row r="1444">
          <cell r="A1444" t="str">
            <v>MHY2-16D</v>
          </cell>
          <cell r="B1444">
            <v>0</v>
          </cell>
          <cell r="C1444">
            <v>1360267</v>
          </cell>
          <cell r="D1444">
            <v>0</v>
          </cell>
          <cell r="E1444">
            <v>0</v>
          </cell>
          <cell r="F1444">
            <v>331.01460000000003</v>
          </cell>
        </row>
        <row r="1445">
          <cell r="A1445" t="str">
            <v>MHY2-20D</v>
          </cell>
          <cell r="B1445">
            <v>0</v>
          </cell>
          <cell r="C1445">
            <v>1360002</v>
          </cell>
          <cell r="D1445">
            <v>0</v>
          </cell>
          <cell r="E1445">
            <v>0</v>
          </cell>
          <cell r="F1445">
            <v>380.05379999999997</v>
          </cell>
        </row>
        <row r="1446">
          <cell r="A1446" t="str">
            <v>MHY2-25D</v>
          </cell>
          <cell r="B1446">
            <v>0</v>
          </cell>
          <cell r="C1446">
            <v>1360294</v>
          </cell>
          <cell r="D1446">
            <v>0</v>
          </cell>
          <cell r="E1446">
            <v>0</v>
          </cell>
          <cell r="F1446">
            <v>444.43979999999999</v>
          </cell>
        </row>
        <row r="1447">
          <cell r="A1447" t="str">
            <v>MHZ2-10D</v>
          </cell>
          <cell r="B1447">
            <v>0</v>
          </cell>
          <cell r="C1447">
            <v>97001040</v>
          </cell>
          <cell r="D1447">
            <v>0</v>
          </cell>
          <cell r="E1447">
            <v>0</v>
          </cell>
          <cell r="F1447">
            <v>380.05379999999997</v>
          </cell>
        </row>
        <row r="1448">
          <cell r="A1448" t="str">
            <v>MHZ2-10DN</v>
          </cell>
          <cell r="B1448">
            <v>0</v>
          </cell>
          <cell r="C1448">
            <v>97003850</v>
          </cell>
          <cell r="D1448">
            <v>0</v>
          </cell>
          <cell r="E1448">
            <v>0</v>
          </cell>
          <cell r="F1448">
            <v>380.05379999999997</v>
          </cell>
        </row>
        <row r="1449">
          <cell r="A1449" t="str">
            <v>MHZ2-10DN-Y59AL</v>
          </cell>
          <cell r="B1449">
            <v>0</v>
          </cell>
          <cell r="C1449">
            <v>91007350</v>
          </cell>
          <cell r="D1449">
            <v>0</v>
          </cell>
          <cell r="E1449" t="str">
            <v>GRIPPER-PARALLEL STD DIA10MM DBL ACTING</v>
          </cell>
          <cell r="F1449">
            <v>511.86870000000005</v>
          </cell>
        </row>
        <row r="1450">
          <cell r="A1450" t="str">
            <v>MHZ2-16D</v>
          </cell>
          <cell r="B1450">
            <v>0</v>
          </cell>
          <cell r="C1450">
            <v>1360663</v>
          </cell>
          <cell r="D1450">
            <v>0</v>
          </cell>
          <cell r="E1450" t="str">
            <v>GRIPPER-PARALLEL S= 6 DE</v>
          </cell>
          <cell r="F1450">
            <v>363.98376000000002</v>
          </cell>
        </row>
        <row r="1451">
          <cell r="A1451" t="str">
            <v>MHZ2-16DN</v>
          </cell>
          <cell r="B1451">
            <v>0</v>
          </cell>
          <cell r="C1451">
            <v>1360181</v>
          </cell>
          <cell r="D1451">
            <v>0</v>
          </cell>
          <cell r="E1451" t="str">
            <v>GRIPPER-PARALLEL S= 6 DE</v>
          </cell>
          <cell r="F1451">
            <v>254.57459999999998</v>
          </cell>
        </row>
        <row r="1452">
          <cell r="A1452" t="str">
            <v>MHZ2-20D</v>
          </cell>
          <cell r="B1452">
            <v>0</v>
          </cell>
          <cell r="C1452">
            <v>1260240</v>
          </cell>
          <cell r="D1452">
            <v>0</v>
          </cell>
          <cell r="E1452" t="str">
            <v>GRIPPER-PARALLEL S=10 DE</v>
          </cell>
          <cell r="F1452">
            <v>441.3528</v>
          </cell>
        </row>
        <row r="1453">
          <cell r="A1453" t="str">
            <v>MHZ2-20D3</v>
          </cell>
          <cell r="B1453">
            <v>0</v>
          </cell>
          <cell r="C1453">
            <v>97003840</v>
          </cell>
          <cell r="D1453">
            <v>0</v>
          </cell>
          <cell r="E1453">
            <v>0</v>
          </cell>
          <cell r="F1453">
            <v>441.3528</v>
          </cell>
        </row>
        <row r="1454">
          <cell r="A1454" t="str">
            <v>MHZ2-20DN</v>
          </cell>
          <cell r="B1454">
            <v>0</v>
          </cell>
          <cell r="C1454">
            <v>1260311</v>
          </cell>
          <cell r="D1454">
            <v>0</v>
          </cell>
          <cell r="E1454" t="str">
            <v>GRIPPER-PARALLEL S=10 DE</v>
          </cell>
          <cell r="F1454">
            <v>331.01459999999997</v>
          </cell>
        </row>
        <row r="1455">
          <cell r="A1455" t="str">
            <v>MHZ2-25D3</v>
          </cell>
          <cell r="B1455">
            <v>0</v>
          </cell>
          <cell r="C1455">
            <v>1360839</v>
          </cell>
          <cell r="D1455">
            <v>0</v>
          </cell>
          <cell r="E1455">
            <v>0</v>
          </cell>
          <cell r="F1455">
            <v>521.04150000000004</v>
          </cell>
        </row>
        <row r="1456">
          <cell r="A1456" t="str">
            <v>MHZ2-32D3</v>
          </cell>
          <cell r="B1456">
            <v>0</v>
          </cell>
          <cell r="C1456">
            <v>1360791</v>
          </cell>
          <cell r="D1456">
            <v>0</v>
          </cell>
          <cell r="E1456">
            <v>0</v>
          </cell>
          <cell r="F1456">
            <v>818.36369999999999</v>
          </cell>
        </row>
        <row r="1457">
          <cell r="A1457" t="str">
            <v>MHZJ2-10D</v>
          </cell>
          <cell r="B1457">
            <v>0</v>
          </cell>
          <cell r="C1457">
            <v>97004390</v>
          </cell>
          <cell r="D1457">
            <v>0</v>
          </cell>
          <cell r="E1457">
            <v>0</v>
          </cell>
          <cell r="F1457">
            <v>468.95940000000002</v>
          </cell>
        </row>
        <row r="1458">
          <cell r="A1458" t="str">
            <v>MHZJ2-10DS</v>
          </cell>
          <cell r="B1458">
            <v>0</v>
          </cell>
          <cell r="C1458">
            <v>1360382</v>
          </cell>
          <cell r="D1458">
            <v>0</v>
          </cell>
          <cell r="E1458" t="str">
            <v>GRIPPER-PARALLEL S= 4 DE</v>
          </cell>
          <cell r="F1458">
            <v>470.50290000000007</v>
          </cell>
        </row>
        <row r="1459">
          <cell r="A1459" t="str">
            <v>MHZJ2-16D</v>
          </cell>
          <cell r="B1459">
            <v>0</v>
          </cell>
          <cell r="C1459">
            <v>1360427</v>
          </cell>
          <cell r="D1459">
            <v>0</v>
          </cell>
          <cell r="E1459" t="str">
            <v>GRIPPER-PARALLEL S= 6 DE</v>
          </cell>
          <cell r="F1459">
            <v>472.00229999999999</v>
          </cell>
        </row>
        <row r="1460">
          <cell r="A1460" t="str">
            <v>MHZJ2-16DS</v>
          </cell>
          <cell r="B1460">
            <v>0</v>
          </cell>
          <cell r="C1460">
            <v>1360430</v>
          </cell>
          <cell r="D1460">
            <v>0</v>
          </cell>
          <cell r="E1460" t="str">
            <v>GRIPPER-PARALLEL S= 6 DE</v>
          </cell>
          <cell r="F1460">
            <v>473.58990000000006</v>
          </cell>
        </row>
        <row r="1461">
          <cell r="A1461" t="str">
            <v>MHZJ2-20DS</v>
          </cell>
          <cell r="B1461">
            <v>0</v>
          </cell>
          <cell r="C1461">
            <v>1360640</v>
          </cell>
          <cell r="D1461">
            <v>0</v>
          </cell>
          <cell r="E1461" t="str">
            <v>GRIPPER-PARALLEL S=10 DE</v>
          </cell>
          <cell r="F1461">
            <v>561.42240000000004</v>
          </cell>
        </row>
        <row r="1462">
          <cell r="A1462" t="str">
            <v>MHZJ2-25DS</v>
          </cell>
          <cell r="B1462">
            <v>0</v>
          </cell>
          <cell r="C1462">
            <v>1361062</v>
          </cell>
          <cell r="D1462">
            <v>0</v>
          </cell>
          <cell r="E1462">
            <v>0</v>
          </cell>
          <cell r="F1462">
            <v>623.75040000000001</v>
          </cell>
        </row>
        <row r="1463">
          <cell r="A1463" t="str">
            <v>MHZJ2-6DS</v>
          </cell>
          <cell r="B1463">
            <v>0</v>
          </cell>
          <cell r="C1463">
            <v>1360676</v>
          </cell>
          <cell r="D1463">
            <v>0</v>
          </cell>
          <cell r="E1463">
            <v>0</v>
          </cell>
          <cell r="F1463">
            <v>430.68060000000003</v>
          </cell>
        </row>
        <row r="1464">
          <cell r="A1464" t="str">
            <v>MHZL2-16D</v>
          </cell>
          <cell r="B1464">
            <v>0</v>
          </cell>
          <cell r="C1464">
            <v>1360748</v>
          </cell>
          <cell r="D1464">
            <v>0</v>
          </cell>
          <cell r="E1464" t="str">
            <v>GRIPPER-PARALLEL S=12 DE</v>
          </cell>
          <cell r="F1464">
            <v>416.83319999999998</v>
          </cell>
        </row>
        <row r="1465">
          <cell r="A1465" t="str">
            <v>MHZL2-20D</v>
          </cell>
          <cell r="B1465">
            <v>0</v>
          </cell>
          <cell r="C1465">
            <v>1360417</v>
          </cell>
          <cell r="D1465">
            <v>0</v>
          </cell>
          <cell r="E1465">
            <v>0</v>
          </cell>
          <cell r="F1465">
            <v>478.13220000000001</v>
          </cell>
        </row>
        <row r="1466">
          <cell r="A1466" t="str">
            <v>MHZL2-20D3</v>
          </cell>
          <cell r="B1466">
            <v>0</v>
          </cell>
          <cell r="C1466">
            <v>1360671</v>
          </cell>
          <cell r="D1466">
            <v>0</v>
          </cell>
          <cell r="E1466">
            <v>0</v>
          </cell>
          <cell r="F1466">
            <v>478.13220000000001</v>
          </cell>
        </row>
        <row r="1467">
          <cell r="A1467" t="str">
            <v>MIS 20-20D2AS</v>
          </cell>
          <cell r="B1467" t="str">
            <v xml:space="preserve">MIS20-20D2 </v>
          </cell>
          <cell r="C1467">
            <v>1260592</v>
          </cell>
          <cell r="D1467">
            <v>0</v>
          </cell>
          <cell r="E1467">
            <v>0</v>
          </cell>
          <cell r="F1467">
            <v>402.32429999999994</v>
          </cell>
        </row>
        <row r="1468">
          <cell r="A1468" t="str">
            <v>MIW8-8D</v>
          </cell>
          <cell r="B1468">
            <v>0</v>
          </cell>
          <cell r="C1468">
            <v>7025960</v>
          </cell>
          <cell r="D1468">
            <v>0</v>
          </cell>
          <cell r="E1468">
            <v>0</v>
          </cell>
          <cell r="F1468">
            <v>414.27539999999999</v>
          </cell>
        </row>
        <row r="1469">
          <cell r="A1469" t="str">
            <v>MK2B20-10R</v>
          </cell>
          <cell r="B1469">
            <v>0</v>
          </cell>
          <cell r="C1469">
            <v>1262020</v>
          </cell>
          <cell r="D1469">
            <v>0</v>
          </cell>
          <cell r="E1469">
            <v>0</v>
          </cell>
          <cell r="F1469">
            <v>298.60109999999997</v>
          </cell>
        </row>
        <row r="1470">
          <cell r="A1470" t="str">
            <v>MK2B32-10R</v>
          </cell>
          <cell r="B1470">
            <v>0</v>
          </cell>
          <cell r="C1470">
            <v>1261954</v>
          </cell>
          <cell r="D1470">
            <v>0</v>
          </cell>
          <cell r="E1470">
            <v>0</v>
          </cell>
          <cell r="F1470">
            <v>433.06199999999995</v>
          </cell>
        </row>
        <row r="1471">
          <cell r="A1471" t="str">
            <v>MKB12-10R</v>
          </cell>
          <cell r="B1471">
            <v>0</v>
          </cell>
          <cell r="C1471">
            <v>1260549</v>
          </cell>
          <cell r="D1471">
            <v>0</v>
          </cell>
          <cell r="E1471" t="str">
            <v>CYLINDER-ROTARY DE 012 0100</v>
          </cell>
          <cell r="F1471">
            <v>161.49419999999998</v>
          </cell>
        </row>
        <row r="1472">
          <cell r="A1472" t="str">
            <v>MKB16-10R</v>
          </cell>
          <cell r="B1472">
            <v>0</v>
          </cell>
          <cell r="C1472">
            <v>1260853</v>
          </cell>
          <cell r="D1472">
            <v>0</v>
          </cell>
          <cell r="E1472" t="str">
            <v>CYLINDER-ROTARY DE 016 0010</v>
          </cell>
          <cell r="F1472">
            <v>167.57999999999998</v>
          </cell>
        </row>
        <row r="1473">
          <cell r="A1473" t="str">
            <v>MQMLB16H-15D</v>
          </cell>
          <cell r="B1473">
            <v>0</v>
          </cell>
          <cell r="C1473">
            <v>4001635</v>
          </cell>
          <cell r="D1473">
            <v>0</v>
          </cell>
          <cell r="E1473" t="str">
            <v>CYLINDER-LINEAR DE 016 0015</v>
          </cell>
          <cell r="F1473">
            <v>316.05</v>
          </cell>
        </row>
        <row r="1474">
          <cell r="A1474" t="str">
            <v>MQQTB16-10D</v>
          </cell>
          <cell r="B1474">
            <v>0</v>
          </cell>
          <cell r="C1474">
            <v>1262110</v>
          </cell>
          <cell r="D1474">
            <v>0</v>
          </cell>
          <cell r="E1474" t="str">
            <v>CYLINDER-LINEAR DE 016 0010 FAST-S.JOIN</v>
          </cell>
          <cell r="F1474">
            <v>239.94810000000001</v>
          </cell>
        </row>
        <row r="1475">
          <cell r="A1475" t="str">
            <v>MQQTB20-60D</v>
          </cell>
          <cell r="B1475">
            <v>0</v>
          </cell>
          <cell r="C1475">
            <v>1586058</v>
          </cell>
          <cell r="D1475">
            <v>0</v>
          </cell>
          <cell r="E1475" t="str">
            <v>CYLINDER-LINEAR DE LOW FRICTION 20-060</v>
          </cell>
          <cell r="F1475">
            <v>240.01425</v>
          </cell>
        </row>
        <row r="1476">
          <cell r="A1476" t="str">
            <v>MQR12-M5</v>
          </cell>
          <cell r="B1476">
            <v>0</v>
          </cell>
          <cell r="C1476">
            <v>1361019</v>
          </cell>
          <cell r="D1476">
            <v>0</v>
          </cell>
          <cell r="E1476">
            <v>0</v>
          </cell>
          <cell r="F1476">
            <v>4065.4467000000009</v>
          </cell>
        </row>
        <row r="1477">
          <cell r="A1477" t="str">
            <v>MQR2-M5</v>
          </cell>
          <cell r="B1477">
            <v>0</v>
          </cell>
          <cell r="C1477">
            <v>1361086</v>
          </cell>
          <cell r="D1477">
            <v>0</v>
          </cell>
          <cell r="E1477">
            <v>0</v>
          </cell>
          <cell r="F1477">
            <v>1134.8694</v>
          </cell>
        </row>
        <row r="1478">
          <cell r="A1478" t="str">
            <v>MQR4-M5</v>
          </cell>
          <cell r="B1478">
            <v>0</v>
          </cell>
          <cell r="C1478">
            <v>1361029</v>
          </cell>
          <cell r="D1478">
            <v>0</v>
          </cell>
          <cell r="E1478" t="str">
            <v>SEAL-ROTARY 4 CIRCUITS</v>
          </cell>
          <cell r="F1478">
            <v>1599.8156999999999</v>
          </cell>
        </row>
        <row r="1479">
          <cell r="A1479" t="str">
            <v>MQR8-M5</v>
          </cell>
          <cell r="B1479">
            <v>0</v>
          </cell>
          <cell r="C1479">
            <v>1360419</v>
          </cell>
          <cell r="D1479">
            <v>0</v>
          </cell>
          <cell r="E1479">
            <v>0</v>
          </cell>
          <cell r="F1479">
            <v>2528.0324999999998</v>
          </cell>
        </row>
        <row r="1480">
          <cell r="A1480" t="str">
            <v>MRHQ10D-180S-N</v>
          </cell>
          <cell r="B1480">
            <v>0</v>
          </cell>
          <cell r="C1480">
            <v>1360338</v>
          </cell>
          <cell r="D1480">
            <v>0</v>
          </cell>
          <cell r="E1480">
            <v>0</v>
          </cell>
          <cell r="F1480">
            <v>1199.52</v>
          </cell>
        </row>
        <row r="1481">
          <cell r="A1481" t="str">
            <v>MRHQ16D-180S-N</v>
          </cell>
          <cell r="B1481">
            <v>0</v>
          </cell>
          <cell r="C1481">
            <v>1360781</v>
          </cell>
          <cell r="D1481">
            <v>0</v>
          </cell>
          <cell r="E1481">
            <v>0</v>
          </cell>
          <cell r="F1481">
            <v>1304.4339</v>
          </cell>
        </row>
        <row r="1482">
          <cell r="A1482" t="str">
            <v>MS-5ATHU-4</v>
          </cell>
          <cell r="B1482">
            <v>0</v>
          </cell>
          <cell r="C1482">
            <v>0</v>
          </cell>
          <cell r="D1482" t="str">
            <v>3601265/ 80.0000.8608</v>
          </cell>
          <cell r="E1482" t="str">
            <v>FITTING,T SWIVEL</v>
          </cell>
          <cell r="F1482">
            <v>21.6874</v>
          </cell>
        </row>
        <row r="1483">
          <cell r="A1483" t="str">
            <v>MS-5HLH-4</v>
          </cell>
          <cell r="B1483">
            <v>0</v>
          </cell>
          <cell r="C1483">
            <v>91102590</v>
          </cell>
          <cell r="D1483">
            <v>0</v>
          </cell>
          <cell r="E1483">
            <v>0</v>
          </cell>
          <cell r="F1483">
            <v>22.314599999999999</v>
          </cell>
        </row>
        <row r="1484">
          <cell r="A1484" t="str">
            <v>MSQ B 50A</v>
          </cell>
          <cell r="B1484" t="str">
            <v>MSQB50A</v>
          </cell>
          <cell r="C1484">
            <v>1260887</v>
          </cell>
          <cell r="D1484">
            <v>0</v>
          </cell>
          <cell r="E1484">
            <v>0</v>
          </cell>
          <cell r="F1484">
            <v>1051.6527000000001</v>
          </cell>
        </row>
        <row r="1485">
          <cell r="A1485" t="str">
            <v>MSQA2A</v>
          </cell>
          <cell r="B1485">
            <v>0</v>
          </cell>
          <cell r="C1485">
            <v>1262031</v>
          </cell>
          <cell r="D1485">
            <v>0</v>
          </cell>
          <cell r="E1485">
            <v>0</v>
          </cell>
          <cell r="F1485">
            <v>575.19629999999995</v>
          </cell>
        </row>
        <row r="1486">
          <cell r="A1486" t="str">
            <v>MSQB10A</v>
          </cell>
          <cell r="B1486">
            <v>0</v>
          </cell>
          <cell r="C1486">
            <v>1202795</v>
          </cell>
          <cell r="D1486">
            <v>0</v>
          </cell>
          <cell r="E1486" t="str">
            <v>TABLE-ROTARY-PIVOTED-COMPACT SZ=10</v>
          </cell>
          <cell r="F1486">
            <v>765.75239999999997</v>
          </cell>
        </row>
        <row r="1487">
          <cell r="A1487" t="str">
            <v>MSQB1A</v>
          </cell>
          <cell r="B1487">
            <v>0</v>
          </cell>
          <cell r="C1487">
            <v>0</v>
          </cell>
          <cell r="D1487" t="str">
            <v>80.0001.1035</v>
          </cell>
          <cell r="E1487">
            <v>0</v>
          </cell>
          <cell r="F1487">
            <v>471.76729599999999</v>
          </cell>
        </row>
        <row r="1488">
          <cell r="A1488" t="str">
            <v>MSQB20A</v>
          </cell>
          <cell r="B1488">
            <v>0</v>
          </cell>
          <cell r="C1488">
            <v>1202794</v>
          </cell>
          <cell r="D1488">
            <v>0</v>
          </cell>
          <cell r="E1488" t="str">
            <v>TABLE-ROTARY-PIVOTED-COMPACT SZ=20</v>
          </cell>
          <cell r="F1488">
            <v>854.26109999999994</v>
          </cell>
        </row>
        <row r="1489">
          <cell r="A1489" t="str">
            <v>MSUA20-180S</v>
          </cell>
          <cell r="B1489">
            <v>0</v>
          </cell>
          <cell r="C1489">
            <v>1261015</v>
          </cell>
          <cell r="D1489">
            <v>0</v>
          </cell>
          <cell r="E1489">
            <v>0</v>
          </cell>
          <cell r="F1489">
            <v>741.27199999999993</v>
          </cell>
        </row>
        <row r="1490">
          <cell r="A1490" t="str">
            <v>MXF-16-30</v>
          </cell>
          <cell r="B1490" t="str">
            <v>MXF16-30</v>
          </cell>
          <cell r="C1490">
            <v>1127335</v>
          </cell>
          <cell r="D1490">
            <v>0</v>
          </cell>
          <cell r="E1490">
            <v>0</v>
          </cell>
          <cell r="F1490">
            <v>654.48810000000003</v>
          </cell>
        </row>
        <row r="1491">
          <cell r="A1491" t="str">
            <v>MXF16-75</v>
          </cell>
          <cell r="B1491">
            <v>0</v>
          </cell>
          <cell r="C1491">
            <v>1135080</v>
          </cell>
          <cell r="D1491">
            <v>0</v>
          </cell>
          <cell r="E1491" t="str">
            <v>CARRIAGE-PNEUMATIC-COMPACT</v>
          </cell>
          <cell r="F1491">
            <v>912.56130000000007</v>
          </cell>
        </row>
        <row r="1492">
          <cell r="A1492" t="str">
            <v>MXH-10-25</v>
          </cell>
          <cell r="B1492" t="str">
            <v>MXH10-25Z</v>
          </cell>
          <cell r="C1492">
            <v>1260869</v>
          </cell>
          <cell r="D1492">
            <v>0</v>
          </cell>
          <cell r="E1492">
            <v>0</v>
          </cell>
          <cell r="F1492">
            <v>390.68189999999998</v>
          </cell>
        </row>
        <row r="1493">
          <cell r="A1493" t="str">
            <v>MXH10-50</v>
          </cell>
          <cell r="B1493">
            <v>0</v>
          </cell>
          <cell r="C1493">
            <v>97004310</v>
          </cell>
          <cell r="D1493">
            <v>0</v>
          </cell>
          <cell r="E1493">
            <v>0</v>
          </cell>
          <cell r="F1493">
            <v>437.91300000000001</v>
          </cell>
        </row>
        <row r="1494">
          <cell r="A1494" t="str">
            <v>MXH16-15</v>
          </cell>
          <cell r="B1494">
            <v>0</v>
          </cell>
          <cell r="C1494">
            <v>1900194</v>
          </cell>
          <cell r="D1494">
            <v>0</v>
          </cell>
          <cell r="E1494">
            <v>0</v>
          </cell>
          <cell r="F1494">
            <v>478.53399999999999</v>
          </cell>
        </row>
        <row r="1495">
          <cell r="A1495" t="str">
            <v>MXH16-25</v>
          </cell>
          <cell r="B1495">
            <v>0</v>
          </cell>
          <cell r="C1495">
            <v>1260970</v>
          </cell>
          <cell r="D1495">
            <v>0</v>
          </cell>
          <cell r="E1495">
            <v>0</v>
          </cell>
          <cell r="F1495">
            <v>333.96929999999998</v>
          </cell>
        </row>
        <row r="1496">
          <cell r="A1496" t="str">
            <v>MXH16-30</v>
          </cell>
          <cell r="B1496">
            <v>0</v>
          </cell>
          <cell r="C1496">
            <v>1260895</v>
          </cell>
          <cell r="D1496">
            <v>0</v>
          </cell>
          <cell r="E1496">
            <v>0</v>
          </cell>
          <cell r="F1496">
            <v>464.72579999999999</v>
          </cell>
        </row>
        <row r="1497">
          <cell r="A1497" t="str">
            <v>MXH16-40</v>
          </cell>
          <cell r="B1497">
            <v>0</v>
          </cell>
          <cell r="C1497">
            <v>1260722</v>
          </cell>
          <cell r="D1497">
            <v>0</v>
          </cell>
          <cell r="E1497">
            <v>0</v>
          </cell>
          <cell r="F1497">
            <v>486.77579999999995</v>
          </cell>
        </row>
        <row r="1498">
          <cell r="A1498" t="str">
            <v>MXH16-50</v>
          </cell>
          <cell r="B1498">
            <v>0</v>
          </cell>
          <cell r="C1498">
            <v>1585509</v>
          </cell>
          <cell r="D1498">
            <v>0</v>
          </cell>
          <cell r="E1498" t="str">
            <v>TABLE-LINEAR-NARROW MXH16-50</v>
          </cell>
          <cell r="F1498">
            <v>508.82580000000002</v>
          </cell>
        </row>
        <row r="1499">
          <cell r="A1499" t="str">
            <v>MXH6-05-F9N</v>
          </cell>
          <cell r="B1499">
            <v>0</v>
          </cell>
          <cell r="C1499">
            <v>91303510</v>
          </cell>
          <cell r="D1499">
            <v>0</v>
          </cell>
          <cell r="E1499">
            <v>0</v>
          </cell>
          <cell r="F1499">
            <v>438.97140000000002</v>
          </cell>
        </row>
        <row r="1500">
          <cell r="A1500" t="str">
            <v>MXH6-15</v>
          </cell>
          <cell r="B1500">
            <v>0</v>
          </cell>
          <cell r="C1500">
            <v>1900204</v>
          </cell>
          <cell r="D1500">
            <v>0</v>
          </cell>
          <cell r="E1500">
            <v>0</v>
          </cell>
          <cell r="F1500">
            <v>357.798</v>
          </cell>
        </row>
        <row r="1501">
          <cell r="A1501" t="str">
            <v>MXH6-30</v>
          </cell>
          <cell r="B1501">
            <v>0</v>
          </cell>
          <cell r="C1501">
            <v>1260871</v>
          </cell>
          <cell r="D1501">
            <v>0</v>
          </cell>
          <cell r="E1501">
            <v>0</v>
          </cell>
          <cell r="F1501">
            <v>378.81900000000002</v>
          </cell>
        </row>
        <row r="1502">
          <cell r="A1502" t="str">
            <v>MXP12-15N</v>
          </cell>
          <cell r="B1502">
            <v>0</v>
          </cell>
          <cell r="C1502">
            <v>0</v>
          </cell>
          <cell r="D1502" t="str">
            <v>80.0001.0695</v>
          </cell>
          <cell r="E1502" t="str">
            <v>Cylinder (SMC MXP12-15 N)</v>
          </cell>
          <cell r="F1502">
            <v>578.25331199999994</v>
          </cell>
        </row>
        <row r="1503">
          <cell r="A1503" t="str">
            <v>MXP12-25C</v>
          </cell>
          <cell r="B1503">
            <v>0</v>
          </cell>
          <cell r="C1503">
            <v>0</v>
          </cell>
          <cell r="D1503" t="str">
            <v>80.0000.8354</v>
          </cell>
          <cell r="E1503" t="str">
            <v>Cylinder</v>
          </cell>
          <cell r="F1503">
            <v>660.15622400000007</v>
          </cell>
        </row>
        <row r="1504">
          <cell r="A1504" t="str">
            <v>MXPJ6-5</v>
          </cell>
          <cell r="B1504">
            <v>0</v>
          </cell>
          <cell r="C1504">
            <v>0</v>
          </cell>
          <cell r="D1504" t="str">
            <v>80.0001.0176</v>
          </cell>
          <cell r="E1504" t="str">
            <v>Cylinder Compact Unit</v>
          </cell>
          <cell r="F1504">
            <v>355.78233599999999</v>
          </cell>
        </row>
        <row r="1505">
          <cell r="A1505" t="str">
            <v>MXQ12-20</v>
          </cell>
          <cell r="B1505">
            <v>0</v>
          </cell>
          <cell r="C1505">
            <v>97003700</v>
          </cell>
          <cell r="D1505">
            <v>0</v>
          </cell>
          <cell r="E1505">
            <v>0</v>
          </cell>
          <cell r="F1505">
            <v>647.25570000000005</v>
          </cell>
        </row>
        <row r="1506">
          <cell r="A1506" t="str">
            <v>MXQ25-125</v>
          </cell>
          <cell r="B1506">
            <v>0</v>
          </cell>
          <cell r="C1506">
            <v>97002340</v>
          </cell>
          <cell r="D1506">
            <v>0</v>
          </cell>
          <cell r="E1506">
            <v>0</v>
          </cell>
          <cell r="F1506">
            <v>1449.8316</v>
          </cell>
        </row>
        <row r="1507">
          <cell r="A1507" t="str">
            <v>MXQ25-50</v>
          </cell>
          <cell r="B1507">
            <v>0</v>
          </cell>
          <cell r="C1507">
            <v>97003120</v>
          </cell>
          <cell r="D1507">
            <v>0</v>
          </cell>
          <cell r="E1507">
            <v>0</v>
          </cell>
          <cell r="F1507">
            <v>964.42290000000003</v>
          </cell>
        </row>
        <row r="1508">
          <cell r="A1508" t="str">
            <v>MXQ6-10CS-F9N</v>
          </cell>
          <cell r="B1508" t="str">
            <v>MXQ6-10CS-M9B</v>
          </cell>
          <cell r="C1508">
            <v>91303060</v>
          </cell>
          <cell r="D1508">
            <v>0</v>
          </cell>
          <cell r="E1508" t="str">
            <v>TABLE-SLIDE HPREC 06X10MM STR METAL</v>
          </cell>
          <cell r="F1508">
            <v>768.31999999999994</v>
          </cell>
        </row>
        <row r="1509">
          <cell r="A1509" t="str">
            <v>MXQ8-20AS</v>
          </cell>
          <cell r="B1509">
            <v>0</v>
          </cell>
          <cell r="C1509">
            <v>91302330</v>
          </cell>
          <cell r="D1509">
            <v>0</v>
          </cell>
          <cell r="E1509" t="str">
            <v>TABLE-SLIDE HPREC 08X20MM STR RUBBER</v>
          </cell>
          <cell r="F1509">
            <v>631.07100000000003</v>
          </cell>
        </row>
        <row r="1510">
          <cell r="A1510" t="str">
            <v>MXQ8-30</v>
          </cell>
          <cell r="B1510">
            <v>0</v>
          </cell>
          <cell r="C1510">
            <v>95303900</v>
          </cell>
          <cell r="D1510">
            <v>0</v>
          </cell>
          <cell r="E1510">
            <v>0</v>
          </cell>
          <cell r="F1510">
            <v>627.85170000000005</v>
          </cell>
        </row>
        <row r="1511">
          <cell r="A1511" t="str">
            <v>MXQ8L-30AS</v>
          </cell>
          <cell r="B1511">
            <v>0</v>
          </cell>
          <cell r="C1511">
            <v>91302240</v>
          </cell>
          <cell r="D1511">
            <v>0</v>
          </cell>
          <cell r="E1511" t="str">
            <v>TABLE-SLIDE HPREC 08X30MM STR RUBBER</v>
          </cell>
          <cell r="F1511">
            <v>697.44150000000002</v>
          </cell>
        </row>
        <row r="1512">
          <cell r="A1512" t="str">
            <v>MXQ-AS12</v>
          </cell>
          <cell r="B1512">
            <v>0</v>
          </cell>
          <cell r="C1512">
            <v>97003710</v>
          </cell>
          <cell r="D1512">
            <v>0</v>
          </cell>
          <cell r="E1512">
            <v>0</v>
          </cell>
          <cell r="F1512">
            <v>110.51459999999999</v>
          </cell>
        </row>
        <row r="1513">
          <cell r="A1513" t="str">
            <v>MXQ-AS25</v>
          </cell>
          <cell r="B1513">
            <v>0</v>
          </cell>
          <cell r="C1513">
            <v>99003290</v>
          </cell>
          <cell r="D1513">
            <v>0</v>
          </cell>
          <cell r="E1513">
            <v>0</v>
          </cell>
          <cell r="F1513">
            <v>124.8912</v>
          </cell>
        </row>
        <row r="1514">
          <cell r="A1514" t="str">
            <v>MXQ-AT8</v>
          </cell>
          <cell r="B1514">
            <v>0</v>
          </cell>
          <cell r="C1514">
            <v>99001550</v>
          </cell>
          <cell r="D1514">
            <v>0</v>
          </cell>
          <cell r="E1514">
            <v>0</v>
          </cell>
          <cell r="F1514">
            <v>110.51459999999999</v>
          </cell>
        </row>
        <row r="1515">
          <cell r="A1515" t="str">
            <v>MXQ-BS25</v>
          </cell>
          <cell r="B1515">
            <v>0</v>
          </cell>
          <cell r="C1515">
            <v>97004180</v>
          </cell>
          <cell r="D1515">
            <v>0</v>
          </cell>
          <cell r="E1515">
            <v>0</v>
          </cell>
          <cell r="F1515">
            <v>283.4307</v>
          </cell>
        </row>
        <row r="1516">
          <cell r="A1516" t="str">
            <v>MXS12-10</v>
          </cell>
          <cell r="B1516">
            <v>0</v>
          </cell>
          <cell r="C1516">
            <v>7025654</v>
          </cell>
          <cell r="D1516">
            <v>0</v>
          </cell>
          <cell r="E1516">
            <v>0</v>
          </cell>
          <cell r="F1516">
            <v>727.51769999999999</v>
          </cell>
        </row>
        <row r="1517">
          <cell r="A1517" t="str">
            <v>MXS12-100</v>
          </cell>
          <cell r="B1517">
            <v>0</v>
          </cell>
          <cell r="C1517">
            <v>1260012</v>
          </cell>
          <cell r="D1517">
            <v>0</v>
          </cell>
          <cell r="E1517">
            <v>0</v>
          </cell>
          <cell r="F1517">
            <v>1185.8489999999999</v>
          </cell>
        </row>
        <row r="1518">
          <cell r="A1518" t="str">
            <v>MXS-12-100-AS</v>
          </cell>
          <cell r="B1518" t="str">
            <v>MXS12-100AS</v>
          </cell>
          <cell r="C1518">
            <v>1127345</v>
          </cell>
          <cell r="D1518">
            <v>0</v>
          </cell>
          <cell r="E1518">
            <v>0</v>
          </cell>
          <cell r="F1518">
            <v>1254.9537</v>
          </cell>
        </row>
        <row r="1519">
          <cell r="A1519" t="str">
            <v>MXS12-20</v>
          </cell>
          <cell r="B1519">
            <v>0</v>
          </cell>
          <cell r="C1519" t="str">
            <v>97000680/ 7025967</v>
          </cell>
          <cell r="D1519">
            <v>0</v>
          </cell>
          <cell r="E1519">
            <v>0</v>
          </cell>
          <cell r="F1519">
            <v>727.51769999999999</v>
          </cell>
        </row>
        <row r="1520">
          <cell r="A1520" t="str">
            <v>MXS12-20A-F9NL</v>
          </cell>
          <cell r="B1520" t="str">
            <v>MXS12-20A-M9NL</v>
          </cell>
          <cell r="C1520">
            <v>91300720</v>
          </cell>
          <cell r="D1520">
            <v>0</v>
          </cell>
          <cell r="E1520">
            <v>0</v>
          </cell>
          <cell r="F1520">
            <v>1123.1289999999999</v>
          </cell>
        </row>
        <row r="1521">
          <cell r="A1521" t="str">
            <v>MXS12-30</v>
          </cell>
          <cell r="B1521">
            <v>0</v>
          </cell>
          <cell r="C1521">
            <v>1127407</v>
          </cell>
          <cell r="D1521">
            <v>0</v>
          </cell>
          <cell r="E1521" t="str">
            <v>UNIT-LINEAR 012-0030</v>
          </cell>
          <cell r="F1521">
            <v>545.63459999999998</v>
          </cell>
        </row>
        <row r="1522">
          <cell r="A1522" t="str">
            <v>MXS12-30A</v>
          </cell>
          <cell r="B1522">
            <v>0</v>
          </cell>
          <cell r="C1522">
            <v>97000360</v>
          </cell>
          <cell r="D1522">
            <v>0</v>
          </cell>
          <cell r="E1522">
            <v>0</v>
          </cell>
          <cell r="F1522">
            <v>865.72709999999995</v>
          </cell>
        </row>
        <row r="1523">
          <cell r="A1523" t="str">
            <v>MXS12-30AS</v>
          </cell>
          <cell r="B1523">
            <v>0</v>
          </cell>
          <cell r="C1523">
            <v>1127209</v>
          </cell>
          <cell r="D1523">
            <v>0</v>
          </cell>
          <cell r="E1523" t="str">
            <v>UNIT-LINEAR STROKE  30MM</v>
          </cell>
          <cell r="F1523">
            <v>756.79128000000003</v>
          </cell>
        </row>
        <row r="1524">
          <cell r="A1524" t="str">
            <v>MXS12-30AS-F9NL</v>
          </cell>
          <cell r="B1524" t="str">
            <v>MXS12-30AS-M9NL</v>
          </cell>
          <cell r="C1524">
            <v>91006100</v>
          </cell>
          <cell r="D1524">
            <v>0</v>
          </cell>
          <cell r="E1524" t="str">
            <v>TABLE-SLIDE PREC 12X30MM STR</v>
          </cell>
          <cell r="F1524">
            <v>1045.807</v>
          </cell>
        </row>
        <row r="1525">
          <cell r="A1525" t="str">
            <v>MXS1240AS-F9PL</v>
          </cell>
          <cell r="B1525" t="str">
            <v>MXS12-40AS-M9PL</v>
          </cell>
          <cell r="C1525">
            <v>91303350</v>
          </cell>
          <cell r="D1525">
            <v>0</v>
          </cell>
          <cell r="E1525">
            <v>0</v>
          </cell>
          <cell r="F1525">
            <v>1119.0620000000001</v>
          </cell>
        </row>
        <row r="1526">
          <cell r="A1526" t="str">
            <v>MXS12-50</v>
          </cell>
          <cell r="B1526">
            <v>0</v>
          </cell>
          <cell r="C1526">
            <v>1127408</v>
          </cell>
          <cell r="D1526">
            <v>0</v>
          </cell>
          <cell r="E1526" t="str">
            <v>UNIT LINEAR 012-0050</v>
          </cell>
          <cell r="F1526">
            <v>858.45060000000001</v>
          </cell>
        </row>
        <row r="1527">
          <cell r="A1527" t="str">
            <v>MXS12-50A-F9NL</v>
          </cell>
          <cell r="B1527" t="str">
            <v>MXS12-50A-M9NL</v>
          </cell>
          <cell r="C1527">
            <v>91300570</v>
          </cell>
          <cell r="D1527">
            <v>0</v>
          </cell>
          <cell r="E1527">
            <v>0</v>
          </cell>
          <cell r="F1527">
            <v>1269.6389999999999</v>
          </cell>
        </row>
        <row r="1528">
          <cell r="A1528" t="str">
            <v>MXS12-50AS</v>
          </cell>
          <cell r="B1528">
            <v>0</v>
          </cell>
          <cell r="C1528">
            <v>1127368</v>
          </cell>
          <cell r="D1528">
            <v>0</v>
          </cell>
          <cell r="E1528" t="str">
            <v>UNIT-LINEAR STROKE  50MM</v>
          </cell>
          <cell r="F1528">
            <v>927.5553000000001</v>
          </cell>
        </row>
        <row r="1529">
          <cell r="A1529" t="str">
            <v>MXS12-50AS-F9NL</v>
          </cell>
          <cell r="B1529" t="str">
            <v>MXS12-50AS-M9NL</v>
          </cell>
          <cell r="C1529">
            <v>91004020</v>
          </cell>
          <cell r="D1529">
            <v>0</v>
          </cell>
          <cell r="E1529">
            <v>0</v>
          </cell>
          <cell r="F1529">
            <v>1192.317</v>
          </cell>
        </row>
        <row r="1530">
          <cell r="A1530" t="str">
            <v>MXS12-75</v>
          </cell>
          <cell r="B1530">
            <v>0</v>
          </cell>
          <cell r="C1530">
            <v>1127409</v>
          </cell>
          <cell r="D1530">
            <v>0</v>
          </cell>
          <cell r="E1530">
            <v>0</v>
          </cell>
          <cell r="F1530">
            <v>1022.1498000000001</v>
          </cell>
        </row>
        <row r="1531">
          <cell r="A1531" t="str">
            <v>MXS12-75A</v>
          </cell>
          <cell r="B1531">
            <v>0</v>
          </cell>
          <cell r="C1531">
            <v>97004380</v>
          </cell>
          <cell r="D1531">
            <v>0</v>
          </cell>
          <cell r="E1531">
            <v>0</v>
          </cell>
          <cell r="F1531">
            <v>1160.3591999999999</v>
          </cell>
        </row>
        <row r="1532">
          <cell r="A1532" t="str">
            <v>MXS12-75AS</v>
          </cell>
          <cell r="B1532">
            <v>0</v>
          </cell>
          <cell r="C1532">
            <v>1127348</v>
          </cell>
          <cell r="D1532">
            <v>0</v>
          </cell>
          <cell r="E1532" t="str">
            <v>UNIT-LINEAR STROKE  75MM</v>
          </cell>
          <cell r="F1532">
            <v>1091.2545</v>
          </cell>
        </row>
        <row r="1533">
          <cell r="A1533" t="str">
            <v>MXS12-75AS-F9NL</v>
          </cell>
          <cell r="B1533" t="str">
            <v>MXS12-75AS-M9NL</v>
          </cell>
          <cell r="C1533">
            <v>91300100</v>
          </cell>
          <cell r="D1533">
            <v>0</v>
          </cell>
          <cell r="E1533" t="str">
            <v>TABLE-SLIDE PREC 12X75MM STR FRONT ADJ</v>
          </cell>
          <cell r="F1533">
            <v>1375.43</v>
          </cell>
        </row>
        <row r="1534">
          <cell r="A1534" t="str">
            <v>MXS-12L-100-BT</v>
          </cell>
          <cell r="B1534" t="str">
            <v>MXS12L-100BT</v>
          </cell>
          <cell r="C1534">
            <v>1260732</v>
          </cell>
          <cell r="D1534">
            <v>0</v>
          </cell>
          <cell r="E1534">
            <v>0</v>
          </cell>
          <cell r="F1534">
            <v>1349.5482</v>
          </cell>
        </row>
        <row r="1535">
          <cell r="A1535" t="str">
            <v>MXS12L-20</v>
          </cell>
          <cell r="B1535">
            <v>0</v>
          </cell>
          <cell r="C1535" t="str">
            <v>97000700/  1360878</v>
          </cell>
          <cell r="D1535">
            <v>0</v>
          </cell>
          <cell r="E1535">
            <v>0</v>
          </cell>
          <cell r="F1535">
            <v>727.51769999999999</v>
          </cell>
        </row>
        <row r="1536">
          <cell r="A1536" t="str">
            <v>MXS12L-30</v>
          </cell>
          <cell r="B1536">
            <v>0</v>
          </cell>
          <cell r="C1536">
            <v>1127454</v>
          </cell>
          <cell r="D1536">
            <v>0</v>
          </cell>
          <cell r="E1536">
            <v>0</v>
          </cell>
          <cell r="F1536">
            <v>727.51769999999999</v>
          </cell>
        </row>
        <row r="1537">
          <cell r="A1537" t="str">
            <v>MXS12L-50AS</v>
          </cell>
          <cell r="B1537">
            <v>0</v>
          </cell>
          <cell r="C1537">
            <v>1127356</v>
          </cell>
          <cell r="D1537">
            <v>0</v>
          </cell>
          <cell r="E1537">
            <v>0</v>
          </cell>
          <cell r="F1537">
            <v>927.5553000000001</v>
          </cell>
        </row>
        <row r="1538">
          <cell r="A1538" t="str">
            <v>MXS12L-75</v>
          </cell>
          <cell r="B1538">
            <v>0</v>
          </cell>
          <cell r="C1538">
            <v>1360879</v>
          </cell>
          <cell r="D1538">
            <v>0</v>
          </cell>
          <cell r="E1538">
            <v>0</v>
          </cell>
          <cell r="F1538">
            <v>1022.1498000000001</v>
          </cell>
        </row>
        <row r="1539">
          <cell r="A1539" t="str">
            <v>MXS16-100</v>
          </cell>
          <cell r="B1539">
            <v>0</v>
          </cell>
          <cell r="C1539">
            <v>1127413</v>
          </cell>
          <cell r="D1539">
            <v>0</v>
          </cell>
          <cell r="E1539" t="str">
            <v>UNIT LINEAR 016-0100</v>
          </cell>
          <cell r="F1539">
            <v>1207.6785</v>
          </cell>
        </row>
        <row r="1540">
          <cell r="A1540" t="str">
            <v>MXS16-100AS</v>
          </cell>
          <cell r="B1540">
            <v>0</v>
          </cell>
          <cell r="C1540">
            <v>1127371</v>
          </cell>
          <cell r="D1540">
            <v>0</v>
          </cell>
          <cell r="E1540" t="str">
            <v>UNIT-LINEAR STROKE 100MM</v>
          </cell>
          <cell r="F1540">
            <v>1276.7831999999999</v>
          </cell>
        </row>
        <row r="1541">
          <cell r="A1541" t="str">
            <v>MXS16-125</v>
          </cell>
          <cell r="B1541">
            <v>0</v>
          </cell>
          <cell r="C1541">
            <v>1260309</v>
          </cell>
          <cell r="D1541">
            <v>3602731</v>
          </cell>
          <cell r="E1541" t="str">
            <v>ACTUATOR,LINEAR BORE,16D,125MM</v>
          </cell>
          <cell r="F1541">
            <v>1371.3335999999999</v>
          </cell>
        </row>
        <row r="1542">
          <cell r="A1542" t="str">
            <v>MXS16-20</v>
          </cell>
          <cell r="B1542">
            <v>0</v>
          </cell>
          <cell r="C1542">
            <v>91301910</v>
          </cell>
          <cell r="D1542">
            <v>0</v>
          </cell>
          <cell r="E1542">
            <v>0</v>
          </cell>
          <cell r="F1542">
            <v>749.34719999999993</v>
          </cell>
        </row>
        <row r="1543">
          <cell r="A1543" t="str">
            <v>MXS16-30</v>
          </cell>
          <cell r="B1543">
            <v>0</v>
          </cell>
          <cell r="C1543">
            <v>1127410</v>
          </cell>
          <cell r="D1543">
            <v>0</v>
          </cell>
          <cell r="E1543" t="str">
            <v>UNIT LINEAR 016-0030</v>
          </cell>
          <cell r="F1543">
            <v>749.34719999999993</v>
          </cell>
        </row>
        <row r="1544">
          <cell r="A1544" t="str">
            <v>MXS16-30AS</v>
          </cell>
          <cell r="B1544">
            <v>0</v>
          </cell>
          <cell r="C1544">
            <v>1127295</v>
          </cell>
          <cell r="D1544">
            <v>0</v>
          </cell>
          <cell r="E1544" t="str">
            <v>UNIT-LINEAR STROKE  30MM</v>
          </cell>
          <cell r="F1544">
            <v>818.45190000000002</v>
          </cell>
        </row>
        <row r="1545">
          <cell r="A1545" t="str">
            <v>MXS16-30AS-F9NL</v>
          </cell>
          <cell r="B1545" t="str">
            <v>MXS16-30AS-M9NL</v>
          </cell>
          <cell r="C1545">
            <v>97004470</v>
          </cell>
          <cell r="D1545">
            <v>0</v>
          </cell>
          <cell r="E1545">
            <v>0</v>
          </cell>
          <cell r="F1545">
            <v>1073.0020000000002</v>
          </cell>
        </row>
        <row r="1546">
          <cell r="A1546" t="str">
            <v>MXS-16-40</v>
          </cell>
          <cell r="B1546" t="str">
            <v>MXS16-40</v>
          </cell>
          <cell r="C1546">
            <v>1261849</v>
          </cell>
          <cell r="D1546">
            <v>0</v>
          </cell>
          <cell r="E1546">
            <v>0</v>
          </cell>
          <cell r="F1546">
            <v>814.7915999999999</v>
          </cell>
        </row>
        <row r="1547">
          <cell r="A1547" t="str">
            <v>MXS16-50</v>
          </cell>
          <cell r="B1547">
            <v>0</v>
          </cell>
          <cell r="C1547">
            <v>1127411</v>
          </cell>
          <cell r="D1547">
            <v>0</v>
          </cell>
          <cell r="E1547" t="str">
            <v>UNIT LINEAR 016-0050</v>
          </cell>
          <cell r="F1547">
            <v>880.28009999999995</v>
          </cell>
        </row>
        <row r="1548">
          <cell r="A1548" t="str">
            <v>MXS16-50-X1123</v>
          </cell>
          <cell r="B1548">
            <v>0</v>
          </cell>
          <cell r="C1548">
            <v>1261838</v>
          </cell>
          <cell r="D1548">
            <v>0</v>
          </cell>
          <cell r="E1548">
            <v>0</v>
          </cell>
          <cell r="F1548">
            <v>1032.2928000000002</v>
          </cell>
        </row>
        <row r="1549">
          <cell r="A1549" t="str">
            <v>MXS16-75</v>
          </cell>
          <cell r="B1549">
            <v>0</v>
          </cell>
          <cell r="C1549">
            <v>1127412</v>
          </cell>
          <cell r="D1549">
            <v>0</v>
          </cell>
          <cell r="E1549" t="str">
            <v>UNIT LINEAR 016-0075</v>
          </cell>
          <cell r="F1549">
            <v>1043.9793</v>
          </cell>
        </row>
        <row r="1550">
          <cell r="A1550" t="str">
            <v>MXS16L-75</v>
          </cell>
          <cell r="B1550">
            <v>0</v>
          </cell>
          <cell r="C1550">
            <v>1261856</v>
          </cell>
          <cell r="D1550">
            <v>0</v>
          </cell>
          <cell r="E1550">
            <v>0</v>
          </cell>
          <cell r="F1550">
            <v>1043.9793</v>
          </cell>
        </row>
        <row r="1551">
          <cell r="A1551" t="str">
            <v>MXS20-100</v>
          </cell>
          <cell r="B1551">
            <v>0</v>
          </cell>
          <cell r="C1551">
            <v>97004870</v>
          </cell>
          <cell r="D1551">
            <v>0</v>
          </cell>
          <cell r="E1551">
            <v>0</v>
          </cell>
          <cell r="F1551">
            <v>1269.5066999999999</v>
          </cell>
        </row>
        <row r="1552">
          <cell r="A1552" t="str">
            <v>MXS6-10</v>
          </cell>
          <cell r="B1552">
            <v>0</v>
          </cell>
          <cell r="C1552">
            <v>1127403</v>
          </cell>
          <cell r="D1552">
            <v>0</v>
          </cell>
          <cell r="E1552" t="str">
            <v>UNIT-LINEAR 006 0010</v>
          </cell>
          <cell r="F1552">
            <v>420.05250000000001</v>
          </cell>
        </row>
        <row r="1553">
          <cell r="A1553" t="str">
            <v>MXS6-10A-M9NL</v>
          </cell>
          <cell r="B1553">
            <v>0</v>
          </cell>
          <cell r="C1553">
            <v>91300530</v>
          </cell>
          <cell r="D1553">
            <v>0</v>
          </cell>
          <cell r="E1553" t="str">
            <v>TABLE-SLIDE PREC 06X10MM STR BOTH ADJUST</v>
          </cell>
          <cell r="F1553">
            <v>829.34460000000001</v>
          </cell>
        </row>
        <row r="1554">
          <cell r="A1554" t="str">
            <v>MXS6-10AS</v>
          </cell>
          <cell r="B1554">
            <v>0</v>
          </cell>
          <cell r="C1554">
            <v>91301730</v>
          </cell>
          <cell r="D1554">
            <v>0</v>
          </cell>
          <cell r="E1554" t="str">
            <v>TABLE-SLIDE PREC 06X10MM STR W/ADJUSTER</v>
          </cell>
          <cell r="F1554">
            <v>625.64670000000001</v>
          </cell>
        </row>
        <row r="1555">
          <cell r="A1555" t="str">
            <v>MXS6-20</v>
          </cell>
          <cell r="B1555">
            <v>0</v>
          </cell>
          <cell r="C1555">
            <v>1127404</v>
          </cell>
          <cell r="D1555">
            <v>0</v>
          </cell>
          <cell r="E1555" t="str">
            <v>UNIT LINEAR 006-0020</v>
          </cell>
          <cell r="F1555">
            <v>590.93117999999993</v>
          </cell>
        </row>
        <row r="1556">
          <cell r="A1556" t="str">
            <v>MXS6-20A</v>
          </cell>
          <cell r="B1556">
            <v>0</v>
          </cell>
          <cell r="C1556">
            <v>1261970</v>
          </cell>
          <cell r="D1556">
            <v>0</v>
          </cell>
          <cell r="E1556" t="str">
            <v>UNIT LINEAR 006-0020 LIMIT-OF-STROKE</v>
          </cell>
          <cell r="F1556">
            <v>752.96339999999998</v>
          </cell>
        </row>
        <row r="1557">
          <cell r="A1557" t="str">
            <v>MXS6-20A-M9NL</v>
          </cell>
          <cell r="B1557">
            <v>0</v>
          </cell>
          <cell r="C1557">
            <v>91300730</v>
          </cell>
          <cell r="D1557">
            <v>0</v>
          </cell>
          <cell r="E1557" t="str">
            <v>TABLE-SLIDE PREC 06X20MM STR BOTH ADJUST</v>
          </cell>
          <cell r="F1557">
            <v>891.21690000000012</v>
          </cell>
        </row>
        <row r="1558">
          <cell r="A1558" t="str">
            <v>MXS6-20AS</v>
          </cell>
          <cell r="B1558">
            <v>0</v>
          </cell>
          <cell r="C1558">
            <v>1127372</v>
          </cell>
          <cell r="D1558">
            <v>0</v>
          </cell>
          <cell r="E1558" t="str">
            <v>UNIT-LINEAR STROKE  20MM</v>
          </cell>
          <cell r="F1558">
            <v>687.47490000000005</v>
          </cell>
        </row>
        <row r="1559">
          <cell r="A1559" t="str">
            <v>MXS6-30</v>
          </cell>
          <cell r="B1559">
            <v>0</v>
          </cell>
          <cell r="C1559" t="str">
            <v>1260193/  1261803</v>
          </cell>
          <cell r="D1559">
            <v>0</v>
          </cell>
          <cell r="E1559" t="str">
            <v>UNIT-LINEAR 006 0030</v>
          </cell>
          <cell r="F1559">
            <v>683.8587</v>
          </cell>
        </row>
        <row r="1560">
          <cell r="A1560" t="str">
            <v>MXS6-30AS</v>
          </cell>
          <cell r="B1560">
            <v>0</v>
          </cell>
          <cell r="C1560">
            <v>97005090</v>
          </cell>
          <cell r="D1560">
            <v>0</v>
          </cell>
          <cell r="E1560">
            <v>0</v>
          </cell>
          <cell r="F1560">
            <v>749.34719999999993</v>
          </cell>
        </row>
        <row r="1561">
          <cell r="A1561" t="str">
            <v>MXS6-40</v>
          </cell>
          <cell r="B1561">
            <v>0</v>
          </cell>
          <cell r="C1561">
            <v>4020184</v>
          </cell>
          <cell r="D1561">
            <v>0</v>
          </cell>
          <cell r="E1561" t="str">
            <v>SLIDE AIR TABLE MXS6-40</v>
          </cell>
          <cell r="F1561">
            <v>752.96339999999998</v>
          </cell>
        </row>
        <row r="1562">
          <cell r="A1562" t="str">
            <v>MXS6-50A</v>
          </cell>
          <cell r="B1562">
            <v>0</v>
          </cell>
          <cell r="C1562">
            <v>97004880</v>
          </cell>
          <cell r="D1562">
            <v>0</v>
          </cell>
          <cell r="E1562">
            <v>0</v>
          </cell>
          <cell r="F1562">
            <v>949.38480000000004</v>
          </cell>
        </row>
        <row r="1563">
          <cell r="A1563" t="str">
            <v>MXS6L-20</v>
          </cell>
          <cell r="B1563">
            <v>0</v>
          </cell>
          <cell r="C1563">
            <v>1260115</v>
          </cell>
          <cell r="D1563">
            <v>0</v>
          </cell>
          <cell r="E1563">
            <v>0</v>
          </cell>
          <cell r="F1563">
            <v>622.03049999999996</v>
          </cell>
        </row>
        <row r="1564">
          <cell r="A1564" t="str">
            <v>MXS8-10</v>
          </cell>
          <cell r="B1564">
            <v>0</v>
          </cell>
          <cell r="C1564" t="str">
            <v>97000690/ 1127453</v>
          </cell>
          <cell r="D1564">
            <v>0</v>
          </cell>
          <cell r="E1564">
            <v>0</v>
          </cell>
          <cell r="F1564">
            <v>640.19970000000001</v>
          </cell>
        </row>
        <row r="1565">
          <cell r="A1565" t="str">
            <v>MXS8-10A-F9NL</v>
          </cell>
          <cell r="B1565" t="str">
            <v>MXS8-10A-M9NL</v>
          </cell>
          <cell r="C1565">
            <v>91300270</v>
          </cell>
          <cell r="D1565">
            <v>0</v>
          </cell>
          <cell r="E1565">
            <v>0</v>
          </cell>
          <cell r="F1565">
            <v>1024.6389999999999</v>
          </cell>
        </row>
        <row r="1566">
          <cell r="A1566" t="str">
            <v>MXS8-20</v>
          </cell>
          <cell r="B1566">
            <v>0</v>
          </cell>
          <cell r="C1566">
            <v>1127405</v>
          </cell>
          <cell r="D1566">
            <v>0</v>
          </cell>
          <cell r="E1566" t="str">
            <v>UNIT LINEAR 008-0020</v>
          </cell>
          <cell r="F1566">
            <v>576.17531999999994</v>
          </cell>
        </row>
        <row r="1567">
          <cell r="A1567" t="str">
            <v>MXS8-20AS</v>
          </cell>
          <cell r="B1567">
            <v>0</v>
          </cell>
          <cell r="C1567">
            <v>1127200</v>
          </cell>
          <cell r="D1567">
            <v>0</v>
          </cell>
          <cell r="E1567" t="str">
            <v>UNIT-LINEAR STROKE  20MM</v>
          </cell>
          <cell r="F1567">
            <v>709.3044000000001</v>
          </cell>
        </row>
        <row r="1568">
          <cell r="A1568" t="str">
            <v>MXS8-30</v>
          </cell>
          <cell r="B1568">
            <v>0</v>
          </cell>
          <cell r="C1568">
            <v>1127452</v>
          </cell>
          <cell r="D1568">
            <v>0</v>
          </cell>
          <cell r="E1568" t="str">
            <v>UNIT-LINEAR 008 0030</v>
          </cell>
          <cell r="F1568">
            <v>705.68820000000005</v>
          </cell>
        </row>
        <row r="1569">
          <cell r="A1569" t="str">
            <v>MXS8-40</v>
          </cell>
          <cell r="B1569">
            <v>0</v>
          </cell>
          <cell r="C1569">
            <v>1360877</v>
          </cell>
          <cell r="D1569">
            <v>0</v>
          </cell>
          <cell r="E1569">
            <v>0</v>
          </cell>
          <cell r="F1569">
            <v>724.56966399999999</v>
          </cell>
        </row>
        <row r="1570">
          <cell r="A1570" t="str">
            <v>MXS8-40A-F9NL</v>
          </cell>
          <cell r="B1570">
            <v>0</v>
          </cell>
          <cell r="C1570">
            <v>91300820</v>
          </cell>
          <cell r="D1570">
            <v>0</v>
          </cell>
          <cell r="E1570">
            <v>0</v>
          </cell>
          <cell r="F1570">
            <v>1047.5955000000001</v>
          </cell>
        </row>
        <row r="1571">
          <cell r="A1571" t="str">
            <v>MXS8-50</v>
          </cell>
          <cell r="B1571">
            <v>0</v>
          </cell>
          <cell r="C1571">
            <v>1127406</v>
          </cell>
          <cell r="D1571">
            <v>0</v>
          </cell>
          <cell r="E1571" t="str">
            <v>UNIT LINEAR 008-0050</v>
          </cell>
          <cell r="F1571">
            <v>627.465825</v>
          </cell>
        </row>
        <row r="1572">
          <cell r="A1572" t="str">
            <v>MXS8-75</v>
          </cell>
          <cell r="B1572">
            <v>0</v>
          </cell>
          <cell r="C1572">
            <v>0</v>
          </cell>
          <cell r="D1572">
            <v>0</v>
          </cell>
          <cell r="E1572">
            <v>0</v>
          </cell>
          <cell r="F1572">
            <v>825.95968000000005</v>
          </cell>
        </row>
        <row r="1573">
          <cell r="A1573" t="str">
            <v>MXS-8-L-10</v>
          </cell>
          <cell r="B1573" t="str">
            <v>MXS8L-10</v>
          </cell>
          <cell r="C1573">
            <v>1260839</v>
          </cell>
          <cell r="D1573">
            <v>0</v>
          </cell>
          <cell r="E1573">
            <v>0</v>
          </cell>
          <cell r="F1573">
            <v>640.19970000000001</v>
          </cell>
        </row>
        <row r="1574">
          <cell r="A1574" t="str">
            <v>MXS8L-20</v>
          </cell>
          <cell r="B1574">
            <v>0</v>
          </cell>
          <cell r="C1574">
            <v>97000710</v>
          </cell>
          <cell r="D1574">
            <v>0</v>
          </cell>
          <cell r="E1574">
            <v>0</v>
          </cell>
          <cell r="F1574">
            <v>640.19970000000001</v>
          </cell>
        </row>
        <row r="1575">
          <cell r="A1575" t="str">
            <v>MXS8L-75</v>
          </cell>
          <cell r="B1575">
            <v>0</v>
          </cell>
          <cell r="C1575">
            <v>0</v>
          </cell>
          <cell r="D1575">
            <v>0</v>
          </cell>
          <cell r="E1575">
            <v>0</v>
          </cell>
          <cell r="F1575">
            <v>847.97439999999995</v>
          </cell>
        </row>
        <row r="1576">
          <cell r="A1576" t="str">
            <v>MXS-A1227</v>
          </cell>
          <cell r="B1576">
            <v>0</v>
          </cell>
          <cell r="C1576">
            <v>1130753</v>
          </cell>
          <cell r="D1576">
            <v>0</v>
          </cell>
          <cell r="E1576" t="str">
            <v>SCREW-STOP M 8X1.00 L= 18.5</v>
          </cell>
          <cell r="F1576">
            <v>26.989200000000004</v>
          </cell>
        </row>
        <row r="1577">
          <cell r="A1577" t="str">
            <v>MXS-A1227-X12</v>
          </cell>
          <cell r="B1577">
            <v>0</v>
          </cell>
          <cell r="C1577">
            <v>1131969</v>
          </cell>
          <cell r="D1577">
            <v>0</v>
          </cell>
          <cell r="E1577">
            <v>0</v>
          </cell>
          <cell r="F1577">
            <v>55.786500000000004</v>
          </cell>
        </row>
        <row r="1578">
          <cell r="A1578" t="str">
            <v>MXS-A1627</v>
          </cell>
          <cell r="B1578">
            <v>0</v>
          </cell>
          <cell r="C1578">
            <v>1130754</v>
          </cell>
          <cell r="D1578">
            <v>0</v>
          </cell>
          <cell r="E1578">
            <v>0</v>
          </cell>
          <cell r="F1578">
            <v>29.105999999999998</v>
          </cell>
        </row>
        <row r="1579">
          <cell r="A1579" t="str">
            <v>MXS-A1627-X11</v>
          </cell>
          <cell r="B1579">
            <v>0</v>
          </cell>
          <cell r="C1579">
            <v>1135569</v>
          </cell>
          <cell r="D1579">
            <v>0</v>
          </cell>
          <cell r="E1579">
            <v>0</v>
          </cell>
          <cell r="F1579">
            <v>63.856800000000007</v>
          </cell>
        </row>
        <row r="1580">
          <cell r="A1580" t="str">
            <v>MXS-A2027</v>
          </cell>
          <cell r="B1580">
            <v>0</v>
          </cell>
          <cell r="C1580">
            <v>1130755</v>
          </cell>
          <cell r="D1580">
            <v>0</v>
          </cell>
          <cell r="E1580" t="str">
            <v>SCREW-STOP M12X1.25 L= 26</v>
          </cell>
          <cell r="F1580">
            <v>40.704299999999996</v>
          </cell>
        </row>
        <row r="1581">
          <cell r="A1581" t="str">
            <v>MXS-A2027-X12</v>
          </cell>
          <cell r="B1581">
            <v>0</v>
          </cell>
          <cell r="C1581">
            <v>1135570</v>
          </cell>
          <cell r="D1581">
            <v>0</v>
          </cell>
          <cell r="E1581">
            <v>0</v>
          </cell>
          <cell r="F1581">
            <v>41.674499999999995</v>
          </cell>
        </row>
        <row r="1582">
          <cell r="A1582" t="str">
            <v>MXS-A2527</v>
          </cell>
          <cell r="B1582">
            <v>0</v>
          </cell>
          <cell r="C1582">
            <v>1130756</v>
          </cell>
          <cell r="D1582">
            <v>0</v>
          </cell>
          <cell r="E1582">
            <v>0</v>
          </cell>
          <cell r="F1582">
            <v>42.732900000000001</v>
          </cell>
        </row>
        <row r="1583">
          <cell r="A1583" t="str">
            <v>MXS-A627</v>
          </cell>
          <cell r="B1583">
            <v>0</v>
          </cell>
          <cell r="C1583">
            <v>1130747</v>
          </cell>
          <cell r="D1583">
            <v>0</v>
          </cell>
          <cell r="E1583" t="str">
            <v>SCREW-STOP M 5X0.8  L= 15</v>
          </cell>
          <cell r="F1583">
            <v>20.374200000000002</v>
          </cell>
        </row>
        <row r="1584">
          <cell r="A1584" t="str">
            <v>MXS-A827</v>
          </cell>
          <cell r="B1584">
            <v>0</v>
          </cell>
          <cell r="C1584">
            <v>1130748</v>
          </cell>
          <cell r="D1584">
            <v>0</v>
          </cell>
          <cell r="E1584">
            <v>0</v>
          </cell>
          <cell r="F1584">
            <v>28.664999999999999</v>
          </cell>
        </row>
        <row r="1585">
          <cell r="A1585" t="str">
            <v>MXS-A827-X12</v>
          </cell>
          <cell r="B1585">
            <v>0</v>
          </cell>
          <cell r="C1585">
            <v>1135568</v>
          </cell>
          <cell r="D1585">
            <v>0</v>
          </cell>
          <cell r="E1585">
            <v>0</v>
          </cell>
          <cell r="F1585">
            <v>56.756699999999995</v>
          </cell>
        </row>
        <row r="1586">
          <cell r="A1586" t="str">
            <v>MXS-AS12</v>
          </cell>
          <cell r="B1586">
            <v>0</v>
          </cell>
          <cell r="C1586">
            <v>1127349</v>
          </cell>
          <cell r="D1586">
            <v>0</v>
          </cell>
          <cell r="E1586" t="str">
            <v>STOP-FRONT + RUBBER D=12 0-5MM</v>
          </cell>
          <cell r="F1586">
            <v>62.74327499999999</v>
          </cell>
        </row>
        <row r="1587">
          <cell r="A1587" t="str">
            <v>MXS-AS12-X12</v>
          </cell>
          <cell r="B1587">
            <v>0</v>
          </cell>
          <cell r="C1587">
            <v>1127447</v>
          </cell>
          <cell r="D1587">
            <v>0</v>
          </cell>
          <cell r="E1587" t="str">
            <v>STOP-FRONT + RUBBER D=12 0-25MM</v>
          </cell>
          <cell r="F1587">
            <v>155.27610000000001</v>
          </cell>
        </row>
        <row r="1588">
          <cell r="A1588" t="str">
            <v>MXS-AS16</v>
          </cell>
          <cell r="B1588">
            <v>0</v>
          </cell>
          <cell r="C1588">
            <v>1127363</v>
          </cell>
          <cell r="D1588">
            <v>0</v>
          </cell>
          <cell r="E1588" t="str">
            <v>STOP-FRONT + RUBBER D=16 0-5MM</v>
          </cell>
          <cell r="F1588">
            <v>83.657699999999991</v>
          </cell>
        </row>
        <row r="1589">
          <cell r="A1589" t="str">
            <v>MXS-AS16-X11</v>
          </cell>
          <cell r="B1589">
            <v>0</v>
          </cell>
          <cell r="C1589" t="str">
            <v>1360762/ 1127395</v>
          </cell>
          <cell r="D1589">
            <v>0</v>
          </cell>
          <cell r="E1589" t="str">
            <v>STOP-FRONT + RUBBER D=16 0-15MM</v>
          </cell>
          <cell r="F1589">
            <v>126.40039999999999</v>
          </cell>
        </row>
        <row r="1590">
          <cell r="A1590" t="str">
            <v>MXS-AS16-X12</v>
          </cell>
          <cell r="B1590">
            <v>0</v>
          </cell>
          <cell r="C1590">
            <v>1127428</v>
          </cell>
          <cell r="D1590">
            <v>0</v>
          </cell>
          <cell r="E1590" t="str">
            <v>STOP-FRONT + RUBBER D=16 0-25MM</v>
          </cell>
          <cell r="F1590">
            <v>170.88749999999999</v>
          </cell>
        </row>
        <row r="1591">
          <cell r="A1591" t="str">
            <v>MXS-AS20</v>
          </cell>
          <cell r="B1591">
            <v>0</v>
          </cell>
          <cell r="C1591">
            <v>1127422</v>
          </cell>
          <cell r="D1591">
            <v>0</v>
          </cell>
          <cell r="E1591" t="str">
            <v>STOP-FRONT + RUBBER D=20 0-5MM</v>
          </cell>
          <cell r="F1591">
            <v>83.657699999999991</v>
          </cell>
        </row>
        <row r="1592">
          <cell r="A1592" t="str">
            <v>MXS-AS25</v>
          </cell>
          <cell r="B1592">
            <v>0</v>
          </cell>
          <cell r="C1592">
            <v>1127423</v>
          </cell>
          <cell r="D1592">
            <v>0</v>
          </cell>
          <cell r="E1592" t="str">
            <v>STOP-FRONT + RUBBER D=25 0-5MM</v>
          </cell>
          <cell r="F1592">
            <v>94.594500000000011</v>
          </cell>
        </row>
        <row r="1593">
          <cell r="A1593" t="str">
            <v>MXS-AS-25-X12</v>
          </cell>
          <cell r="B1593" t="str">
            <v>MXS-AS25-X12</v>
          </cell>
          <cell r="C1593">
            <v>1130122</v>
          </cell>
          <cell r="D1593">
            <v>0</v>
          </cell>
          <cell r="E1593">
            <v>0</v>
          </cell>
          <cell r="F1593">
            <v>170.88749999999999</v>
          </cell>
        </row>
        <row r="1594">
          <cell r="A1594" t="str">
            <v>MXS-AS6</v>
          </cell>
          <cell r="B1594">
            <v>0</v>
          </cell>
          <cell r="C1594">
            <v>1127420</v>
          </cell>
          <cell r="D1594">
            <v>0</v>
          </cell>
          <cell r="E1594" t="str">
            <v>STOP-FRONT + RUBBER D= 6 0-5MM</v>
          </cell>
          <cell r="F1594">
            <v>72.032939999999996</v>
          </cell>
        </row>
        <row r="1595">
          <cell r="A1595" t="str">
            <v>MXS-AS6-X11</v>
          </cell>
          <cell r="B1595">
            <v>0</v>
          </cell>
          <cell r="C1595">
            <v>1127445</v>
          </cell>
          <cell r="D1595">
            <v>0</v>
          </cell>
          <cell r="E1595">
            <v>0</v>
          </cell>
          <cell r="F1595">
            <v>109.14749999999999</v>
          </cell>
        </row>
        <row r="1596">
          <cell r="A1596" t="str">
            <v>MXS-AS8</v>
          </cell>
          <cell r="B1596">
            <v>0</v>
          </cell>
          <cell r="C1596">
            <v>1127421</v>
          </cell>
          <cell r="D1596">
            <v>0</v>
          </cell>
          <cell r="E1596" t="str">
            <v>STOP-FRONT + RUBBER D=8 0-5MM</v>
          </cell>
          <cell r="F1596">
            <v>83.657699999999991</v>
          </cell>
        </row>
        <row r="1597">
          <cell r="A1597" t="str">
            <v>MXS-AS8-X11</v>
          </cell>
          <cell r="B1597">
            <v>0</v>
          </cell>
          <cell r="C1597" t="str">
            <v>1360229/  1135486</v>
          </cell>
          <cell r="D1597">
            <v>0</v>
          </cell>
          <cell r="E1597">
            <v>0</v>
          </cell>
          <cell r="F1597">
            <v>126.02799999999999</v>
          </cell>
        </row>
        <row r="1598">
          <cell r="A1598" t="str">
            <v>MXS-AT12L-X11</v>
          </cell>
          <cell r="B1598">
            <v>0</v>
          </cell>
          <cell r="C1598">
            <v>1360880</v>
          </cell>
          <cell r="D1598">
            <v>0</v>
          </cell>
          <cell r="E1598">
            <v>0</v>
          </cell>
          <cell r="F1598">
            <v>155.80530000000002</v>
          </cell>
        </row>
        <row r="1599">
          <cell r="A1599" t="str">
            <v>MXS-AT12-X11</v>
          </cell>
          <cell r="B1599">
            <v>0</v>
          </cell>
          <cell r="C1599">
            <v>1127433</v>
          </cell>
          <cell r="D1599">
            <v>0</v>
          </cell>
          <cell r="E1599" t="str">
            <v>STOP-REAR + RUBBER D=12 0-15MM</v>
          </cell>
          <cell r="F1599">
            <v>84.572774999999993</v>
          </cell>
        </row>
        <row r="1600">
          <cell r="A1600" t="str">
            <v>MXS-AT12-X12</v>
          </cell>
          <cell r="B1600">
            <v>0</v>
          </cell>
          <cell r="C1600">
            <v>1127448</v>
          </cell>
          <cell r="D1600">
            <v>0</v>
          </cell>
          <cell r="E1600">
            <v>0</v>
          </cell>
          <cell r="F1600">
            <v>155.80530000000002</v>
          </cell>
        </row>
        <row r="1601">
          <cell r="A1601" t="str">
            <v>MXS-AT16-X12</v>
          </cell>
          <cell r="B1601">
            <v>0</v>
          </cell>
          <cell r="C1601">
            <v>1127429</v>
          </cell>
          <cell r="D1601">
            <v>0</v>
          </cell>
          <cell r="E1601" t="str">
            <v>STOP-REAR + RUBBER D=16 0-25MM</v>
          </cell>
          <cell r="F1601">
            <v>123.65639999999999</v>
          </cell>
        </row>
        <row r="1602">
          <cell r="A1602" t="str">
            <v>MXS-AT20-X11</v>
          </cell>
          <cell r="B1602">
            <v>0</v>
          </cell>
          <cell r="C1602">
            <v>1127443</v>
          </cell>
          <cell r="D1602">
            <v>0</v>
          </cell>
          <cell r="E1602">
            <v>0</v>
          </cell>
          <cell r="F1602">
            <v>170.88749999999999</v>
          </cell>
        </row>
        <row r="1603">
          <cell r="A1603" t="str">
            <v>MXS-AT25</v>
          </cell>
          <cell r="B1603">
            <v>0</v>
          </cell>
          <cell r="C1603">
            <v>1130123</v>
          </cell>
          <cell r="D1603">
            <v>0</v>
          </cell>
          <cell r="E1603">
            <v>0</v>
          </cell>
          <cell r="F1603">
            <v>130.66830000000002</v>
          </cell>
        </row>
        <row r="1604">
          <cell r="A1604" t="str">
            <v>MXS-AT6</v>
          </cell>
          <cell r="B1604">
            <v>0</v>
          </cell>
          <cell r="C1604">
            <v>1127424</v>
          </cell>
          <cell r="D1604">
            <v>0</v>
          </cell>
          <cell r="E1604" t="str">
            <v>STOP-REAR + RUBBER D= 6 0-5MM</v>
          </cell>
          <cell r="F1604">
            <v>72.03</v>
          </cell>
        </row>
        <row r="1605">
          <cell r="A1605" t="str">
            <v>MXS-AT6-X11</v>
          </cell>
          <cell r="B1605">
            <v>0</v>
          </cell>
          <cell r="C1605">
            <v>1127444</v>
          </cell>
          <cell r="D1605">
            <v>0</v>
          </cell>
          <cell r="E1605" t="str">
            <v>STOP-REAR + RUBBER D=6 0-15MM</v>
          </cell>
          <cell r="F1605">
            <v>121.81399999999999</v>
          </cell>
        </row>
        <row r="1606">
          <cell r="A1606" t="str">
            <v>MXS-AT8</v>
          </cell>
          <cell r="B1606">
            <v>0</v>
          </cell>
          <cell r="C1606">
            <v>1130399</v>
          </cell>
          <cell r="D1606">
            <v>0</v>
          </cell>
          <cell r="E1606">
            <v>0</v>
          </cell>
          <cell r="F1606">
            <v>109.809</v>
          </cell>
        </row>
        <row r="1607">
          <cell r="A1607" t="str">
            <v>MXS-BS12</v>
          </cell>
          <cell r="B1607">
            <v>0</v>
          </cell>
          <cell r="C1607">
            <v>1127425</v>
          </cell>
          <cell r="D1607">
            <v>0</v>
          </cell>
          <cell r="E1607">
            <v>0</v>
          </cell>
          <cell r="F1607">
            <v>241.227</v>
          </cell>
        </row>
        <row r="1608">
          <cell r="A1608" t="str">
            <v>MXS-BS12L</v>
          </cell>
          <cell r="B1608">
            <v>0</v>
          </cell>
          <cell r="C1608">
            <v>1360014</v>
          </cell>
          <cell r="D1608">
            <v>0</v>
          </cell>
          <cell r="E1608">
            <v>0</v>
          </cell>
          <cell r="F1608">
            <v>195.31400000000002</v>
          </cell>
        </row>
        <row r="1609">
          <cell r="A1609" t="str">
            <v>MXS-BS16</v>
          </cell>
          <cell r="B1609">
            <v>0</v>
          </cell>
          <cell r="C1609">
            <v>1127435</v>
          </cell>
          <cell r="D1609">
            <v>0</v>
          </cell>
          <cell r="E1609" t="str">
            <v>STOP-FRONT + DAMPER D=16</v>
          </cell>
          <cell r="F1609">
            <v>241.227</v>
          </cell>
        </row>
        <row r="1610">
          <cell r="A1610" t="str">
            <v>MXS-BS20</v>
          </cell>
          <cell r="B1610">
            <v>0</v>
          </cell>
          <cell r="C1610">
            <v>97003740</v>
          </cell>
          <cell r="D1610">
            <v>0</v>
          </cell>
          <cell r="E1610">
            <v>0</v>
          </cell>
          <cell r="F1610">
            <v>281.44620000000003</v>
          </cell>
        </row>
        <row r="1611">
          <cell r="A1611" t="str">
            <v>MXS-BS25</v>
          </cell>
          <cell r="B1611">
            <v>0</v>
          </cell>
          <cell r="C1611">
            <v>1127439</v>
          </cell>
          <cell r="D1611">
            <v>0</v>
          </cell>
          <cell r="E1611" t="str">
            <v>STOP-FRONT + DAMPER D=25</v>
          </cell>
          <cell r="F1611">
            <v>296.52839999999998</v>
          </cell>
        </row>
        <row r="1612">
          <cell r="A1612" t="str">
            <v>MXS-BS8</v>
          </cell>
          <cell r="B1612">
            <v>0</v>
          </cell>
          <cell r="C1612">
            <v>1360005</v>
          </cell>
          <cell r="D1612">
            <v>0</v>
          </cell>
          <cell r="E1612" t="str">
            <v>STOP-FRONT + DAMPER D= 8</v>
          </cell>
          <cell r="F1612">
            <v>123.567808</v>
          </cell>
        </row>
        <row r="1613">
          <cell r="A1613" t="str">
            <v>MXS-BS8L</v>
          </cell>
          <cell r="B1613">
            <v>0</v>
          </cell>
          <cell r="C1613">
            <v>0</v>
          </cell>
          <cell r="D1613">
            <v>0</v>
          </cell>
          <cell r="E1613">
            <v>0</v>
          </cell>
          <cell r="F1613">
            <v>123.567808</v>
          </cell>
        </row>
        <row r="1614">
          <cell r="A1614" t="str">
            <v>MXS-BT12</v>
          </cell>
          <cell r="B1614">
            <v>0</v>
          </cell>
          <cell r="C1614">
            <v>1127426</v>
          </cell>
          <cell r="D1614">
            <v>0</v>
          </cell>
          <cell r="E1614">
            <v>0</v>
          </cell>
          <cell r="F1614">
            <v>246.2544</v>
          </cell>
        </row>
        <row r="1615">
          <cell r="A1615" t="str">
            <v>MXS-BT12L</v>
          </cell>
          <cell r="B1615">
            <v>0</v>
          </cell>
          <cell r="C1615">
            <v>1360013</v>
          </cell>
          <cell r="D1615">
            <v>0</v>
          </cell>
          <cell r="E1615">
            <v>0</v>
          </cell>
          <cell r="F1615">
            <v>199.38099999999997</v>
          </cell>
        </row>
        <row r="1616">
          <cell r="A1616" t="str">
            <v>MXS-BT16</v>
          </cell>
          <cell r="B1616">
            <v>0</v>
          </cell>
          <cell r="C1616">
            <v>1127436</v>
          </cell>
          <cell r="D1616">
            <v>0</v>
          </cell>
          <cell r="E1616" t="str">
            <v>STOP-REAR + DAMPER D=16</v>
          </cell>
          <cell r="F1616">
            <v>246.2544</v>
          </cell>
        </row>
        <row r="1617">
          <cell r="A1617" t="str">
            <v>MXS-BT16L</v>
          </cell>
          <cell r="B1617">
            <v>0</v>
          </cell>
          <cell r="C1617">
            <v>1261857</v>
          </cell>
          <cell r="D1617">
            <v>0</v>
          </cell>
          <cell r="E1617">
            <v>0</v>
          </cell>
          <cell r="F1617">
            <v>246.2544</v>
          </cell>
        </row>
        <row r="1618">
          <cell r="A1618" t="str">
            <v>MXS-BT20</v>
          </cell>
          <cell r="B1618">
            <v>0</v>
          </cell>
          <cell r="C1618">
            <v>97003730</v>
          </cell>
          <cell r="D1618">
            <v>0</v>
          </cell>
          <cell r="E1618">
            <v>0</v>
          </cell>
          <cell r="F1618">
            <v>296.52839999999998</v>
          </cell>
        </row>
        <row r="1619">
          <cell r="A1619" t="str">
            <v>MXS-BT25</v>
          </cell>
          <cell r="B1619">
            <v>0</v>
          </cell>
          <cell r="C1619">
            <v>1127440</v>
          </cell>
          <cell r="D1619">
            <v>0</v>
          </cell>
          <cell r="E1619" t="str">
            <v>STOP-REAR + DAMPER D=25</v>
          </cell>
          <cell r="F1619">
            <v>311.61060000000003</v>
          </cell>
        </row>
        <row r="1620">
          <cell r="A1620" t="str">
            <v>MXS-BT8</v>
          </cell>
          <cell r="B1620">
            <v>0</v>
          </cell>
          <cell r="C1620">
            <v>1360012</v>
          </cell>
          <cell r="D1620">
            <v>0</v>
          </cell>
          <cell r="E1620" t="str">
            <v>STOP-REAR + DAMPER D= 8</v>
          </cell>
          <cell r="F1620">
            <v>126.17696000000001</v>
          </cell>
        </row>
        <row r="1621">
          <cell r="A1621" t="str">
            <v>MXS-BT8L</v>
          </cell>
          <cell r="B1621">
            <v>0</v>
          </cell>
          <cell r="C1621">
            <v>0</v>
          </cell>
          <cell r="D1621">
            <v>0</v>
          </cell>
          <cell r="E1621">
            <v>0</v>
          </cell>
          <cell r="F1621">
            <v>126.17696000000001</v>
          </cell>
        </row>
        <row r="1622">
          <cell r="A1622" t="str">
            <v>MXU16-10</v>
          </cell>
          <cell r="B1622">
            <v>0</v>
          </cell>
          <cell r="C1622">
            <v>1202685</v>
          </cell>
          <cell r="D1622">
            <v>0</v>
          </cell>
          <cell r="E1622" t="str">
            <v>UNIT-TRANSLATION DE 016 0010</v>
          </cell>
          <cell r="F1622">
            <v>370.92509999999999</v>
          </cell>
        </row>
        <row r="1623">
          <cell r="A1623" t="str">
            <v>MXU6-5</v>
          </cell>
          <cell r="B1623">
            <v>0</v>
          </cell>
          <cell r="C1623">
            <v>1260716</v>
          </cell>
          <cell r="D1623">
            <v>0</v>
          </cell>
          <cell r="E1623">
            <v>0</v>
          </cell>
          <cell r="F1623">
            <v>307.37699999999995</v>
          </cell>
        </row>
        <row r="1624">
          <cell r="A1624" t="str">
            <v>MXW16-200B</v>
          </cell>
          <cell r="B1624">
            <v>0</v>
          </cell>
          <cell r="C1624">
            <v>1262036</v>
          </cell>
          <cell r="D1624">
            <v>0</v>
          </cell>
          <cell r="E1624">
            <v>0</v>
          </cell>
          <cell r="F1624">
            <v>2199.3110999999999</v>
          </cell>
        </row>
        <row r="1625">
          <cell r="A1625" t="str">
            <v>MXW25-300B</v>
          </cell>
          <cell r="B1625">
            <v>0</v>
          </cell>
          <cell r="C1625">
            <v>99001150</v>
          </cell>
          <cell r="D1625">
            <v>0</v>
          </cell>
          <cell r="E1625">
            <v>0</v>
          </cell>
          <cell r="F1625">
            <v>3445.9740000000002</v>
          </cell>
        </row>
        <row r="1626">
          <cell r="A1626" t="str">
            <v>MY1M16G-400L</v>
          </cell>
          <cell r="B1626">
            <v>0</v>
          </cell>
          <cell r="C1626">
            <v>97002350</v>
          </cell>
          <cell r="D1626">
            <v>0</v>
          </cell>
          <cell r="E1626">
            <v>0</v>
          </cell>
          <cell r="F1626">
            <v>992.42640000000006</v>
          </cell>
        </row>
        <row r="1627">
          <cell r="A1627" t="str">
            <v>MY1M-25-G-400</v>
          </cell>
          <cell r="B1627" t="str">
            <v>MY1M25G-400</v>
          </cell>
          <cell r="C1627">
            <v>1203133</v>
          </cell>
          <cell r="D1627">
            <v>0</v>
          </cell>
          <cell r="E1627" t="str">
            <v>CYLINDER-LINEAR DE 025 0400</v>
          </cell>
          <cell r="F1627">
            <v>1022.8554</v>
          </cell>
        </row>
        <row r="1628">
          <cell r="A1628" t="str">
            <v>MY3A25-600</v>
          </cell>
          <cell r="B1628">
            <v>0</v>
          </cell>
          <cell r="C1628">
            <v>0</v>
          </cell>
          <cell r="D1628" t="str">
            <v>80.0000.8466</v>
          </cell>
          <cell r="E1628">
            <v>0</v>
          </cell>
          <cell r="F1628">
            <v>565.04448000000002</v>
          </cell>
        </row>
        <row r="1629">
          <cell r="A1629" t="str">
            <v>MY3B16-420</v>
          </cell>
          <cell r="B1629">
            <v>0</v>
          </cell>
          <cell r="C1629">
            <v>4001267</v>
          </cell>
          <cell r="D1629">
            <v>0</v>
          </cell>
          <cell r="E1629" t="str">
            <v>RODLESS CYLINDER B=16 S=420</v>
          </cell>
          <cell r="F1629">
            <v>505.73879999999991</v>
          </cell>
        </row>
        <row r="1630">
          <cell r="A1630" t="str">
            <v>MY3M16-420</v>
          </cell>
          <cell r="B1630">
            <v>0</v>
          </cell>
          <cell r="C1630">
            <v>4001173</v>
          </cell>
          <cell r="D1630">
            <v>0</v>
          </cell>
          <cell r="E1630" t="str">
            <v>RODLESS CYLINDER B=16 S=420</v>
          </cell>
          <cell r="F1630">
            <v>784.67129999999997</v>
          </cell>
        </row>
        <row r="1631">
          <cell r="A1631" t="str">
            <v>MYM-A25H</v>
          </cell>
          <cell r="B1631">
            <v>0</v>
          </cell>
          <cell r="C1631">
            <v>4010127</v>
          </cell>
          <cell r="D1631">
            <v>0</v>
          </cell>
          <cell r="E1631" t="str">
            <v>SLIDE ADJUSTING STROKE</v>
          </cell>
          <cell r="F1631">
            <v>239.85989999999998</v>
          </cell>
        </row>
        <row r="1632">
          <cell r="A1632" t="str">
            <v>NAC3040-ULB960188</v>
          </cell>
          <cell r="B1632">
            <v>0</v>
          </cell>
          <cell r="C1632">
            <v>91500000</v>
          </cell>
          <cell r="D1632">
            <v>0</v>
          </cell>
          <cell r="E1632" t="str">
            <v>MODULE-AIR FILTER+REG 3PORT SOFT START</v>
          </cell>
          <cell r="F1632">
            <v>1392.6780000000001</v>
          </cell>
        </row>
        <row r="1633">
          <cell r="A1633" t="str">
            <v>NAKM2000-N01</v>
          </cell>
          <cell r="B1633">
            <v>0</v>
          </cell>
          <cell r="C1633">
            <v>91000520</v>
          </cell>
          <cell r="D1633">
            <v>0</v>
          </cell>
          <cell r="E1633" t="str">
            <v>VALVE-CHECK 1/8X1/8NPT</v>
          </cell>
          <cell r="F1633">
            <v>57.33</v>
          </cell>
        </row>
        <row r="1634">
          <cell r="A1634" t="str">
            <v>NAN101-N01</v>
          </cell>
          <cell r="B1634">
            <v>0</v>
          </cell>
          <cell r="C1634" t="str">
            <v>D1002185</v>
          </cell>
          <cell r="D1634">
            <v>3601394</v>
          </cell>
          <cell r="E1634" t="str">
            <v>MUFFLER, 1/8NPT, 16</v>
          </cell>
          <cell r="F1634">
            <v>10.3635</v>
          </cell>
        </row>
        <row r="1635">
          <cell r="A1635" t="str">
            <v>NAN110-N01</v>
          </cell>
          <cell r="B1635">
            <v>0</v>
          </cell>
          <cell r="C1635">
            <v>91002570</v>
          </cell>
          <cell r="D1635" t="str">
            <v>655-571</v>
          </cell>
          <cell r="E1635" t="str">
            <v>MUFFLER</v>
          </cell>
          <cell r="F1635">
            <v>10.3635</v>
          </cell>
        </row>
        <row r="1636">
          <cell r="A1636" t="str">
            <v>NAN120-M5</v>
          </cell>
          <cell r="B1636">
            <v>0</v>
          </cell>
          <cell r="C1636">
            <v>91002580</v>
          </cell>
          <cell r="D1636">
            <v>0</v>
          </cell>
          <cell r="E1636" t="str">
            <v>SILENCER-M5 18DB SINTERED BRONZE</v>
          </cell>
          <cell r="F1636">
            <v>6.879599999999999</v>
          </cell>
        </row>
        <row r="1637">
          <cell r="A1637" t="str">
            <v>NAS1200-U10/32</v>
          </cell>
          <cell r="B1637">
            <v>0</v>
          </cell>
          <cell r="C1637">
            <v>91001670</v>
          </cell>
          <cell r="D1637">
            <v>0</v>
          </cell>
          <cell r="E1637">
            <v>0</v>
          </cell>
          <cell r="F1637">
            <v>28.400400000000005</v>
          </cell>
        </row>
        <row r="1638">
          <cell r="A1638" t="str">
            <v>NAV3000-N03-5DZ</v>
          </cell>
          <cell r="B1638">
            <v>0</v>
          </cell>
          <cell r="C1638">
            <v>91008220</v>
          </cell>
          <cell r="D1638" t="str">
            <v>A0000014016</v>
          </cell>
          <cell r="E1638" t="str">
            <v>SOFT_START_VALVE</v>
          </cell>
          <cell r="F1638">
            <v>386.97750000000002</v>
          </cell>
        </row>
        <row r="1639">
          <cell r="A1639" t="str">
            <v>NCDJ2B10-500-H7A1L</v>
          </cell>
          <cell r="B1639">
            <v>0</v>
          </cell>
          <cell r="C1639" t="str">
            <v>D1003326</v>
          </cell>
          <cell r="D1639">
            <v>3603130</v>
          </cell>
          <cell r="E1639" t="str">
            <v>CYLINDER,10MM D,5IN STROKE</v>
          </cell>
          <cell r="F1639">
            <v>256.80900000000003</v>
          </cell>
        </row>
        <row r="1640">
          <cell r="A1640" t="str">
            <v>NCDJ2B10-600-H7A1L</v>
          </cell>
          <cell r="B1640">
            <v>0</v>
          </cell>
          <cell r="C1640" t="str">
            <v>D1000892</v>
          </cell>
          <cell r="D1640">
            <v>3603756</v>
          </cell>
          <cell r="E1640" t="str">
            <v>CYLINDER, 10MM D, 6 IN STROKE</v>
          </cell>
          <cell r="F1640">
            <v>341.43199999999996</v>
          </cell>
        </row>
        <row r="1641">
          <cell r="A1641" t="str">
            <v>NCDJ2B16-700-B</v>
          </cell>
          <cell r="B1641">
            <v>0</v>
          </cell>
          <cell r="C1641" t="str">
            <v>D1000497</v>
          </cell>
          <cell r="D1641">
            <v>3603745</v>
          </cell>
          <cell r="E1641" t="str">
            <v>AIR CYLINDER,5/8 D,7.0 STROKE</v>
          </cell>
          <cell r="F1641">
            <v>71.736000000000004</v>
          </cell>
        </row>
        <row r="1642">
          <cell r="A1642" t="str">
            <v>NCDJ2B16-700-H7A1L</v>
          </cell>
          <cell r="B1642">
            <v>0</v>
          </cell>
          <cell r="C1642" t="str">
            <v>D1003529</v>
          </cell>
          <cell r="D1642">
            <v>3603132</v>
          </cell>
          <cell r="E1642" t="str">
            <v>CYLINDER,16MM D,7IN STROKE</v>
          </cell>
          <cell r="F1642">
            <v>274.84100000000001</v>
          </cell>
        </row>
        <row r="1643">
          <cell r="A1643" t="str">
            <v>NCDQ2B12-5DZ</v>
          </cell>
          <cell r="B1643">
            <v>0</v>
          </cell>
          <cell r="C1643">
            <v>4001780</v>
          </cell>
          <cell r="D1643">
            <v>0</v>
          </cell>
          <cell r="E1643" t="str">
            <v>COMPACT CYLINDER</v>
          </cell>
          <cell r="F1643">
            <v>60.49049999999999</v>
          </cell>
        </row>
        <row r="1644">
          <cell r="A1644" t="str">
            <v>NCJ2B6-01-0005USL</v>
          </cell>
          <cell r="B1644">
            <v>0</v>
          </cell>
          <cell r="C1644">
            <v>91001580</v>
          </cell>
          <cell r="D1644">
            <v>0</v>
          </cell>
          <cell r="E1644" t="str">
            <v>CYLINDER-AIR STD 06X25.4MM STR DBL ACTG</v>
          </cell>
          <cell r="F1644">
            <v>127.008</v>
          </cell>
        </row>
        <row r="1645">
          <cell r="A1645" t="str">
            <v>NCMB088-SEE NOTES (NCMB088-0225-DUN02420)</v>
          </cell>
          <cell r="B1645" t="str">
            <v>NCMB088-0225-DUN02420 (MOQ 8 pcs)</v>
          </cell>
          <cell r="C1645" t="str">
            <v>D1000320</v>
          </cell>
          <cell r="D1645">
            <v>0</v>
          </cell>
          <cell r="E1645">
            <v>0</v>
          </cell>
          <cell r="F1645">
            <v>171.5</v>
          </cell>
        </row>
        <row r="1646">
          <cell r="A1646" t="str">
            <v>NIS1000M-2YL</v>
          </cell>
          <cell r="B1646">
            <v>0</v>
          </cell>
          <cell r="C1646">
            <v>91000930</v>
          </cell>
          <cell r="D1646">
            <v>0</v>
          </cell>
          <cell r="E1646" t="str">
            <v>SWITCH-PRESSURE 24V 100PSI</v>
          </cell>
          <cell r="F1646">
            <v>124.31789999999999</v>
          </cell>
        </row>
        <row r="1647">
          <cell r="A1647" t="str">
            <v>NJ07</v>
          </cell>
          <cell r="B1647">
            <v>0</v>
          </cell>
          <cell r="C1647" t="str">
            <v>D1003002</v>
          </cell>
          <cell r="D1647">
            <v>3200184</v>
          </cell>
          <cell r="E1647" t="str">
            <v>COUPLER, ALIGNMENT 7/16-20UNF</v>
          </cell>
          <cell r="F1647">
            <v>525.32899999999995</v>
          </cell>
        </row>
        <row r="1648">
          <cell r="A1648" t="str">
            <v>NJ08</v>
          </cell>
          <cell r="B1648">
            <v>0</v>
          </cell>
          <cell r="C1648">
            <v>91300360</v>
          </cell>
          <cell r="D1648">
            <v>2000952</v>
          </cell>
          <cell r="E1648" t="str">
            <v>ALIGNMENT,COUPLER</v>
          </cell>
          <cell r="F1648">
            <v>304</v>
          </cell>
        </row>
        <row r="1649">
          <cell r="A1649" t="str">
            <v>NJ10-32</v>
          </cell>
          <cell r="B1649">
            <v>0</v>
          </cell>
          <cell r="C1649" t="str">
            <v>D1002046</v>
          </cell>
          <cell r="D1649">
            <v>3200039</v>
          </cell>
          <cell r="E1649" t="str">
            <v>COUPLING,FLOATING</v>
          </cell>
          <cell r="F1649">
            <v>62.670999999999999</v>
          </cell>
        </row>
        <row r="1650">
          <cell r="A1650" t="str">
            <v>NRB031-025</v>
          </cell>
          <cell r="B1650">
            <v>0</v>
          </cell>
          <cell r="C1650">
            <v>91001610</v>
          </cell>
          <cell r="D1650">
            <v>0</v>
          </cell>
          <cell r="E1650" t="str">
            <v>SHOCK ABSORBER-.31-32UNF .25ST</v>
          </cell>
          <cell r="F1650">
            <v>101.03309999999999</v>
          </cell>
        </row>
        <row r="1651">
          <cell r="A1651" t="str">
            <v>NT-G05</v>
          </cell>
          <cell r="B1651">
            <v>0</v>
          </cell>
          <cell r="C1651">
            <v>91002470</v>
          </cell>
          <cell r="D1651">
            <v>0</v>
          </cell>
          <cell r="E1651">
            <v>0</v>
          </cell>
          <cell r="F1651">
            <v>2.9546999999999999</v>
          </cell>
        </row>
        <row r="1652">
          <cell r="A1652" t="str">
            <v>NVF110-5DZ-01T-F</v>
          </cell>
          <cell r="B1652">
            <v>0</v>
          </cell>
          <cell r="C1652">
            <v>91000800</v>
          </cell>
          <cell r="D1652">
            <v>0</v>
          </cell>
          <cell r="E1652" t="str">
            <v>VALVE-SOL 3WAY NC 24VDC W/FOOT</v>
          </cell>
          <cell r="F1652">
            <v>119.42280000000001</v>
          </cell>
        </row>
        <row r="1653">
          <cell r="A1653" t="str">
            <v>NVHS2000-N01</v>
          </cell>
          <cell r="B1653">
            <v>0</v>
          </cell>
          <cell r="C1653">
            <v>91000550</v>
          </cell>
          <cell r="D1653">
            <v>0</v>
          </cell>
          <cell r="E1653" t="str">
            <v>VALVE-MANUAL 3 PORT SHUT-OFF 1/8</v>
          </cell>
          <cell r="F1653">
            <v>63.989100000000001</v>
          </cell>
        </row>
        <row r="1654">
          <cell r="A1654" t="str">
            <v>NVJ3140-5LZ</v>
          </cell>
          <cell r="B1654">
            <v>0</v>
          </cell>
          <cell r="C1654">
            <v>91001540</v>
          </cell>
          <cell r="D1654">
            <v>0</v>
          </cell>
          <cell r="E1654" t="str">
            <v>VALVE-SOL 2POS SGL 5PORT 24VDC NC BASE</v>
          </cell>
          <cell r="F1654">
            <v>126.52289999999999</v>
          </cell>
        </row>
        <row r="1655">
          <cell r="A1655" t="str">
            <v>NVK3120-5G-M5</v>
          </cell>
          <cell r="B1655">
            <v>0</v>
          </cell>
          <cell r="C1655">
            <v>91002360</v>
          </cell>
          <cell r="D1655">
            <v>0</v>
          </cell>
          <cell r="E1655" t="str">
            <v>VALVE-SOL 3PORT 24VDC 2POS M5</v>
          </cell>
          <cell r="F1655">
            <v>142.97219999999999</v>
          </cell>
        </row>
        <row r="1656">
          <cell r="A1656" t="str">
            <v>NVR1210-N01</v>
          </cell>
          <cell r="B1656">
            <v>0</v>
          </cell>
          <cell r="C1656">
            <v>97004320</v>
          </cell>
          <cell r="D1656">
            <v>0</v>
          </cell>
          <cell r="E1656">
            <v>0</v>
          </cell>
          <cell r="F1656">
            <v>38.411099999999998</v>
          </cell>
        </row>
        <row r="1657">
          <cell r="A1657" t="str">
            <v>NVZ2250-5MZ</v>
          </cell>
          <cell r="B1657">
            <v>0</v>
          </cell>
          <cell r="C1657">
            <v>91000630</v>
          </cell>
          <cell r="D1657">
            <v>0</v>
          </cell>
          <cell r="E1657" t="str">
            <v>VALVE-SOL 2POS DBL 5PORT 24VDC</v>
          </cell>
          <cell r="F1657">
            <v>246.3426</v>
          </cell>
        </row>
        <row r="1658">
          <cell r="A1658" t="str">
            <v>NZM071HT-K5LZ-E15L</v>
          </cell>
          <cell r="B1658">
            <v>0</v>
          </cell>
          <cell r="C1658">
            <v>91001180</v>
          </cell>
          <cell r="D1658">
            <v>0</v>
          </cell>
          <cell r="E1658" t="str">
            <v>EJECTOR-VACUUM W/VALVE 70PSI &amp; SWITCH</v>
          </cell>
          <cell r="F1658">
            <v>590.93999999999994</v>
          </cell>
        </row>
        <row r="1659">
          <cell r="A1659" t="str">
            <v>NZM073HT-K5LZ-E15L</v>
          </cell>
          <cell r="B1659">
            <v>0</v>
          </cell>
          <cell r="C1659">
            <v>91501030</v>
          </cell>
          <cell r="D1659">
            <v>0</v>
          </cell>
          <cell r="E1659" t="str">
            <v>EJECTOR-VACUUM W/VALVE 70PSI 24VDC</v>
          </cell>
          <cell r="F1659">
            <v>709.12800000000004</v>
          </cell>
        </row>
        <row r="1660">
          <cell r="A1660" t="str">
            <v>NZM121MT-K5LZ-E15L</v>
          </cell>
          <cell r="B1660">
            <v>0</v>
          </cell>
          <cell r="C1660">
            <v>91102160</v>
          </cell>
          <cell r="D1660">
            <v>0</v>
          </cell>
          <cell r="E1660" t="str">
            <v>EJECTOR-VACUUM W/VALVE 50PSI 24VDC</v>
          </cell>
          <cell r="F1660">
            <v>709.12800000000004</v>
          </cell>
        </row>
        <row r="1661">
          <cell r="A1661" t="str">
            <v>NZM131HT-K5LZ-E14CL</v>
          </cell>
          <cell r="B1661">
            <v>0</v>
          </cell>
          <cell r="C1661">
            <v>91002120</v>
          </cell>
          <cell r="D1661">
            <v>0</v>
          </cell>
          <cell r="E1661" t="str">
            <v>EJECTOR-VACUUM W/VALVE 70PSI 1.3MM</v>
          </cell>
          <cell r="F1661">
            <v>670.40819999999997</v>
          </cell>
        </row>
        <row r="1662">
          <cell r="A1662" t="str">
            <v>P211070-1</v>
          </cell>
          <cell r="B1662">
            <v>0</v>
          </cell>
          <cell r="C1662">
            <v>1202094</v>
          </cell>
          <cell r="D1662">
            <v>0</v>
          </cell>
          <cell r="E1662" t="str">
            <v>BOX P 211070-1</v>
          </cell>
          <cell r="F1662">
            <v>69.633900000000011</v>
          </cell>
        </row>
        <row r="1663">
          <cell r="A1663" t="str">
            <v>P211070-3</v>
          </cell>
          <cell r="B1663">
            <v>0</v>
          </cell>
          <cell r="C1663">
            <v>1202772</v>
          </cell>
          <cell r="D1663">
            <v>0</v>
          </cell>
          <cell r="E1663">
            <v>0</v>
          </cell>
          <cell r="F1663">
            <v>139.7088</v>
          </cell>
        </row>
        <row r="1664">
          <cell r="A1664" t="str">
            <v>P211090-1</v>
          </cell>
          <cell r="B1664">
            <v>0</v>
          </cell>
          <cell r="C1664">
            <v>1131346</v>
          </cell>
          <cell r="D1664">
            <v>0</v>
          </cell>
          <cell r="E1664" t="str">
            <v>SUPPORT-SENSOR FOR CYLINDER-ROTARY</v>
          </cell>
          <cell r="F1664">
            <v>104.51700000000001</v>
          </cell>
        </row>
        <row r="1665">
          <cell r="A1665" t="str">
            <v>P31816-01</v>
          </cell>
          <cell r="B1665">
            <v>0</v>
          </cell>
          <cell r="C1665">
            <v>91500860</v>
          </cell>
          <cell r="D1665" t="str">
            <v>68738988-000</v>
          </cell>
          <cell r="E1665" t="str">
            <v>INDIVIDUAL STATION GASKET *</v>
          </cell>
          <cell r="F1665">
            <v>1.2788999999999999</v>
          </cell>
        </row>
        <row r="1666">
          <cell r="A1666" t="str">
            <v>P31816-02</v>
          </cell>
          <cell r="B1666">
            <v>0</v>
          </cell>
          <cell r="C1666">
            <v>91500850</v>
          </cell>
          <cell r="D1666">
            <v>0</v>
          </cell>
          <cell r="E1666">
            <v>0</v>
          </cell>
          <cell r="F1666">
            <v>1.4552999999999998</v>
          </cell>
        </row>
        <row r="1667">
          <cell r="A1667" t="str">
            <v>P31816-03</v>
          </cell>
          <cell r="B1667">
            <v>0</v>
          </cell>
          <cell r="C1667">
            <v>91500820</v>
          </cell>
          <cell r="D1667" t="str">
            <v>68739226-000</v>
          </cell>
          <cell r="E1667" t="str">
            <v>END PLATE GASKET, LEFT *</v>
          </cell>
          <cell r="F1667">
            <v>1.1907000000000001</v>
          </cell>
        </row>
        <row r="1668">
          <cell r="A1668" t="str">
            <v>P31816-04</v>
          </cell>
          <cell r="B1668">
            <v>0</v>
          </cell>
          <cell r="C1668">
            <v>91500980</v>
          </cell>
          <cell r="D1668">
            <v>0</v>
          </cell>
          <cell r="E1668">
            <v>0</v>
          </cell>
          <cell r="F1668">
            <v>1.6316999999999999</v>
          </cell>
        </row>
        <row r="1669">
          <cell r="A1669" t="str">
            <v>P398010-12</v>
          </cell>
          <cell r="B1669">
            <v>0</v>
          </cell>
          <cell r="C1669">
            <v>1584718</v>
          </cell>
          <cell r="D1669" t="str">
            <v>80.0000.7269</v>
          </cell>
          <cell r="E1669" t="str">
            <v>ANSCHLUSSKABEL ITV GERADE (f.</v>
          </cell>
          <cell r="F1669">
            <v>61.885824</v>
          </cell>
        </row>
        <row r="1670">
          <cell r="A1670" t="str">
            <v>P398010-13</v>
          </cell>
          <cell r="B1670" t="str">
            <v>MOQ 20pcs</v>
          </cell>
          <cell r="C1670">
            <v>0</v>
          </cell>
          <cell r="D1670">
            <v>0</v>
          </cell>
          <cell r="E1670">
            <v>0</v>
          </cell>
          <cell r="F1670">
            <v>123.7</v>
          </cell>
        </row>
        <row r="1671">
          <cell r="A1671" t="str">
            <v>P407060-1</v>
          </cell>
          <cell r="B1671">
            <v>0</v>
          </cell>
          <cell r="C1671">
            <v>1360654</v>
          </cell>
          <cell r="D1671">
            <v>0</v>
          </cell>
          <cell r="E1671">
            <v>0</v>
          </cell>
          <cell r="F1671">
            <v>38.940300000000001</v>
          </cell>
        </row>
        <row r="1672">
          <cell r="A1672" t="str">
            <v>PF2A311-A</v>
          </cell>
          <cell r="B1672">
            <v>0</v>
          </cell>
          <cell r="C1672">
            <v>0</v>
          </cell>
          <cell r="D1672" t="str">
            <v>80.0000.8398</v>
          </cell>
          <cell r="E1672" t="str">
            <v>Volume flow extern sensor display</v>
          </cell>
          <cell r="F1672">
            <v>451.584</v>
          </cell>
        </row>
        <row r="1673">
          <cell r="A1673" t="str">
            <v>PF2A710-02-27</v>
          </cell>
          <cell r="B1673">
            <v>0</v>
          </cell>
          <cell r="C1673">
            <v>4001069</v>
          </cell>
          <cell r="D1673">
            <v>0</v>
          </cell>
          <cell r="E1673" t="str">
            <v>FLOWMETER-DIGITAL-DISPLAY</v>
          </cell>
          <cell r="F1673">
            <v>911.10599999999999</v>
          </cell>
        </row>
        <row r="1674">
          <cell r="A1674" t="str">
            <v>PF2A710-N01-27-M</v>
          </cell>
          <cell r="B1674">
            <v>0</v>
          </cell>
          <cell r="C1674">
            <v>1360614</v>
          </cell>
          <cell r="D1674">
            <v>0</v>
          </cell>
          <cell r="E1674" t="str">
            <v>FLOWMETER-DIGITAL-DISPLAY</v>
          </cell>
          <cell r="F1674">
            <v>911.10599999999999</v>
          </cell>
        </row>
        <row r="1675">
          <cell r="A1675" t="str">
            <v>PF2A711-F03-67</v>
          </cell>
          <cell r="B1675">
            <v>0</v>
          </cell>
          <cell r="C1675">
            <v>0</v>
          </cell>
          <cell r="D1675">
            <v>0</v>
          </cell>
          <cell r="E1675">
            <v>0</v>
          </cell>
          <cell r="F1675">
            <v>1991.8837120000001</v>
          </cell>
        </row>
        <row r="1676">
          <cell r="A1676" t="str">
            <v>PF2A750-F02-67</v>
          </cell>
          <cell r="B1676">
            <v>0</v>
          </cell>
          <cell r="C1676">
            <v>0</v>
          </cell>
          <cell r="D1676" t="str">
            <v>80.0001.2040</v>
          </cell>
          <cell r="E1676" t="str">
            <v>Flow Switch</v>
          </cell>
          <cell r="F1676">
            <v>949.40518399999996</v>
          </cell>
        </row>
        <row r="1677">
          <cell r="A1677" t="str">
            <v>PF2A751-F04-67N</v>
          </cell>
          <cell r="B1677">
            <v>0</v>
          </cell>
          <cell r="C1677">
            <v>1360978</v>
          </cell>
          <cell r="D1677" t="str">
            <v>80.0000.0212</v>
          </cell>
          <cell r="E1677" t="str">
            <v>Flow switch 500l</v>
          </cell>
          <cell r="F1677">
            <v>771.57359999999994</v>
          </cell>
        </row>
        <row r="1678">
          <cell r="A1678" t="str">
            <v>PFM710-C4-B-M</v>
          </cell>
          <cell r="B1678">
            <v>0</v>
          </cell>
          <cell r="C1678">
            <v>1584901</v>
          </cell>
          <cell r="D1678">
            <v>0</v>
          </cell>
          <cell r="E1678" t="str">
            <v>FLOW-SWITCH PFM7</v>
          </cell>
          <cell r="F1678">
            <v>374.98230000000001</v>
          </cell>
        </row>
        <row r="1679">
          <cell r="A1679" t="str">
            <v>PFM725-C6-B-W</v>
          </cell>
          <cell r="B1679">
            <v>0</v>
          </cell>
          <cell r="C1679">
            <v>4001692</v>
          </cell>
          <cell r="D1679">
            <v>0</v>
          </cell>
          <cell r="E1679" t="str">
            <v>DIGITAL FLOW SWITCH</v>
          </cell>
          <cell r="F1679">
            <v>314.32274999999993</v>
          </cell>
        </row>
        <row r="1680">
          <cell r="A1680" t="str">
            <v>PFM750-C6-B-M</v>
          </cell>
          <cell r="B1680">
            <v>0</v>
          </cell>
          <cell r="C1680">
            <v>3010080</v>
          </cell>
          <cell r="D1680">
            <v>0</v>
          </cell>
          <cell r="E1680">
            <v>0</v>
          </cell>
          <cell r="F1680">
            <v>287.49524999999994</v>
          </cell>
        </row>
        <row r="1681">
          <cell r="A1681" t="str">
            <v>PFM750-F01-B-M</v>
          </cell>
          <cell r="B1681">
            <v>0</v>
          </cell>
          <cell r="C1681">
            <v>1585317</v>
          </cell>
          <cell r="D1681">
            <v>0</v>
          </cell>
          <cell r="E1681" t="str">
            <v>DEBIMETER DIGITAL PFM</v>
          </cell>
          <cell r="F1681">
            <v>374.98230000000001</v>
          </cell>
        </row>
        <row r="1682">
          <cell r="A1682" t="str">
            <v>PFM750S-C6-B-M</v>
          </cell>
          <cell r="B1682">
            <v>0</v>
          </cell>
          <cell r="C1682">
            <v>4001147</v>
          </cell>
          <cell r="D1682">
            <v>0</v>
          </cell>
          <cell r="E1682" t="str">
            <v>2-COLOR DISPLAY DIGITAL FLOW SWITCH</v>
          </cell>
          <cell r="F1682">
            <v>412.51139999999998</v>
          </cell>
        </row>
        <row r="1683">
          <cell r="A1683" t="str">
            <v>PFM750S-C6-C</v>
          </cell>
          <cell r="B1683">
            <v>0</v>
          </cell>
          <cell r="C1683" t="str">
            <v>D1001249</v>
          </cell>
          <cell r="D1683">
            <v>1411277</v>
          </cell>
          <cell r="E1683" t="str">
            <v>SW,DGTL 24V,1-50L/MIN,6MMOD</v>
          </cell>
          <cell r="F1683">
            <v>453.05400000000003</v>
          </cell>
        </row>
        <row r="1684">
          <cell r="A1684" t="str">
            <v>PFMV304-MLEG-N</v>
          </cell>
          <cell r="B1684">
            <v>0</v>
          </cell>
          <cell r="C1684">
            <v>1584965</v>
          </cell>
          <cell r="D1684">
            <v>0</v>
          </cell>
          <cell r="E1684" t="str">
            <v>SCREEN-FLOW-SWITCH PFMV5</v>
          </cell>
          <cell r="F1684">
            <v>175.79362500000002</v>
          </cell>
        </row>
        <row r="1685">
          <cell r="A1685" t="str">
            <v>PFMV530-1-NA</v>
          </cell>
          <cell r="B1685">
            <v>0</v>
          </cell>
          <cell r="C1685">
            <v>1584964</v>
          </cell>
          <cell r="D1685">
            <v>0</v>
          </cell>
          <cell r="E1685" t="str">
            <v>FLOW-SWITCH PFMV5</v>
          </cell>
          <cell r="F1685">
            <v>191.23719999999997</v>
          </cell>
        </row>
        <row r="1686">
          <cell r="A1686" t="str">
            <v>PPA100-04</v>
          </cell>
          <cell r="B1686">
            <v>0</v>
          </cell>
          <cell r="C1686">
            <v>4001125</v>
          </cell>
          <cell r="D1686">
            <v>0</v>
          </cell>
          <cell r="E1686" t="str">
            <v>COMPACT MANOMETER -100KPA TO 10BAR</v>
          </cell>
          <cell r="F1686">
            <v>261.60120000000006</v>
          </cell>
        </row>
        <row r="1687">
          <cell r="A1687" t="str">
            <v>PPA101-04</v>
          </cell>
          <cell r="B1687">
            <v>0</v>
          </cell>
          <cell r="C1687">
            <v>4001126</v>
          </cell>
          <cell r="D1687">
            <v>0</v>
          </cell>
          <cell r="E1687" t="str">
            <v>COMPACT MANOMETER -101 TO -10 KPA</v>
          </cell>
          <cell r="F1687">
            <v>196.20090000000005</v>
          </cell>
        </row>
        <row r="1688">
          <cell r="A1688" t="str">
            <v>PS1000-R06L-Q</v>
          </cell>
          <cell r="B1688">
            <v>0</v>
          </cell>
          <cell r="C1688">
            <v>0</v>
          </cell>
          <cell r="D1688">
            <v>0</v>
          </cell>
          <cell r="E1688">
            <v>0</v>
          </cell>
          <cell r="F1688">
            <v>142.40262399999997</v>
          </cell>
        </row>
        <row r="1689">
          <cell r="A1689" t="str">
            <v>PSE200-MA</v>
          </cell>
          <cell r="B1689">
            <v>0</v>
          </cell>
          <cell r="C1689">
            <v>1581619</v>
          </cell>
          <cell r="D1689" t="str">
            <v>80.0001.2420</v>
          </cell>
          <cell r="E1689" t="str">
            <v>PNEUMATIC CONTROLLER</v>
          </cell>
          <cell r="F1689">
            <v>369.69029999999998</v>
          </cell>
        </row>
        <row r="1690">
          <cell r="A1690" t="str">
            <v>PSE201-MA</v>
          </cell>
          <cell r="B1690">
            <v>0</v>
          </cell>
          <cell r="C1690">
            <v>1581591</v>
          </cell>
          <cell r="D1690">
            <v>0</v>
          </cell>
          <cell r="E1690" t="str">
            <v>CONTROLER-SENSOR-VACUUM PNP PSE201</v>
          </cell>
          <cell r="F1690">
            <v>263.40268499999996</v>
          </cell>
        </row>
        <row r="1691">
          <cell r="A1691" t="str">
            <v>PSE303</v>
          </cell>
          <cell r="B1691">
            <v>0</v>
          </cell>
          <cell r="C1691">
            <v>1584591</v>
          </cell>
          <cell r="D1691">
            <v>0</v>
          </cell>
          <cell r="E1691">
            <v>0</v>
          </cell>
          <cell r="F1691">
            <v>188.7039</v>
          </cell>
        </row>
        <row r="1692">
          <cell r="A1692" t="str">
            <v>PSE304-MLAC</v>
          </cell>
          <cell r="B1692">
            <v>0</v>
          </cell>
          <cell r="C1692">
            <v>1586375</v>
          </cell>
          <cell r="D1692">
            <v>0</v>
          </cell>
          <cell r="E1692" t="str">
            <v>CONTROLER-SENSOR-VACUUM PNP PSE541</v>
          </cell>
          <cell r="F1692">
            <v>256.12299999999999</v>
          </cell>
        </row>
        <row r="1693">
          <cell r="A1693" t="str">
            <v>PSE531-M5-CL</v>
          </cell>
          <cell r="B1693">
            <v>0</v>
          </cell>
          <cell r="C1693">
            <v>1581590</v>
          </cell>
          <cell r="D1693">
            <v>0</v>
          </cell>
          <cell r="E1693" t="str">
            <v>SENSOR-VACUUM PSE531-M5-CL</v>
          </cell>
          <cell r="F1693">
            <v>138.6063</v>
          </cell>
        </row>
        <row r="1694">
          <cell r="A1694" t="str">
            <v>PSE541A-M3-C2</v>
          </cell>
          <cell r="B1694">
            <v>0</v>
          </cell>
          <cell r="C1694">
            <v>1586376</v>
          </cell>
          <cell r="D1694">
            <v>0</v>
          </cell>
          <cell r="E1694" t="str">
            <v>SENSOR-VACUUM PSE541A-M3-C2</v>
          </cell>
          <cell r="F1694">
            <v>170.76499999999999</v>
          </cell>
        </row>
        <row r="1695">
          <cell r="A1695" t="str">
            <v>PSE541-IM5-C2</v>
          </cell>
          <cell r="B1695">
            <v>0</v>
          </cell>
          <cell r="C1695">
            <v>1582366</v>
          </cell>
          <cell r="D1695">
            <v>0</v>
          </cell>
          <cell r="E1695" t="str">
            <v>SENSOR-VACUUM PSE541-IM5-C2</v>
          </cell>
          <cell r="F1695">
            <v>149.98410000000001</v>
          </cell>
        </row>
        <row r="1696">
          <cell r="A1696" t="str">
            <v>PSE541-M5-C2</v>
          </cell>
          <cell r="B1696">
            <v>0</v>
          </cell>
          <cell r="C1696">
            <v>1581589</v>
          </cell>
          <cell r="D1696">
            <v>0</v>
          </cell>
          <cell r="E1696" t="str">
            <v>SENSOR-VACUUM PSE541-M5-C2</v>
          </cell>
          <cell r="F1696">
            <v>101.07720000000002</v>
          </cell>
        </row>
        <row r="1697">
          <cell r="A1697" t="str">
            <v>PSE550</v>
          </cell>
          <cell r="B1697">
            <v>0</v>
          </cell>
          <cell r="C1697">
            <v>1584590</v>
          </cell>
          <cell r="D1697">
            <v>0</v>
          </cell>
          <cell r="E1697">
            <v>0</v>
          </cell>
          <cell r="F1697">
            <v>358.1361</v>
          </cell>
        </row>
        <row r="1698">
          <cell r="A1698" t="str">
            <v>RB0806</v>
          </cell>
          <cell r="B1698">
            <v>0</v>
          </cell>
          <cell r="C1698">
            <v>1210110</v>
          </cell>
          <cell r="D1698">
            <v>4101822</v>
          </cell>
          <cell r="E1698" t="str">
            <v>ABSORBER-SHOCK-HYDRAULIC M 8X1</v>
          </cell>
          <cell r="F1698">
            <v>55.663999999999994</v>
          </cell>
        </row>
        <row r="1699">
          <cell r="A1699" t="str">
            <v>RB08S</v>
          </cell>
          <cell r="B1699">
            <v>0</v>
          </cell>
          <cell r="C1699">
            <v>1130293</v>
          </cell>
          <cell r="D1699">
            <v>0</v>
          </cell>
          <cell r="E1699" t="str">
            <v>NUT-STROKE ARRESTING M 8X1 STEEL</v>
          </cell>
          <cell r="F1699">
            <v>3.4397999999999995</v>
          </cell>
        </row>
        <row r="1700">
          <cell r="A1700" t="str">
            <v>RB1007</v>
          </cell>
          <cell r="B1700">
            <v>0</v>
          </cell>
          <cell r="C1700">
            <v>1210114</v>
          </cell>
          <cell r="D1700">
            <v>4101860</v>
          </cell>
          <cell r="E1700" t="str">
            <v>ABSORBER, SHOCK</v>
          </cell>
          <cell r="F1700">
            <v>74.220300000000009</v>
          </cell>
        </row>
        <row r="1701">
          <cell r="A1701" t="str">
            <v>RB10J</v>
          </cell>
          <cell r="B1701">
            <v>0</v>
          </cell>
          <cell r="C1701">
            <v>7025918</v>
          </cell>
          <cell r="D1701">
            <v>0</v>
          </cell>
          <cell r="E1701" t="str">
            <v>NUT-HEXAGONAL 0.4D M10X1</v>
          </cell>
          <cell r="F1701">
            <v>3.7705500000000001</v>
          </cell>
        </row>
        <row r="1702">
          <cell r="A1702" t="str">
            <v>RB10S</v>
          </cell>
          <cell r="B1702">
            <v>0</v>
          </cell>
          <cell r="C1702">
            <v>1202617</v>
          </cell>
          <cell r="D1702">
            <v>0</v>
          </cell>
          <cell r="E1702">
            <v>0</v>
          </cell>
          <cell r="F1702">
            <v>3.4397999999999995</v>
          </cell>
        </row>
        <row r="1703">
          <cell r="A1703" t="str">
            <v>RB1411</v>
          </cell>
          <cell r="B1703">
            <v>0</v>
          </cell>
          <cell r="C1703">
            <v>1131465</v>
          </cell>
          <cell r="D1703">
            <v>0</v>
          </cell>
          <cell r="E1703" t="str">
            <v>ABSORBER-SHOCK-HYDRAULIC M14X1.5</v>
          </cell>
          <cell r="F1703">
            <v>109.9854</v>
          </cell>
        </row>
        <row r="1704">
          <cell r="A1704" t="str">
            <v>RB1412</v>
          </cell>
          <cell r="B1704">
            <v>0</v>
          </cell>
          <cell r="C1704">
            <v>99007760</v>
          </cell>
          <cell r="D1704">
            <v>0</v>
          </cell>
          <cell r="E1704">
            <v>0</v>
          </cell>
          <cell r="F1704">
            <v>109.9854</v>
          </cell>
        </row>
        <row r="1705">
          <cell r="A1705" t="str">
            <v>RB14S</v>
          </cell>
          <cell r="B1705">
            <v>0</v>
          </cell>
          <cell r="C1705">
            <v>1202807</v>
          </cell>
          <cell r="D1705">
            <v>0</v>
          </cell>
          <cell r="E1705" t="str">
            <v>NUT-STROKE ARRESTING M14X1.5 STEEL</v>
          </cell>
          <cell r="F1705">
            <v>5.1597</v>
          </cell>
        </row>
        <row r="1706">
          <cell r="A1706" t="str">
            <v>RB2015</v>
          </cell>
          <cell r="B1706">
            <v>0</v>
          </cell>
          <cell r="C1706" t="str">
            <v>1050654-</v>
          </cell>
          <cell r="D1706">
            <v>0</v>
          </cell>
          <cell r="E1706">
            <v>0</v>
          </cell>
          <cell r="F1706">
            <v>140.15</v>
          </cell>
        </row>
        <row r="1707">
          <cell r="A1707" t="str">
            <v>RBA0805-X692</v>
          </cell>
          <cell r="B1707">
            <v>0</v>
          </cell>
          <cell r="C1707">
            <v>1210205</v>
          </cell>
          <cell r="D1707">
            <v>0</v>
          </cell>
          <cell r="E1707" t="str">
            <v>ABSORBER-SHOCK-HYDRAULIC M 8X1</v>
          </cell>
          <cell r="F1707">
            <v>82.466999999999999</v>
          </cell>
        </row>
        <row r="1708">
          <cell r="A1708" t="str">
            <v>RBA1006-X692</v>
          </cell>
          <cell r="B1708">
            <v>0</v>
          </cell>
          <cell r="C1708">
            <v>1210220</v>
          </cell>
          <cell r="D1708">
            <v>0</v>
          </cell>
          <cell r="E1708">
            <v>0</v>
          </cell>
          <cell r="F1708">
            <v>82.466999999999999</v>
          </cell>
        </row>
        <row r="1709">
          <cell r="A1709" t="str">
            <v>RBA2015-X821</v>
          </cell>
          <cell r="B1709">
            <v>0</v>
          </cell>
          <cell r="C1709">
            <v>1260174</v>
          </cell>
          <cell r="D1709">
            <v>0</v>
          </cell>
          <cell r="E1709">
            <v>0</v>
          </cell>
          <cell r="F1709">
            <v>134.01990000000001</v>
          </cell>
        </row>
        <row r="1710">
          <cell r="A1710" t="str">
            <v>RBC0806</v>
          </cell>
          <cell r="B1710">
            <v>0</v>
          </cell>
          <cell r="C1710">
            <v>0</v>
          </cell>
          <cell r="D1710">
            <v>0</v>
          </cell>
          <cell r="E1710">
            <v>0</v>
          </cell>
          <cell r="F1710">
            <v>204.573824</v>
          </cell>
        </row>
        <row r="1711">
          <cell r="A1711" t="str">
            <v>RBC1007</v>
          </cell>
          <cell r="B1711">
            <v>0</v>
          </cell>
          <cell r="C1711">
            <v>1210145</v>
          </cell>
          <cell r="D1711">
            <v>0</v>
          </cell>
          <cell r="E1711" t="str">
            <v>ABSORBER-SHOCK-HYDRAULIC M10X1</v>
          </cell>
          <cell r="F1711">
            <v>84.186899999999994</v>
          </cell>
        </row>
        <row r="1712">
          <cell r="A1712" t="str">
            <v>RBC10S</v>
          </cell>
          <cell r="B1712">
            <v>0</v>
          </cell>
          <cell r="C1712">
            <v>1131933</v>
          </cell>
          <cell r="D1712">
            <v>0</v>
          </cell>
          <cell r="E1712">
            <v>0</v>
          </cell>
          <cell r="F1712">
            <v>5.1597</v>
          </cell>
        </row>
        <row r="1713">
          <cell r="A1713" t="str">
            <v>RBC1411</v>
          </cell>
          <cell r="B1713">
            <v>0</v>
          </cell>
          <cell r="C1713">
            <v>1132012</v>
          </cell>
          <cell r="D1713">
            <v>0</v>
          </cell>
          <cell r="E1713">
            <v>0</v>
          </cell>
          <cell r="F1713">
            <v>113.42519999999999</v>
          </cell>
        </row>
        <row r="1714">
          <cell r="A1714" t="str">
            <v>RBC14S</v>
          </cell>
          <cell r="B1714">
            <v>0</v>
          </cell>
          <cell r="C1714">
            <v>1132011</v>
          </cell>
          <cell r="D1714">
            <v>0</v>
          </cell>
          <cell r="E1714">
            <v>0</v>
          </cell>
          <cell r="F1714">
            <v>6.879599999999999</v>
          </cell>
        </row>
        <row r="1715">
          <cell r="A1715" t="str">
            <v>RBC2015</v>
          </cell>
          <cell r="B1715">
            <v>0</v>
          </cell>
          <cell r="C1715">
            <v>1210208</v>
          </cell>
          <cell r="D1715">
            <v>0</v>
          </cell>
          <cell r="E1715" t="str">
            <v>ABSORBER-SHOCK-HYDRAULIC M20X1.5</v>
          </cell>
          <cell r="F1715">
            <v>127.14030000000001</v>
          </cell>
        </row>
        <row r="1716">
          <cell r="A1716" t="str">
            <v>RBQ2007</v>
          </cell>
          <cell r="B1716">
            <v>0</v>
          </cell>
          <cell r="C1716">
            <v>1210510</v>
          </cell>
          <cell r="D1716">
            <v>0</v>
          </cell>
          <cell r="E1716" t="str">
            <v>ABSORBER-SHOCK-HYDRAULIC M20X1.5</v>
          </cell>
          <cell r="F1716">
            <v>122.0247</v>
          </cell>
        </row>
        <row r="1717">
          <cell r="A1717" t="str">
            <v>RBQC2007</v>
          </cell>
          <cell r="B1717">
            <v>0</v>
          </cell>
          <cell r="C1717">
            <v>91300860</v>
          </cell>
          <cell r="D1717">
            <v>0</v>
          </cell>
          <cell r="E1717" t="str">
            <v>SHOCK ABSORBER-20X7MM W/DAMPER</v>
          </cell>
          <cell r="F1717">
            <v>131.24160000000001</v>
          </cell>
        </row>
        <row r="1718">
          <cell r="A1718" t="str">
            <v>S070-14A-10</v>
          </cell>
          <cell r="B1718">
            <v>0</v>
          </cell>
          <cell r="C1718">
            <v>1361143</v>
          </cell>
          <cell r="D1718">
            <v>0</v>
          </cell>
          <cell r="E1718">
            <v>0</v>
          </cell>
          <cell r="F1718">
            <v>4.6672499999999992</v>
          </cell>
        </row>
        <row r="1719">
          <cell r="A1719" t="str">
            <v>S070-14A-6</v>
          </cell>
          <cell r="B1719">
            <v>0</v>
          </cell>
          <cell r="C1719" t="str">
            <v>D1001997</v>
          </cell>
          <cell r="D1719">
            <v>0</v>
          </cell>
          <cell r="E1719" t="str">
            <v>CONN ASSY, PLUG 600MM S070 SER</v>
          </cell>
          <cell r="F1719">
            <v>5.3410000000000002</v>
          </cell>
        </row>
        <row r="1720">
          <cell r="A1720" t="str">
            <v>S070B-5DC-X118A</v>
          </cell>
          <cell r="B1720">
            <v>0</v>
          </cell>
          <cell r="C1720">
            <v>1800589</v>
          </cell>
          <cell r="D1720">
            <v>0</v>
          </cell>
          <cell r="E1720" t="str">
            <v>VALVE,SOL,BASE MT,0.6MPA</v>
          </cell>
          <cell r="F1720">
            <v>105.75</v>
          </cell>
        </row>
        <row r="1721">
          <cell r="A1721" t="str">
            <v>S070C-5DC-32</v>
          </cell>
          <cell r="B1721">
            <v>0</v>
          </cell>
          <cell r="C1721">
            <v>1361142</v>
          </cell>
          <cell r="D1721">
            <v>0</v>
          </cell>
          <cell r="E1721">
            <v>0</v>
          </cell>
          <cell r="F1721">
            <v>44.555699999999995</v>
          </cell>
        </row>
        <row r="1722">
          <cell r="A1722" t="str">
            <v>SFD100-C06B</v>
          </cell>
          <cell r="B1722">
            <v>0</v>
          </cell>
          <cell r="C1722">
            <v>1361125</v>
          </cell>
          <cell r="D1722">
            <v>0</v>
          </cell>
          <cell r="E1722" t="str">
            <v>FILTER-PNEUMATIC-SUCTION D=6 0.01UM</v>
          </cell>
          <cell r="F1722">
            <v>167.42564999999999</v>
          </cell>
        </row>
        <row r="1723">
          <cell r="A1723" t="str">
            <v>SJ2A60N-5NMZ-N1</v>
          </cell>
          <cell r="B1723">
            <v>0</v>
          </cell>
          <cell r="C1723" t="str">
            <v>80.0000.8505</v>
          </cell>
          <cell r="D1723">
            <v>0</v>
          </cell>
          <cell r="E1723" t="str">
            <v>Valve 2x3/2 (SJ2A60N-5NMZ-N1) Dia 3,2mm</v>
          </cell>
          <cell r="F1723">
            <v>136.61356799999999</v>
          </cell>
        </row>
        <row r="1724">
          <cell r="A1724" t="str">
            <v>SJ2-LQN005</v>
          </cell>
          <cell r="B1724">
            <v>0</v>
          </cell>
          <cell r="C1724">
            <v>0</v>
          </cell>
          <cell r="D1724">
            <v>0</v>
          </cell>
          <cell r="E1724">
            <v>0</v>
          </cell>
          <cell r="F1724">
            <v>1314.0341760000001</v>
          </cell>
        </row>
        <row r="1725">
          <cell r="A1725" t="str">
            <v>SJ2-LQN007</v>
          </cell>
          <cell r="B1725">
            <v>0</v>
          </cell>
          <cell r="C1725">
            <v>0</v>
          </cell>
          <cell r="D1725">
            <v>0</v>
          </cell>
          <cell r="E1725">
            <v>0</v>
          </cell>
          <cell r="F1725">
            <v>1289.288</v>
          </cell>
        </row>
        <row r="1726">
          <cell r="A1726" t="str">
            <v>SJ2-LQP053</v>
          </cell>
          <cell r="B1726">
            <v>0</v>
          </cell>
          <cell r="C1726">
            <v>0</v>
          </cell>
          <cell r="D1726">
            <v>0</v>
          </cell>
          <cell r="E1726">
            <v>0</v>
          </cell>
          <cell r="F1726">
            <v>1855.8408960000002</v>
          </cell>
        </row>
        <row r="1727">
          <cell r="A1727" t="str">
            <v>SJ3000-44-1A</v>
          </cell>
          <cell r="B1727">
            <v>0</v>
          </cell>
          <cell r="C1727">
            <v>0</v>
          </cell>
          <cell r="D1727">
            <v>0</v>
          </cell>
          <cell r="E1727">
            <v>0</v>
          </cell>
          <cell r="F1727">
            <v>13.494208</v>
          </cell>
        </row>
        <row r="1728">
          <cell r="A1728" t="str">
            <v>SJ3000-50-5A-C8</v>
          </cell>
          <cell r="B1728">
            <v>0</v>
          </cell>
          <cell r="C1728">
            <v>0</v>
          </cell>
          <cell r="D1728">
            <v>0</v>
          </cell>
          <cell r="E1728">
            <v>0</v>
          </cell>
          <cell r="F1728">
            <v>35.130000000000003</v>
          </cell>
        </row>
        <row r="1729">
          <cell r="A1729" t="str">
            <v>SJ3000-53-1A</v>
          </cell>
          <cell r="B1729">
            <v>0</v>
          </cell>
          <cell r="C1729">
            <v>0</v>
          </cell>
          <cell r="D1729">
            <v>0</v>
          </cell>
          <cell r="E1729">
            <v>0</v>
          </cell>
          <cell r="F1729">
            <v>33.633600000000001</v>
          </cell>
        </row>
        <row r="1730">
          <cell r="A1730" t="str">
            <v>SJ3000-53-2A</v>
          </cell>
          <cell r="B1730">
            <v>0</v>
          </cell>
          <cell r="C1730">
            <v>0</v>
          </cell>
          <cell r="D1730">
            <v>0</v>
          </cell>
          <cell r="E1730">
            <v>0</v>
          </cell>
          <cell r="F1730">
            <v>29.801408000000002</v>
          </cell>
        </row>
        <row r="1731">
          <cell r="A1731" t="str">
            <v>SNJ-010B</v>
          </cell>
          <cell r="B1731">
            <v>0</v>
          </cell>
          <cell r="C1731" t="str">
            <v>D1001886</v>
          </cell>
          <cell r="D1731">
            <v>0</v>
          </cell>
          <cell r="E1731" t="str">
            <v>NUT, JAM, M8X1</v>
          </cell>
          <cell r="F1731">
            <v>0.83299999999999996</v>
          </cell>
        </row>
        <row r="1732">
          <cell r="A1732" t="str">
            <v>SRH3010-02</v>
          </cell>
          <cell r="B1732">
            <v>0</v>
          </cell>
          <cell r="C1732">
            <v>1360939</v>
          </cell>
          <cell r="D1732">
            <v>0</v>
          </cell>
          <cell r="E1732">
            <v>0</v>
          </cell>
          <cell r="F1732">
            <v>617.75279999999998</v>
          </cell>
        </row>
        <row r="1733">
          <cell r="A1733" t="str">
            <v>SS073B01-08C</v>
          </cell>
          <cell r="B1733">
            <v>0</v>
          </cell>
          <cell r="C1733" t="str">
            <v>D1001852</v>
          </cell>
          <cell r="D1733">
            <v>3603705</v>
          </cell>
          <cell r="E1733" t="str">
            <v>MANIFOLD,BAR BASE,X8 S070 SER</v>
          </cell>
          <cell r="F1733">
            <v>35.1036</v>
          </cell>
        </row>
        <row r="1734">
          <cell r="A1734" t="str">
            <v>SS3YJ3-42-04-M5</v>
          </cell>
          <cell r="B1734">
            <v>0</v>
          </cell>
          <cell r="C1734">
            <v>4001693</v>
          </cell>
          <cell r="D1734">
            <v>0</v>
          </cell>
          <cell r="E1734" t="str">
            <v>SEATING 4 POSITIONS WITHOUT SEAL</v>
          </cell>
          <cell r="F1734">
            <v>78.938999999999993</v>
          </cell>
        </row>
        <row r="1735">
          <cell r="A1735" t="str">
            <v>SS3YJ3-42R-02-M5</v>
          </cell>
          <cell r="B1735">
            <v>0</v>
          </cell>
          <cell r="C1735">
            <v>4000665</v>
          </cell>
          <cell r="D1735">
            <v>0</v>
          </cell>
          <cell r="E1735" t="str">
            <v>MANIFOLD 2 POSITIONS WITH PILOT-VACUUM</v>
          </cell>
          <cell r="F1735">
            <v>46.878300000000003</v>
          </cell>
        </row>
        <row r="1736">
          <cell r="A1736" t="str">
            <v>SS3YJ3-KJJ246</v>
          </cell>
          <cell r="B1736">
            <v>0</v>
          </cell>
          <cell r="C1736">
            <v>1584225</v>
          </cell>
          <cell r="D1736">
            <v>0</v>
          </cell>
          <cell r="E1736" t="str">
            <v>BATTERY-ELECTROVALVE SY314/10 NX FB</v>
          </cell>
          <cell r="F1736">
            <v>183.01499999999999</v>
          </cell>
        </row>
        <row r="1737">
          <cell r="A1737" t="str">
            <v>SS3YJ3-KJJ247</v>
          </cell>
          <cell r="B1737">
            <v>0</v>
          </cell>
          <cell r="C1737">
            <v>1584224</v>
          </cell>
          <cell r="D1737">
            <v>0</v>
          </cell>
          <cell r="E1737">
            <v>0</v>
          </cell>
          <cell r="F1737">
            <v>300.61500000000001</v>
          </cell>
        </row>
        <row r="1738">
          <cell r="A1738" t="str">
            <v>SS3YJ3-S42-03-M5F</v>
          </cell>
          <cell r="B1738">
            <v>0</v>
          </cell>
          <cell r="C1738">
            <v>1301204</v>
          </cell>
          <cell r="D1738">
            <v>0</v>
          </cell>
          <cell r="E1738" t="str">
            <v>SEATING- 3 POSITIONS WITHOUT SEAL</v>
          </cell>
          <cell r="F1738">
            <v>56.80080000000001</v>
          </cell>
        </row>
        <row r="1739">
          <cell r="A1739" t="str">
            <v>SS3YJ3-S42-04-M5F-Q</v>
          </cell>
          <cell r="B1739">
            <v>0</v>
          </cell>
          <cell r="C1739">
            <v>1301205</v>
          </cell>
          <cell r="D1739">
            <v>0</v>
          </cell>
          <cell r="E1739" t="str">
            <v>SEATING- 4 POSITIONS WITOUT SEAL</v>
          </cell>
          <cell r="F1739">
            <v>57.51742500000001</v>
          </cell>
        </row>
        <row r="1740">
          <cell r="A1740" t="str">
            <v>SS3YJ3-S42-05-M5F-Q</v>
          </cell>
          <cell r="B1740">
            <v>0</v>
          </cell>
          <cell r="C1740">
            <v>1301206</v>
          </cell>
          <cell r="D1740">
            <v>0</v>
          </cell>
          <cell r="E1740" t="str">
            <v>SEATING- 5 POSITIONS WITHOUT SEAL</v>
          </cell>
          <cell r="F1740">
            <v>68.200649999999996</v>
          </cell>
        </row>
        <row r="1741">
          <cell r="A1741" t="str">
            <v>SS3YJ3-S42-06-M5F-Q</v>
          </cell>
          <cell r="B1741">
            <v>0</v>
          </cell>
          <cell r="C1741">
            <v>1301207</v>
          </cell>
          <cell r="D1741">
            <v>0</v>
          </cell>
          <cell r="E1741" t="str">
            <v>SEATING- 6 POSITIONS WITHOUT SEAL</v>
          </cell>
          <cell r="F1741">
            <v>74.584125</v>
          </cell>
        </row>
        <row r="1742">
          <cell r="A1742" t="str">
            <v>SS3YJ3-S42-10-M5F-Q</v>
          </cell>
          <cell r="B1742">
            <v>0</v>
          </cell>
          <cell r="C1742">
            <v>1302058</v>
          </cell>
          <cell r="D1742">
            <v>0</v>
          </cell>
          <cell r="E1742" t="str">
            <v>SEATING-10 POSITIONS</v>
          </cell>
          <cell r="F1742">
            <v>161.93520000000001</v>
          </cell>
        </row>
        <row r="1743">
          <cell r="A1743" t="str">
            <v>SS3YJ3-S42R-03-M5</v>
          </cell>
          <cell r="B1743">
            <v>0</v>
          </cell>
          <cell r="C1743">
            <v>1360003</v>
          </cell>
          <cell r="D1743">
            <v>0</v>
          </cell>
          <cell r="E1743" t="str">
            <v>SEATING- 3 POSITIONS WITHOUT SEAL VACUUM</v>
          </cell>
          <cell r="F1743">
            <v>62.489699999999992</v>
          </cell>
        </row>
        <row r="1744">
          <cell r="A1744" t="str">
            <v>SS5Y3-20-06</v>
          </cell>
          <cell r="B1744">
            <v>0</v>
          </cell>
          <cell r="C1744">
            <v>4001164</v>
          </cell>
          <cell r="D1744">
            <v>0</v>
          </cell>
          <cell r="E1744" t="str">
            <v>SEATING  6 POSITIONS WITHOUT SEAL</v>
          </cell>
          <cell r="F1744">
            <v>90.944000000000003</v>
          </cell>
        </row>
        <row r="1745">
          <cell r="A1745" t="str">
            <v>SS5Y3-41-02-M5</v>
          </cell>
          <cell r="B1745">
            <v>0</v>
          </cell>
          <cell r="C1745" t="str">
            <v>D1001817</v>
          </cell>
          <cell r="D1745">
            <v>3604243</v>
          </cell>
          <cell r="E1745" t="str">
            <v>MANIFOLD  2 STA 5 PORT M5</v>
          </cell>
          <cell r="F1745">
            <v>81.25</v>
          </cell>
        </row>
        <row r="1746">
          <cell r="A1746" t="str">
            <v>SS5Y3-41-10-M5</v>
          </cell>
          <cell r="B1746">
            <v>0</v>
          </cell>
          <cell r="C1746">
            <v>1360297</v>
          </cell>
          <cell r="D1746">
            <v>0</v>
          </cell>
          <cell r="E1746" t="str">
            <v>SEATING-VALVE 10X</v>
          </cell>
          <cell r="F1746">
            <v>181.10400000000001</v>
          </cell>
        </row>
        <row r="1747">
          <cell r="A1747" t="str">
            <v>SS5Y3-41-12-M5</v>
          </cell>
          <cell r="B1747">
            <v>0</v>
          </cell>
          <cell r="C1747">
            <v>1360298</v>
          </cell>
          <cell r="D1747">
            <v>0</v>
          </cell>
          <cell r="E1747" t="str">
            <v>SEATING-VALVE 12X</v>
          </cell>
          <cell r="F1747">
            <v>212.60610000000003</v>
          </cell>
        </row>
        <row r="1748">
          <cell r="A1748" t="str">
            <v>SS5YJ3-41-06-C4</v>
          </cell>
          <cell r="B1748">
            <v>0</v>
          </cell>
          <cell r="C1748">
            <v>4020150</v>
          </cell>
          <cell r="D1748">
            <v>0</v>
          </cell>
          <cell r="E1748" t="str">
            <v>VALVE SOLENOID SS5YJ3-41-06-C4</v>
          </cell>
          <cell r="F1748">
            <v>225.7038</v>
          </cell>
        </row>
        <row r="1749">
          <cell r="A1749" t="str">
            <v>SS5YJ3-S41-02-M5F</v>
          </cell>
          <cell r="B1749">
            <v>0</v>
          </cell>
          <cell r="C1749">
            <v>1360696</v>
          </cell>
          <cell r="D1749">
            <v>0</v>
          </cell>
          <cell r="E1749" t="str">
            <v>SEATING 2 POSITIONS WITHOUT SEAL</v>
          </cell>
          <cell r="F1749">
            <v>42.951194999999998</v>
          </cell>
        </row>
        <row r="1750">
          <cell r="A1750" t="str">
            <v>SS5YJ3-S41-02-M5F-Q</v>
          </cell>
          <cell r="B1750">
            <v>0</v>
          </cell>
          <cell r="C1750">
            <v>4001050</v>
          </cell>
          <cell r="D1750">
            <v>0</v>
          </cell>
          <cell r="E1750" t="str">
            <v>SEATING 2 POSITIONS WITHOUT SEAL</v>
          </cell>
          <cell r="F1750">
            <v>45.334799999999994</v>
          </cell>
        </row>
        <row r="1751">
          <cell r="A1751" t="str">
            <v>SS5YJ3-S41-03-M5F</v>
          </cell>
          <cell r="B1751">
            <v>0</v>
          </cell>
          <cell r="C1751">
            <v>4001777</v>
          </cell>
          <cell r="D1751">
            <v>0</v>
          </cell>
          <cell r="E1751">
            <v>0</v>
          </cell>
          <cell r="F1751">
            <v>67.472999999999999</v>
          </cell>
        </row>
        <row r="1752">
          <cell r="A1752" t="str">
            <v>SS5YJ3-S41-03-M5F-Q</v>
          </cell>
          <cell r="B1752">
            <v>0</v>
          </cell>
          <cell r="C1752">
            <v>1301250</v>
          </cell>
          <cell r="D1752">
            <v>0</v>
          </cell>
          <cell r="E1752" t="str">
            <v>SEATING  3 POSITIONS WITHOUT SEAL</v>
          </cell>
          <cell r="F1752">
            <v>76.919219999999996</v>
          </cell>
        </row>
        <row r="1753">
          <cell r="A1753" t="str">
            <v>SS5YJ3-S41-03-M5T</v>
          </cell>
          <cell r="B1753">
            <v>0</v>
          </cell>
          <cell r="C1753">
            <v>91501400</v>
          </cell>
          <cell r="D1753">
            <v>0</v>
          </cell>
          <cell r="E1753" t="str">
            <v>SEATING  3 POSITIONS WITHOUT SEAL</v>
          </cell>
          <cell r="F1753">
            <v>80.967600000000004</v>
          </cell>
        </row>
        <row r="1754">
          <cell r="A1754" t="str">
            <v>SS5YJ3-S41-04-M5F-Q</v>
          </cell>
          <cell r="B1754">
            <v>0</v>
          </cell>
          <cell r="C1754">
            <v>1301254</v>
          </cell>
          <cell r="D1754">
            <v>0</v>
          </cell>
          <cell r="E1754" t="str">
            <v>SEATING  4 POSITIONS WITHOUT SEAL</v>
          </cell>
          <cell r="F1754">
            <v>96.570179999999993</v>
          </cell>
        </row>
        <row r="1755">
          <cell r="A1755" t="str">
            <v>SS5YJ3-S41-05-M5F</v>
          </cell>
          <cell r="B1755">
            <v>0</v>
          </cell>
          <cell r="C1755">
            <v>1301262</v>
          </cell>
          <cell r="D1755">
            <v>0</v>
          </cell>
          <cell r="E1755" t="str">
            <v>SEATING  5 POSITIONS WITHOUT SEAL</v>
          </cell>
          <cell r="F1755">
            <v>122.3334</v>
          </cell>
        </row>
        <row r="1756">
          <cell r="A1756" t="str">
            <v>SS5YJ3-S41-06-M5F-Q</v>
          </cell>
          <cell r="B1756">
            <v>0</v>
          </cell>
          <cell r="C1756">
            <v>1301263</v>
          </cell>
          <cell r="D1756">
            <v>0</v>
          </cell>
          <cell r="E1756" t="str">
            <v>SEATING  6 POSITIONS WITHOUT SEAL</v>
          </cell>
          <cell r="F1756">
            <v>149.89589999999998</v>
          </cell>
        </row>
        <row r="1757">
          <cell r="A1757" t="str">
            <v>SS5YJ3-S41-10-M5F-Q</v>
          </cell>
          <cell r="B1757">
            <v>0</v>
          </cell>
          <cell r="C1757">
            <v>4001040</v>
          </cell>
          <cell r="D1757">
            <v>0</v>
          </cell>
          <cell r="E1757" t="str">
            <v>SEATING  10 POSITIONS WITHOUT SEAL</v>
          </cell>
          <cell r="F1757">
            <v>232.58339999999998</v>
          </cell>
        </row>
        <row r="1758">
          <cell r="A1758" t="str">
            <v>SX3000-16-1A</v>
          </cell>
          <cell r="B1758">
            <v>0</v>
          </cell>
          <cell r="C1758">
            <v>1490067</v>
          </cell>
          <cell r="D1758" t="str">
            <v>A0000017022</v>
          </cell>
          <cell r="E1758" t="str">
            <v>SY3000 BRACKET ASSY</v>
          </cell>
          <cell r="F1758">
            <v>5.3813760000000004</v>
          </cell>
        </row>
        <row r="1759">
          <cell r="A1759" t="str">
            <v>SX3000-50-1A-C4-Q</v>
          </cell>
          <cell r="B1759">
            <v>0</v>
          </cell>
          <cell r="C1759">
            <v>1360387</v>
          </cell>
          <cell r="D1759">
            <v>0</v>
          </cell>
          <cell r="E1759" t="str">
            <v>SEATING-UNITARY D=4</v>
          </cell>
          <cell r="F1759">
            <v>48.421799999999998</v>
          </cell>
        </row>
        <row r="1760">
          <cell r="A1760" t="str">
            <v>SX3000-50-1A-C6-Q</v>
          </cell>
          <cell r="B1760">
            <v>0</v>
          </cell>
          <cell r="C1760">
            <v>1301257</v>
          </cell>
          <cell r="D1760">
            <v>0</v>
          </cell>
          <cell r="E1760" t="str">
            <v>SEATING-UNITARY D=6</v>
          </cell>
          <cell r="F1760">
            <v>38.190599999999996</v>
          </cell>
        </row>
        <row r="1761">
          <cell r="A1761" t="str">
            <v>SX3000-50-20A-C6-Q</v>
          </cell>
          <cell r="B1761">
            <v>0</v>
          </cell>
          <cell r="C1761">
            <v>1301266</v>
          </cell>
          <cell r="D1761">
            <v>0</v>
          </cell>
          <cell r="E1761" t="str">
            <v>SEATING-UNITARY D=6</v>
          </cell>
          <cell r="F1761">
            <v>40.968900000000005</v>
          </cell>
        </row>
        <row r="1762">
          <cell r="A1762" t="str">
            <v>SX3000-51-1A</v>
          </cell>
          <cell r="B1762">
            <v>0</v>
          </cell>
          <cell r="C1762">
            <v>1304070</v>
          </cell>
          <cell r="D1762">
            <v>0</v>
          </cell>
          <cell r="E1762" t="str">
            <v>MODULE P/R D=8/8</v>
          </cell>
          <cell r="F1762">
            <v>19.933200000000003</v>
          </cell>
        </row>
        <row r="1763">
          <cell r="A1763" t="str">
            <v>SX3000-51-2A</v>
          </cell>
          <cell r="B1763">
            <v>0</v>
          </cell>
          <cell r="C1763">
            <v>1301265</v>
          </cell>
          <cell r="D1763">
            <v>0</v>
          </cell>
          <cell r="E1763" t="str">
            <v>MODULE P/R D=8/8</v>
          </cell>
          <cell r="F1763">
            <v>32.810400000000001</v>
          </cell>
        </row>
        <row r="1764">
          <cell r="A1764" t="str">
            <v>SX3000-52-1A-Q</v>
          </cell>
          <cell r="B1764">
            <v>0</v>
          </cell>
          <cell r="C1764">
            <v>1301258</v>
          </cell>
          <cell r="D1764">
            <v>0</v>
          </cell>
          <cell r="E1764" t="str">
            <v>PLATE-END RIGHT</v>
          </cell>
          <cell r="F1764">
            <v>31.575599999999998</v>
          </cell>
        </row>
        <row r="1765">
          <cell r="A1765" t="str">
            <v>SX3000-52-2A-Q</v>
          </cell>
          <cell r="B1765">
            <v>0</v>
          </cell>
          <cell r="C1765">
            <v>1301264</v>
          </cell>
          <cell r="D1765">
            <v>0</v>
          </cell>
          <cell r="E1765" t="str">
            <v>PLATE-END RIGHT</v>
          </cell>
          <cell r="F1765">
            <v>35.809199999999997</v>
          </cell>
        </row>
        <row r="1766">
          <cell r="A1766" t="str">
            <v>SX3000-53-1A-Q</v>
          </cell>
          <cell r="B1766">
            <v>0</v>
          </cell>
          <cell r="C1766">
            <v>1301259</v>
          </cell>
          <cell r="D1766">
            <v>0</v>
          </cell>
          <cell r="E1766" t="str">
            <v>PLATE-END LEFT</v>
          </cell>
          <cell r="F1766">
            <v>31.575599999999998</v>
          </cell>
        </row>
        <row r="1767">
          <cell r="A1767" t="str">
            <v>SX3000-53-2A-Q</v>
          </cell>
          <cell r="B1767">
            <v>0</v>
          </cell>
          <cell r="C1767">
            <v>1301267</v>
          </cell>
          <cell r="D1767">
            <v>0</v>
          </cell>
          <cell r="E1767" t="str">
            <v>PLATE-END-LEFT</v>
          </cell>
          <cell r="F1767">
            <v>35.809199999999997</v>
          </cell>
        </row>
        <row r="1768">
          <cell r="A1768" t="str">
            <v>SX3000-75-2A-Q</v>
          </cell>
          <cell r="B1768">
            <v>0</v>
          </cell>
          <cell r="C1768">
            <v>1301269</v>
          </cell>
          <cell r="D1768">
            <v>0</v>
          </cell>
          <cell r="E1768">
            <v>0</v>
          </cell>
          <cell r="F1768">
            <v>18.1251</v>
          </cell>
        </row>
        <row r="1769">
          <cell r="A1769" t="str">
            <v>SX3000-77-1A</v>
          </cell>
          <cell r="B1769">
            <v>0</v>
          </cell>
          <cell r="C1769">
            <v>1301270</v>
          </cell>
          <cell r="D1769">
            <v>0</v>
          </cell>
          <cell r="E1769" t="str">
            <v>PLUG-SEPARATION</v>
          </cell>
          <cell r="F1769">
            <v>8.4230999999999998</v>
          </cell>
        </row>
        <row r="1770">
          <cell r="A1770" t="str">
            <v>SX5000-50-20A-C6-Q</v>
          </cell>
          <cell r="B1770">
            <v>0</v>
          </cell>
          <cell r="C1770">
            <v>1580336</v>
          </cell>
          <cell r="D1770">
            <v>0</v>
          </cell>
          <cell r="E1770">
            <v>0</v>
          </cell>
          <cell r="F1770">
            <v>58.388400000000004</v>
          </cell>
        </row>
        <row r="1771">
          <cell r="A1771" t="str">
            <v>SX5000-51-2A</v>
          </cell>
          <cell r="B1771">
            <v>0</v>
          </cell>
          <cell r="C1771">
            <v>1580335</v>
          </cell>
          <cell r="D1771">
            <v>0</v>
          </cell>
          <cell r="E1771">
            <v>0</v>
          </cell>
          <cell r="F1771">
            <v>24.916499999999999</v>
          </cell>
        </row>
        <row r="1772">
          <cell r="A1772" t="str">
            <v>SX5000-52-2A-Q</v>
          </cell>
          <cell r="B1772">
            <v>0</v>
          </cell>
          <cell r="C1772">
            <v>1580334</v>
          </cell>
          <cell r="D1772">
            <v>0</v>
          </cell>
          <cell r="E1772">
            <v>0</v>
          </cell>
          <cell r="F1772">
            <v>37.926000000000002</v>
          </cell>
        </row>
        <row r="1773">
          <cell r="A1773" t="str">
            <v>SX5000-53-2A-Q</v>
          </cell>
          <cell r="B1773">
            <v>0</v>
          </cell>
          <cell r="C1773">
            <v>1580333</v>
          </cell>
          <cell r="D1773">
            <v>0</v>
          </cell>
          <cell r="E1773">
            <v>0</v>
          </cell>
          <cell r="F1773">
            <v>34.794899999999998</v>
          </cell>
        </row>
        <row r="1774">
          <cell r="A1774" t="str">
            <v>SX5000-77-1A</v>
          </cell>
          <cell r="B1774">
            <v>0</v>
          </cell>
          <cell r="C1774">
            <v>1580337</v>
          </cell>
          <cell r="D1774">
            <v>0</v>
          </cell>
          <cell r="E1774">
            <v>0</v>
          </cell>
          <cell r="F1774">
            <v>10.539899999999999</v>
          </cell>
        </row>
        <row r="1775">
          <cell r="A1775" t="str">
            <v>SX7000-16-1A</v>
          </cell>
          <cell r="B1775">
            <v>0</v>
          </cell>
          <cell r="C1775">
            <v>4001304</v>
          </cell>
          <cell r="D1775">
            <v>0</v>
          </cell>
          <cell r="E1775" t="str">
            <v>BRACKET-ATTACH</v>
          </cell>
          <cell r="F1775">
            <v>10.539899999999999</v>
          </cell>
        </row>
        <row r="1776">
          <cell r="A1776" t="str">
            <v>SY100-30-4A</v>
          </cell>
          <cell r="B1776">
            <v>0</v>
          </cell>
          <cell r="C1776" t="str">
            <v>D1001668</v>
          </cell>
          <cell r="D1776">
            <v>0</v>
          </cell>
          <cell r="E1776" t="str">
            <v>CONNECTOR MALE 300MM LEAD LG</v>
          </cell>
          <cell r="F1776">
            <v>1.7052</v>
          </cell>
        </row>
        <row r="1777">
          <cell r="A1777" t="str">
            <v>SY100-30-4A-10</v>
          </cell>
          <cell r="B1777">
            <v>0</v>
          </cell>
          <cell r="C1777">
            <v>0</v>
          </cell>
          <cell r="D1777">
            <v>0</v>
          </cell>
          <cell r="E1777">
            <v>0</v>
          </cell>
          <cell r="F1777">
            <v>5.136768</v>
          </cell>
        </row>
        <row r="1778">
          <cell r="A1778" t="str">
            <v>SY100-30-4A-20</v>
          </cell>
          <cell r="B1778">
            <v>0</v>
          </cell>
          <cell r="C1778">
            <v>1304078</v>
          </cell>
          <cell r="D1778">
            <v>0</v>
          </cell>
          <cell r="E1778" t="str">
            <v>CONNECTOR FOR VALVE CABLE 2M</v>
          </cell>
          <cell r="F1778">
            <v>3.9003999999999999</v>
          </cell>
        </row>
        <row r="1779">
          <cell r="A1779" t="str">
            <v>SY100-30-4A-30</v>
          </cell>
          <cell r="B1779">
            <v>0</v>
          </cell>
          <cell r="C1779">
            <v>1304079</v>
          </cell>
          <cell r="D1779">
            <v>0</v>
          </cell>
          <cell r="E1779" t="str">
            <v>Cable with Plug</v>
          </cell>
          <cell r="F1779">
            <v>4.7300000000000004</v>
          </cell>
        </row>
        <row r="1780">
          <cell r="A1780" t="str">
            <v>SY100-30-4A-6</v>
          </cell>
          <cell r="B1780">
            <v>0</v>
          </cell>
          <cell r="C1780">
            <v>1304072</v>
          </cell>
          <cell r="D1780">
            <v>0</v>
          </cell>
          <cell r="E1780" t="str">
            <v>CONN,2 PIN,VALVE PNEU, 600MM</v>
          </cell>
          <cell r="F1780">
            <v>1.4847000000000001</v>
          </cell>
        </row>
        <row r="1781">
          <cell r="A1781" t="str">
            <v>SY100-68-A-20</v>
          </cell>
          <cell r="B1781">
            <v>0</v>
          </cell>
          <cell r="C1781">
            <v>1304080</v>
          </cell>
          <cell r="D1781">
            <v>0</v>
          </cell>
          <cell r="E1781" t="str">
            <v>CONNECTOR FOR VALVE CABLE 2M</v>
          </cell>
          <cell r="F1781">
            <v>16.633343999999997</v>
          </cell>
        </row>
        <row r="1782">
          <cell r="A1782" t="str">
            <v>SY100-68-A-30</v>
          </cell>
          <cell r="B1782">
            <v>0</v>
          </cell>
          <cell r="C1782">
            <v>1304081</v>
          </cell>
          <cell r="D1782">
            <v>0</v>
          </cell>
          <cell r="E1782" t="str">
            <v>CONNECTOR FOR VALVE CABLE 3M</v>
          </cell>
          <cell r="F1782">
            <v>26.9892</v>
          </cell>
        </row>
        <row r="1783">
          <cell r="A1783" t="str">
            <v>SY100-68-A-50</v>
          </cell>
          <cell r="B1783">
            <v>0</v>
          </cell>
          <cell r="C1783">
            <v>1585146</v>
          </cell>
          <cell r="D1783">
            <v>0</v>
          </cell>
          <cell r="E1783" t="str">
            <v>CONNECTOR VALVE SY/VJ/SYJ 5M</v>
          </cell>
          <cell r="F1783">
            <v>36.470700000000001</v>
          </cell>
        </row>
        <row r="1784">
          <cell r="A1784" t="str">
            <v>SY100-68-A-6</v>
          </cell>
          <cell r="B1784">
            <v>0</v>
          </cell>
          <cell r="C1784">
            <v>1348029</v>
          </cell>
          <cell r="D1784">
            <v>0</v>
          </cell>
          <cell r="E1784" t="str">
            <v>CONNECT. FOR SY/VJ/SYJ</v>
          </cell>
          <cell r="F1784">
            <v>10.220174999999999</v>
          </cell>
        </row>
        <row r="1785">
          <cell r="A1785" t="str">
            <v>SY3000-26-9A</v>
          </cell>
          <cell r="B1785">
            <v>0</v>
          </cell>
          <cell r="C1785">
            <v>4001163</v>
          </cell>
          <cell r="D1785">
            <v>0</v>
          </cell>
          <cell r="E1785" t="str">
            <v>SEAL PLATE+SEAL+SCREW</v>
          </cell>
          <cell r="F1785">
            <v>5.8310000000000004</v>
          </cell>
        </row>
        <row r="1786">
          <cell r="A1786" t="str">
            <v>SY3000-27-1</v>
          </cell>
          <cell r="B1786">
            <v>0</v>
          </cell>
          <cell r="C1786">
            <v>4020175</v>
          </cell>
          <cell r="D1786">
            <v>0</v>
          </cell>
          <cell r="E1786" t="str">
            <v>SUB BASE SY3000-27-1</v>
          </cell>
          <cell r="F1786">
            <v>19.800899999999999</v>
          </cell>
        </row>
        <row r="1787">
          <cell r="A1787" t="str">
            <v>SY3000-37-4A</v>
          </cell>
          <cell r="B1787">
            <v>0</v>
          </cell>
          <cell r="C1787" t="str">
            <v>D1002132</v>
          </cell>
          <cell r="D1787">
            <v>1503716</v>
          </cell>
          <cell r="E1787" t="str">
            <v>LEAD WIRE DOUBLE</v>
          </cell>
          <cell r="F1787">
            <v>5.2919999999999998</v>
          </cell>
        </row>
        <row r="1788">
          <cell r="A1788" t="str">
            <v>SY3000-65-1NA-10</v>
          </cell>
          <cell r="B1788">
            <v>0</v>
          </cell>
          <cell r="C1788">
            <v>1301268</v>
          </cell>
          <cell r="D1788">
            <v>0</v>
          </cell>
          <cell r="E1788">
            <v>0</v>
          </cell>
          <cell r="F1788">
            <v>103.19399999999999</v>
          </cell>
        </row>
        <row r="1789">
          <cell r="A1789" t="str">
            <v>SY3120-5LOU-C4-Q</v>
          </cell>
          <cell r="B1789">
            <v>0</v>
          </cell>
          <cell r="C1789">
            <v>0</v>
          </cell>
          <cell r="D1789">
            <v>0</v>
          </cell>
          <cell r="E1789">
            <v>0</v>
          </cell>
          <cell r="F1789">
            <v>126.95155200000001</v>
          </cell>
        </row>
        <row r="1790">
          <cell r="A1790" t="str">
            <v>SY3120-5MOZ-C4</v>
          </cell>
          <cell r="B1790">
            <v>0</v>
          </cell>
          <cell r="C1790">
            <v>4001165</v>
          </cell>
          <cell r="D1790">
            <v>0</v>
          </cell>
          <cell r="E1790" t="str">
            <v>ELECTROVALVE 5/2 MONOSTABLE</v>
          </cell>
          <cell r="F1790">
            <v>104.7375</v>
          </cell>
        </row>
        <row r="1791">
          <cell r="A1791" t="str">
            <v>SY3120-5MOZ-C6</v>
          </cell>
          <cell r="B1791">
            <v>0</v>
          </cell>
          <cell r="C1791">
            <v>4001653</v>
          </cell>
          <cell r="D1791">
            <v>0</v>
          </cell>
          <cell r="E1791" t="str">
            <v>ELECTROVALVE 5/2 MONOSTABLE</v>
          </cell>
          <cell r="F1791">
            <v>117.69799999999999</v>
          </cell>
        </row>
        <row r="1792">
          <cell r="A1792" t="str">
            <v>SY3140-5FU-Q</v>
          </cell>
          <cell r="B1792">
            <v>0</v>
          </cell>
          <cell r="C1792">
            <v>1304084</v>
          </cell>
          <cell r="D1792">
            <v>0</v>
          </cell>
          <cell r="E1792">
            <v>0</v>
          </cell>
          <cell r="F1792">
            <v>107.0748</v>
          </cell>
        </row>
        <row r="1793">
          <cell r="A1793" t="str">
            <v>SY3140-5LOU-Q</v>
          </cell>
          <cell r="B1793">
            <v>0</v>
          </cell>
          <cell r="C1793">
            <v>1304067</v>
          </cell>
          <cell r="D1793">
            <v>0</v>
          </cell>
          <cell r="E1793" t="str">
            <v>ELECTROVALVE 5/2 MONOSTABLE</v>
          </cell>
          <cell r="F1793">
            <v>101.25359999999999</v>
          </cell>
        </row>
        <row r="1794">
          <cell r="A1794" t="str">
            <v>SY3140-5LZD</v>
          </cell>
          <cell r="B1794">
            <v>0</v>
          </cell>
          <cell r="C1794">
            <v>1360295</v>
          </cell>
          <cell r="D1794">
            <v>0</v>
          </cell>
          <cell r="E1794" t="str">
            <v>VALVE WITHOUT SEATING</v>
          </cell>
          <cell r="F1794">
            <v>95.432400000000001</v>
          </cell>
        </row>
        <row r="1795">
          <cell r="A1795" t="str">
            <v>SY3140R-5LOZ</v>
          </cell>
          <cell r="B1795">
            <v>0</v>
          </cell>
          <cell r="C1795">
            <v>4020174</v>
          </cell>
          <cell r="D1795">
            <v>0</v>
          </cell>
          <cell r="E1795" t="str">
            <v>VALVE SOLENOID SY3140R-5LOZ</v>
          </cell>
          <cell r="F1795">
            <v>103.59089999999999</v>
          </cell>
        </row>
        <row r="1796">
          <cell r="A1796" t="str">
            <v>SY3240-5LZD</v>
          </cell>
          <cell r="B1796">
            <v>0</v>
          </cell>
          <cell r="C1796">
            <v>1360312</v>
          </cell>
          <cell r="D1796">
            <v>0</v>
          </cell>
          <cell r="E1796" t="str">
            <v>VALVE DOUBLE SOLENOID</v>
          </cell>
          <cell r="F1796">
            <v>132.65280000000001</v>
          </cell>
        </row>
        <row r="1797">
          <cell r="A1797" t="str">
            <v>SY3245-5FU-Q</v>
          </cell>
          <cell r="B1797">
            <v>0</v>
          </cell>
          <cell r="C1797">
            <v>1304085</v>
          </cell>
          <cell r="D1797">
            <v>0</v>
          </cell>
          <cell r="E1797">
            <v>0</v>
          </cell>
          <cell r="F1797">
            <v>155.9376</v>
          </cell>
        </row>
        <row r="1798">
          <cell r="A1798" t="str">
            <v>SY3260-5MOU-M5-Q</v>
          </cell>
          <cell r="B1798">
            <v>0</v>
          </cell>
          <cell r="C1798">
            <v>1360019</v>
          </cell>
          <cell r="D1798">
            <v>0</v>
          </cell>
          <cell r="E1798" t="str">
            <v>ELECTROVALVE 5/2 BISTABLE</v>
          </cell>
          <cell r="F1798">
            <v>145.48589999999999</v>
          </cell>
        </row>
        <row r="1799">
          <cell r="A1799" t="str">
            <v>SY3260-5MZ-C4</v>
          </cell>
          <cell r="B1799">
            <v>0</v>
          </cell>
          <cell r="C1799">
            <v>4020178</v>
          </cell>
          <cell r="D1799">
            <v>0</v>
          </cell>
          <cell r="E1799" t="str">
            <v>VALVE SOLENOID 5/2 WAY</v>
          </cell>
          <cell r="F1799">
            <v>147.82320000000001</v>
          </cell>
        </row>
        <row r="1800">
          <cell r="A1800" t="str">
            <v>SY3320-5LOU-C4-Q</v>
          </cell>
          <cell r="B1800">
            <v>0</v>
          </cell>
          <cell r="C1800">
            <v>1301122</v>
          </cell>
          <cell r="D1800">
            <v>0</v>
          </cell>
          <cell r="E1800" t="str">
            <v>ELECTROVALVE 5/3 CENTER CLOSED</v>
          </cell>
          <cell r="F1800">
            <v>172.2105</v>
          </cell>
        </row>
        <row r="1801">
          <cell r="A1801" t="str">
            <v>SY3340-5LOU  </v>
          </cell>
          <cell r="B1801">
            <v>0</v>
          </cell>
          <cell r="C1801">
            <v>1800541</v>
          </cell>
          <cell r="D1801">
            <v>0</v>
          </cell>
          <cell r="E1801">
            <v>0</v>
          </cell>
          <cell r="F1801">
            <v>162.8613</v>
          </cell>
        </row>
        <row r="1802">
          <cell r="A1802" t="str">
            <v>SY3340-5LOU-Q</v>
          </cell>
          <cell r="B1802">
            <v>0</v>
          </cell>
          <cell r="C1802">
            <v>1304068</v>
          </cell>
          <cell r="D1802">
            <v>0</v>
          </cell>
          <cell r="E1802" t="str">
            <v>ELECTROVALVE 5/3 CENTER CLOSED</v>
          </cell>
          <cell r="F1802">
            <v>162.8613</v>
          </cell>
        </row>
        <row r="1803">
          <cell r="A1803" t="str">
            <v>SY3340-5LZ-01</v>
          </cell>
          <cell r="B1803">
            <v>0</v>
          </cell>
          <cell r="C1803">
            <v>91501100</v>
          </cell>
          <cell r="D1803">
            <v>0</v>
          </cell>
          <cell r="E1803" t="str">
            <v>VALVE-SOL 3POS CC 5PORT 1/8 24VDC</v>
          </cell>
          <cell r="F1803">
            <v>175.73850000000002</v>
          </cell>
        </row>
        <row r="1804">
          <cell r="A1804" t="str">
            <v>SY3345-5FU-Q</v>
          </cell>
          <cell r="B1804">
            <v>0</v>
          </cell>
          <cell r="C1804">
            <v>1360347</v>
          </cell>
          <cell r="D1804">
            <v>0</v>
          </cell>
          <cell r="E1804" t="str">
            <v>ELECTROVALVE 5/3 CENTER CLOSED</v>
          </cell>
          <cell r="F1804">
            <v>180.369</v>
          </cell>
        </row>
        <row r="1805">
          <cell r="A1805" t="str">
            <v>SY5000-65-1NA-10</v>
          </cell>
          <cell r="B1805">
            <v>0</v>
          </cell>
          <cell r="C1805">
            <v>1580332</v>
          </cell>
          <cell r="D1805">
            <v>0</v>
          </cell>
          <cell r="E1805">
            <v>0</v>
          </cell>
          <cell r="F1805">
            <v>141.91380000000001</v>
          </cell>
        </row>
        <row r="1806">
          <cell r="A1806" t="str">
            <v>SY5000-65-1NA-15</v>
          </cell>
          <cell r="B1806">
            <v>0</v>
          </cell>
          <cell r="C1806">
            <v>1130248</v>
          </cell>
          <cell r="D1806">
            <v>0</v>
          </cell>
          <cell r="E1806">
            <v>0</v>
          </cell>
          <cell r="F1806">
            <v>141.91380000000001</v>
          </cell>
        </row>
        <row r="1807">
          <cell r="A1807" t="str">
            <v>SY5140-5FU-Q</v>
          </cell>
          <cell r="B1807">
            <v>0</v>
          </cell>
          <cell r="C1807">
            <v>1580342</v>
          </cell>
          <cell r="D1807">
            <v>0</v>
          </cell>
          <cell r="E1807">
            <v>0</v>
          </cell>
          <cell r="F1807">
            <v>114.04260000000002</v>
          </cell>
        </row>
        <row r="1808">
          <cell r="A1808" t="str">
            <v>SY5345-5FU-Q</v>
          </cell>
          <cell r="B1808">
            <v>0</v>
          </cell>
          <cell r="C1808">
            <v>1580340</v>
          </cell>
          <cell r="D1808">
            <v>0</v>
          </cell>
          <cell r="E1808">
            <v>0</v>
          </cell>
          <cell r="F1808">
            <v>189.7182</v>
          </cell>
        </row>
        <row r="1809">
          <cell r="A1809" t="str">
            <v>SY5420-5LOU-C8F</v>
          </cell>
          <cell r="B1809">
            <v>0</v>
          </cell>
          <cell r="C1809">
            <v>1360923</v>
          </cell>
          <cell r="D1809">
            <v>0</v>
          </cell>
          <cell r="E1809" t="str">
            <v>ELECTRO-VALVE 5/3 CENTER OPENED</v>
          </cell>
          <cell r="F1809">
            <v>133.81410000000002</v>
          </cell>
        </row>
        <row r="1810">
          <cell r="A1810" t="str">
            <v>SY5445-5FU-Q</v>
          </cell>
          <cell r="B1810">
            <v>0</v>
          </cell>
          <cell r="C1810">
            <v>1580339</v>
          </cell>
          <cell r="D1810">
            <v>0</v>
          </cell>
          <cell r="E1810">
            <v>0</v>
          </cell>
          <cell r="F1810">
            <v>188.5275</v>
          </cell>
        </row>
        <row r="1811">
          <cell r="A1811" t="str">
            <v>SY7320-5LOU-C8F-X20-Q</v>
          </cell>
          <cell r="B1811">
            <v>0</v>
          </cell>
          <cell r="C1811">
            <v>4001263</v>
          </cell>
          <cell r="D1811">
            <v>0</v>
          </cell>
          <cell r="E1811" t="str">
            <v>ELECTROVALVE 5/3 CENTER CLOSED</v>
          </cell>
          <cell r="F1811">
            <v>155.79648</v>
          </cell>
        </row>
        <row r="1812">
          <cell r="A1812" t="str">
            <v>SYJ3000-21-2A</v>
          </cell>
          <cell r="B1812">
            <v>0</v>
          </cell>
          <cell r="C1812">
            <v>91501430</v>
          </cell>
          <cell r="D1812">
            <v>0</v>
          </cell>
          <cell r="E1812" t="str">
            <v>PLATE-BLANKING ASSY MANIFOLD</v>
          </cell>
          <cell r="F1812">
            <v>4.69224</v>
          </cell>
        </row>
        <row r="1813">
          <cell r="A1813" t="str">
            <v>SYJ3000-21-2A-Q</v>
          </cell>
          <cell r="B1813">
            <v>0</v>
          </cell>
          <cell r="C1813">
            <v>1301249</v>
          </cell>
          <cell r="D1813">
            <v>0</v>
          </cell>
          <cell r="E1813" t="str">
            <v>SEAL PLATE+SEAL+SCREW</v>
          </cell>
          <cell r="F1813">
            <v>4.0670000000000002</v>
          </cell>
        </row>
        <row r="1814">
          <cell r="A1814" t="str">
            <v>SYJ3000-22-1-Q</v>
          </cell>
          <cell r="B1814">
            <v>0</v>
          </cell>
          <cell r="C1814">
            <v>1301256</v>
          </cell>
          <cell r="D1814">
            <v>0</v>
          </cell>
          <cell r="E1814" t="str">
            <v>SEATING-UNITARY WITHOUT SEAL</v>
          </cell>
          <cell r="F1814">
            <v>9.2676149999999993</v>
          </cell>
        </row>
        <row r="1815">
          <cell r="A1815" t="str">
            <v>SYJ300-10-2A-Q</v>
          </cell>
          <cell r="B1815">
            <v>0</v>
          </cell>
          <cell r="C1815">
            <v>1301202</v>
          </cell>
          <cell r="D1815">
            <v>0</v>
          </cell>
          <cell r="E1815" t="str">
            <v>PLATE-OBSTRUCTION+SEAL+SCREW</v>
          </cell>
          <cell r="F1815">
            <v>3.8611999999999997</v>
          </cell>
        </row>
        <row r="1816">
          <cell r="A1816" t="str">
            <v>SYJ300-9-1-Q</v>
          </cell>
          <cell r="B1816">
            <v>0</v>
          </cell>
          <cell r="C1816">
            <v>1301203</v>
          </cell>
          <cell r="D1816">
            <v>0</v>
          </cell>
          <cell r="E1816" t="str">
            <v>SEATING-UNITARY-WITHOUT-SEAL M5</v>
          </cell>
          <cell r="F1816">
            <v>9.9372000000000007</v>
          </cell>
        </row>
        <row r="1817">
          <cell r="A1817" t="str">
            <v>SYJ3140-5LZ</v>
          </cell>
          <cell r="B1817">
            <v>0</v>
          </cell>
          <cell r="C1817">
            <v>91501420</v>
          </cell>
          <cell r="D1817">
            <v>0</v>
          </cell>
          <cell r="E1817" t="str">
            <v>VALVE-SOL 2POS SGL 5PORT M5</v>
          </cell>
          <cell r="F1817">
            <v>103.94369999999999</v>
          </cell>
        </row>
        <row r="1818">
          <cell r="A1818" t="str">
            <v>SYJ3140-5LZ-M5</v>
          </cell>
          <cell r="B1818">
            <v>0</v>
          </cell>
          <cell r="C1818">
            <v>91501410</v>
          </cell>
          <cell r="D1818">
            <v>0</v>
          </cell>
          <cell r="E1818" t="str">
            <v>VALVE-SOL 2POS SGL 5PORT M5 24VDC</v>
          </cell>
          <cell r="F1818">
            <v>115.63019999999999</v>
          </cell>
        </row>
        <row r="1819">
          <cell r="A1819" t="str">
            <v>SYJ3143-5LOU-Q</v>
          </cell>
          <cell r="B1819">
            <v>0</v>
          </cell>
          <cell r="C1819">
            <v>1304056</v>
          </cell>
          <cell r="D1819">
            <v>0</v>
          </cell>
          <cell r="E1819" t="str">
            <v>ELECTROVALVE 5/2 MONOSTABLE</v>
          </cell>
          <cell r="F1819">
            <v>81.702600000000004</v>
          </cell>
        </row>
        <row r="1820">
          <cell r="A1820" t="str">
            <v>SYJ3143-5LOZ-Q</v>
          </cell>
          <cell r="B1820">
            <v>0</v>
          </cell>
          <cell r="C1820">
            <v>0</v>
          </cell>
          <cell r="D1820">
            <v>0</v>
          </cell>
          <cell r="E1820">
            <v>0</v>
          </cell>
          <cell r="F1820">
            <v>98.12857600000001</v>
          </cell>
        </row>
        <row r="1821">
          <cell r="A1821" t="str">
            <v>SYJ314-5LOU-Q</v>
          </cell>
          <cell r="B1821">
            <v>0</v>
          </cell>
          <cell r="C1821">
            <v>1301200</v>
          </cell>
          <cell r="D1821">
            <v>0</v>
          </cell>
          <cell r="E1821" t="str">
            <v>ELECTROVALVE 3/2 NC</v>
          </cell>
          <cell r="F1821">
            <v>66.394999999999996</v>
          </cell>
        </row>
        <row r="1822">
          <cell r="A1822" t="str">
            <v>SYJ314M-5LOU-Q</v>
          </cell>
          <cell r="B1822">
            <v>0</v>
          </cell>
          <cell r="C1822">
            <v>0</v>
          </cell>
          <cell r="D1822" t="str">
            <v>80.0001.0865</v>
          </cell>
          <cell r="E1822" t="str">
            <v>Valve (SYJ314M)</v>
          </cell>
          <cell r="F1822">
            <v>96.905535999999998</v>
          </cell>
        </row>
        <row r="1823">
          <cell r="A1823" t="str">
            <v>SYJ3243-5LOU-Q</v>
          </cell>
          <cell r="B1823">
            <v>0</v>
          </cell>
          <cell r="C1823">
            <v>1304076</v>
          </cell>
          <cell r="D1823">
            <v>0</v>
          </cell>
          <cell r="E1823" t="str">
            <v>ELECTROVALVE 5/2 BISTABLE</v>
          </cell>
          <cell r="F1823">
            <v>157.94856000000001</v>
          </cell>
        </row>
        <row r="1824">
          <cell r="A1824" t="str">
            <v>SYJ324M-5LOU-Q</v>
          </cell>
          <cell r="B1824">
            <v>0</v>
          </cell>
          <cell r="C1824">
            <v>1360140</v>
          </cell>
          <cell r="D1824">
            <v>0</v>
          </cell>
          <cell r="E1824" t="str">
            <v>ELECTROVALVE 3/2 NO</v>
          </cell>
          <cell r="F1824">
            <v>93.183300000000003</v>
          </cell>
        </row>
        <row r="1825">
          <cell r="A1825" t="str">
            <v>SYJ3340-5LZ</v>
          </cell>
          <cell r="B1825">
            <v>0</v>
          </cell>
          <cell r="C1825">
            <v>4001776</v>
          </cell>
          <cell r="D1825">
            <v>0</v>
          </cell>
          <cell r="E1825" t="str">
            <v>ELECTROVALVE 5/3 MONOSTABLE</v>
          </cell>
          <cell r="F1825">
            <v>125.50125</v>
          </cell>
        </row>
        <row r="1826">
          <cell r="A1826" t="str">
            <v>SYJ3343-5LOU-Q</v>
          </cell>
          <cell r="B1826">
            <v>0</v>
          </cell>
          <cell r="C1826">
            <v>1304077</v>
          </cell>
          <cell r="D1826">
            <v>0</v>
          </cell>
          <cell r="E1826" t="str">
            <v>ELECTROVALVE 5/3 CENTER CLOSED</v>
          </cell>
          <cell r="F1826">
            <v>128.59559999999999</v>
          </cell>
        </row>
        <row r="1827">
          <cell r="A1827" t="str">
            <v>SYJ3443-5LOU-Q</v>
          </cell>
          <cell r="B1827">
            <v>0</v>
          </cell>
          <cell r="C1827">
            <v>1580687</v>
          </cell>
          <cell r="D1827">
            <v>0</v>
          </cell>
          <cell r="E1827" t="str">
            <v>ELECTROVALVE 5/3 CENTER OPENED</v>
          </cell>
          <cell r="F1827">
            <v>171.46080000000001</v>
          </cell>
        </row>
        <row r="1828">
          <cell r="A1828" t="str">
            <v>SYJ514R-5LOU-Q</v>
          </cell>
          <cell r="B1828">
            <v>0</v>
          </cell>
          <cell r="C1828">
            <v>1360661</v>
          </cell>
          <cell r="D1828">
            <v>0</v>
          </cell>
          <cell r="E1828" t="str">
            <v>ELECTROVALVE 3/2 NC</v>
          </cell>
          <cell r="F1828">
            <v>99.798300000000012</v>
          </cell>
        </row>
        <row r="1829">
          <cell r="A1829" t="str">
            <v>T0403B-20</v>
          </cell>
          <cell r="B1829">
            <v>0</v>
          </cell>
          <cell r="C1829">
            <v>1350065</v>
          </cell>
          <cell r="D1829">
            <v>0</v>
          </cell>
          <cell r="E1829" t="str">
            <v>AIR HOSE-4X3 BLACK</v>
          </cell>
          <cell r="F1829">
            <v>29.679300000000001</v>
          </cell>
        </row>
        <row r="1830">
          <cell r="A1830" t="str">
            <v>T0425R-20</v>
          </cell>
          <cell r="B1830">
            <v>0</v>
          </cell>
          <cell r="C1830">
            <v>0</v>
          </cell>
          <cell r="D1830" t="str">
            <v>80.0000.2805</v>
          </cell>
          <cell r="E1830" t="str">
            <v>Nylon-Schlauch 20m</v>
          </cell>
          <cell r="F1830">
            <v>29.842176000000002</v>
          </cell>
        </row>
        <row r="1831">
          <cell r="A1831" t="str">
            <v>TAS0425 B 100</v>
          </cell>
          <cell r="B1831" t="str">
            <v>TAS0425B-100</v>
          </cell>
          <cell r="C1831">
            <v>1361013</v>
          </cell>
          <cell r="D1831">
            <v>0</v>
          </cell>
          <cell r="E1831">
            <v>0</v>
          </cell>
          <cell r="F1831">
            <v>395.7534</v>
          </cell>
        </row>
        <row r="1832">
          <cell r="A1832" t="str">
            <v>TAS0604 B 100</v>
          </cell>
          <cell r="B1832" t="str">
            <v>TAS0604B-100</v>
          </cell>
          <cell r="C1832">
            <v>1361012</v>
          </cell>
          <cell r="D1832">
            <v>0</v>
          </cell>
          <cell r="E1832" t="str">
            <v>TUBE-POLYURETHANE-BLACK 6/4</v>
          </cell>
          <cell r="F1832">
            <v>589.48469999999998</v>
          </cell>
        </row>
        <row r="1833">
          <cell r="A1833" t="str">
            <v>TAS0805 B 100</v>
          </cell>
          <cell r="B1833" t="str">
            <v>TAS0805B-100</v>
          </cell>
          <cell r="C1833">
            <v>1361011</v>
          </cell>
          <cell r="D1833">
            <v>0</v>
          </cell>
          <cell r="E1833">
            <v>0</v>
          </cell>
          <cell r="F1833">
            <v>1310.9166</v>
          </cell>
        </row>
        <row r="1834">
          <cell r="A1834" t="str">
            <v>TAU0604B-20</v>
          </cell>
          <cell r="B1834">
            <v>0</v>
          </cell>
          <cell r="C1834">
            <v>0</v>
          </cell>
          <cell r="D1834">
            <v>0</v>
          </cell>
          <cell r="E1834">
            <v>0</v>
          </cell>
          <cell r="F1834">
            <v>290.30892799999998</v>
          </cell>
        </row>
        <row r="1835">
          <cell r="A1835" t="str">
            <v>TAU0604C-20-X100</v>
          </cell>
          <cell r="B1835">
            <v>0</v>
          </cell>
          <cell r="C1835">
            <v>4002170</v>
          </cell>
          <cell r="D1835">
            <v>0</v>
          </cell>
          <cell r="E1835" t="str">
            <v>TUBE-POLYURETHANE-CLEAR</v>
          </cell>
          <cell r="F1835">
            <v>150.381</v>
          </cell>
        </row>
        <row r="1836">
          <cell r="A1836" t="str">
            <v>TAU1208B-20</v>
          </cell>
          <cell r="B1836">
            <v>0</v>
          </cell>
          <cell r="C1836">
            <v>4002055</v>
          </cell>
          <cell r="D1836">
            <v>0</v>
          </cell>
          <cell r="E1836" t="str">
            <v>TUBE-POLYURETHANE-BLACK 12/8 ANTISTATIC</v>
          </cell>
          <cell r="F1836">
            <v>484.02199999999999</v>
          </cell>
        </row>
        <row r="1837">
          <cell r="A1837" t="str">
            <v>TAU3220B-20</v>
          </cell>
          <cell r="B1837">
            <v>0</v>
          </cell>
          <cell r="C1837">
            <v>0</v>
          </cell>
          <cell r="D1837" t="str">
            <v>80.0001.0778/ 80.0001.0780</v>
          </cell>
          <cell r="E1837" t="str">
            <v>Pneumatic Hose ESD 6</v>
          </cell>
          <cell r="F1837">
            <v>129.64419999999998</v>
          </cell>
        </row>
        <row r="1838">
          <cell r="A1838" t="str">
            <v>TCU0604B-1</v>
          </cell>
          <cell r="B1838">
            <v>0</v>
          </cell>
          <cell r="C1838">
            <v>1360311</v>
          </cell>
          <cell r="D1838" t="str">
            <v>80.0000.1491</v>
          </cell>
          <cell r="E1838" t="str">
            <v>Hose Air Gun</v>
          </cell>
          <cell r="F1838">
            <v>23.543519999999997</v>
          </cell>
        </row>
        <row r="1839">
          <cell r="A1839" t="str">
            <v>TCU0805B-1</v>
          </cell>
          <cell r="B1839">
            <v>0</v>
          </cell>
          <cell r="C1839">
            <v>0</v>
          </cell>
          <cell r="D1839">
            <v>3010148</v>
          </cell>
          <cell r="E1839" t="str">
            <v>COIL TUBING (AIR GUN)</v>
          </cell>
          <cell r="F1839">
            <v>69.142527999999999</v>
          </cell>
        </row>
        <row r="1840">
          <cell r="A1840" t="str">
            <v>TCU1065B-1-36-X6</v>
          </cell>
          <cell r="B1840">
            <v>0</v>
          </cell>
          <cell r="C1840">
            <v>0</v>
          </cell>
          <cell r="D1840" t="str">
            <v>80.0000.7215</v>
          </cell>
          <cell r="E1840" t="str">
            <v>PU-SPIRALSCHLAUCH  Da=10</v>
          </cell>
          <cell r="F1840">
            <v>140.93379999999999</v>
          </cell>
        </row>
        <row r="1841">
          <cell r="A1841" t="str">
            <v>TD0425-20</v>
          </cell>
          <cell r="B1841">
            <v>0</v>
          </cell>
          <cell r="C1841">
            <v>0</v>
          </cell>
          <cell r="D1841">
            <v>1504395</v>
          </cell>
          <cell r="E1841" t="str">
            <v>TUBING, FLUOROPOLYMER 4MMOD</v>
          </cell>
          <cell r="F1841">
            <v>236.25056000000004</v>
          </cell>
        </row>
        <row r="1842">
          <cell r="A1842" t="str">
            <v>TFU0425B-4-10-X4</v>
          </cell>
          <cell r="B1842">
            <v>0</v>
          </cell>
          <cell r="C1842">
            <v>1360869</v>
          </cell>
          <cell r="D1842">
            <v>0</v>
          </cell>
          <cell r="E1842" t="str">
            <v>MULTITUBE POLYURETHANE D=4X4</v>
          </cell>
          <cell r="F1842">
            <v>155.01150000000001</v>
          </cell>
        </row>
        <row r="1843">
          <cell r="A1843" t="str">
            <v>TFU0425B-6-10-X4</v>
          </cell>
          <cell r="B1843">
            <v>0</v>
          </cell>
          <cell r="C1843">
            <v>1135477</v>
          </cell>
          <cell r="D1843">
            <v>0</v>
          </cell>
          <cell r="E1843">
            <v>0</v>
          </cell>
          <cell r="F1843">
            <v>245.68110000000001</v>
          </cell>
        </row>
        <row r="1844">
          <cell r="A1844" t="str">
            <v>TFU0425B-8-10-X4</v>
          </cell>
          <cell r="B1844">
            <v>0</v>
          </cell>
          <cell r="C1844">
            <v>1260659</v>
          </cell>
          <cell r="D1844">
            <v>0</v>
          </cell>
          <cell r="E1844" t="str">
            <v>MULTITUBE-POLYURETHAN D=4X8</v>
          </cell>
          <cell r="F1844">
            <v>436.50179999999995</v>
          </cell>
        </row>
        <row r="1845">
          <cell r="A1845" t="str">
            <v>TFU0604B-6-10-X4</v>
          </cell>
          <cell r="B1845">
            <v>0</v>
          </cell>
          <cell r="C1845">
            <v>1135400</v>
          </cell>
          <cell r="D1845">
            <v>0</v>
          </cell>
          <cell r="E1845">
            <v>0</v>
          </cell>
          <cell r="F1845">
            <v>301.73220000000003</v>
          </cell>
        </row>
        <row r="1846">
          <cell r="A1846" t="str">
            <v>TFU0805B-6-10-X4</v>
          </cell>
          <cell r="B1846">
            <v>0</v>
          </cell>
          <cell r="C1846">
            <v>1135401</v>
          </cell>
          <cell r="D1846">
            <v>0</v>
          </cell>
          <cell r="E1846">
            <v>0</v>
          </cell>
          <cell r="F1846">
            <v>493.43490000000003</v>
          </cell>
        </row>
        <row r="1847">
          <cell r="A1847" t="str">
            <v>TH0425B-20</v>
          </cell>
          <cell r="B1847">
            <v>0</v>
          </cell>
          <cell r="C1847">
            <v>0</v>
          </cell>
          <cell r="D1847">
            <v>0</v>
          </cell>
          <cell r="E1847">
            <v>0</v>
          </cell>
          <cell r="F1847">
            <v>262.301312</v>
          </cell>
        </row>
        <row r="1848">
          <cell r="A1848" t="str">
            <v>TIHC01B-16</v>
          </cell>
          <cell r="B1848">
            <v>0</v>
          </cell>
          <cell r="C1848">
            <v>0</v>
          </cell>
          <cell r="D1848">
            <v>0</v>
          </cell>
          <cell r="E1848">
            <v>0</v>
          </cell>
          <cell r="F1848">
            <v>159.85132800000002</v>
          </cell>
        </row>
        <row r="1849">
          <cell r="A1849" t="str">
            <v>TIUB01B-100</v>
          </cell>
          <cell r="B1849">
            <v>0</v>
          </cell>
          <cell r="C1849">
            <v>0</v>
          </cell>
          <cell r="D1849">
            <v>0</v>
          </cell>
          <cell r="E1849">
            <v>0</v>
          </cell>
          <cell r="F1849">
            <v>114.96575999999999</v>
          </cell>
        </row>
        <row r="1850">
          <cell r="A1850" t="str">
            <v>TIUB01B-20</v>
          </cell>
          <cell r="B1850">
            <v>0</v>
          </cell>
          <cell r="C1850">
            <v>0</v>
          </cell>
          <cell r="D1850" t="str">
            <v>80.0000.7162</v>
          </cell>
          <cell r="E1850" t="str">
            <v>Pneumatic Hose 3,2mm</v>
          </cell>
          <cell r="F1850">
            <v>29.230656</v>
          </cell>
        </row>
        <row r="1851">
          <cell r="A1851" t="str">
            <v>TIUB01BU-20</v>
          </cell>
          <cell r="B1851">
            <v>0</v>
          </cell>
          <cell r="C1851">
            <v>97004540</v>
          </cell>
          <cell r="D1851">
            <v>1502279</v>
          </cell>
          <cell r="E1851" t="str">
            <v>TUBING,POLYURETHANE 1/8 OD</v>
          </cell>
          <cell r="F1851">
            <v>29.475264000000003</v>
          </cell>
        </row>
        <row r="1852">
          <cell r="A1852" t="str">
            <v>TIUB11BU-20</v>
          </cell>
          <cell r="B1852">
            <v>0</v>
          </cell>
          <cell r="C1852" t="str">
            <v>D1003470</v>
          </cell>
          <cell r="D1852">
            <v>0</v>
          </cell>
          <cell r="E1852">
            <v>0</v>
          </cell>
          <cell r="F1852">
            <v>133.99050000000003</v>
          </cell>
        </row>
        <row r="1853">
          <cell r="A1853" t="str">
            <v>TJ-0425</v>
          </cell>
          <cell r="B1853">
            <v>0</v>
          </cell>
          <cell r="C1853">
            <v>3010194</v>
          </cell>
          <cell r="D1853">
            <v>0</v>
          </cell>
          <cell r="E1853" t="str">
            <v>INNER SLEEVE D=04</v>
          </cell>
          <cell r="F1853">
            <v>1.25</v>
          </cell>
        </row>
        <row r="1854">
          <cell r="A1854" t="str">
            <v>TJ-0805</v>
          </cell>
          <cell r="B1854">
            <v>0</v>
          </cell>
          <cell r="C1854" t="str">
            <v>D1002030</v>
          </cell>
          <cell r="D1854">
            <v>0</v>
          </cell>
          <cell r="E1854">
            <v>0</v>
          </cell>
          <cell r="F1854">
            <v>0.91874999999999996</v>
          </cell>
        </row>
        <row r="1855">
          <cell r="A1855" t="str">
            <v>TK-3</v>
          </cell>
          <cell r="B1855">
            <v>0</v>
          </cell>
          <cell r="C1855">
            <v>0</v>
          </cell>
          <cell r="D1855">
            <v>0</v>
          </cell>
          <cell r="E1855">
            <v>0</v>
          </cell>
          <cell r="F1855">
            <v>17.3264</v>
          </cell>
        </row>
        <row r="1856">
          <cell r="A1856" t="str">
            <v>TM-04</v>
          </cell>
          <cell r="B1856">
            <v>0</v>
          </cell>
          <cell r="C1856" t="str">
            <v>G1003746</v>
          </cell>
          <cell r="D1856">
            <v>1502067</v>
          </cell>
          <cell r="E1856" t="str">
            <v>HOLDER, MULTITUBE</v>
          </cell>
          <cell r="F1856">
            <v>3.9544959999999998</v>
          </cell>
        </row>
        <row r="1857">
          <cell r="A1857" t="str">
            <v>TM-06</v>
          </cell>
          <cell r="B1857">
            <v>0</v>
          </cell>
          <cell r="C1857">
            <v>1583028</v>
          </cell>
          <cell r="D1857">
            <v>1502083</v>
          </cell>
          <cell r="E1857" t="str">
            <v>MULTITUBE HOLDER,6MM</v>
          </cell>
          <cell r="F1857">
            <v>3.5061460000000002</v>
          </cell>
        </row>
        <row r="1858">
          <cell r="A1858" t="str">
            <v>TM-08</v>
          </cell>
          <cell r="B1858">
            <v>0</v>
          </cell>
          <cell r="C1858" t="str">
            <v>G1003820</v>
          </cell>
          <cell r="D1858" t="str">
            <v>80.0000.1417</v>
          </cell>
          <cell r="E1858" t="str">
            <v>Hose Fixing</v>
          </cell>
          <cell r="F1858">
            <v>3.9544959999999998</v>
          </cell>
        </row>
        <row r="1859">
          <cell r="A1859" t="str">
            <v>TMH-04J</v>
          </cell>
          <cell r="B1859">
            <v>0</v>
          </cell>
          <cell r="C1859" t="str">
            <v>1316026/  D1002133</v>
          </cell>
          <cell r="D1859">
            <v>1411285</v>
          </cell>
          <cell r="E1859" t="str">
            <v>HOLDER ONE-TOUCH FITTING</v>
          </cell>
          <cell r="F1859">
            <v>1.7198999999999998</v>
          </cell>
        </row>
        <row r="1860">
          <cell r="A1860" t="str">
            <v>TMH-06</v>
          </cell>
          <cell r="B1860">
            <v>0</v>
          </cell>
          <cell r="C1860">
            <v>1316024</v>
          </cell>
          <cell r="D1860">
            <v>0</v>
          </cell>
          <cell r="E1860" t="str">
            <v>COLLAR-THROTTLE TMH-06</v>
          </cell>
          <cell r="F1860">
            <v>1.7198999999999998</v>
          </cell>
        </row>
        <row r="1861">
          <cell r="A1861" t="str">
            <v>TS1612W-20</v>
          </cell>
          <cell r="B1861">
            <v>0</v>
          </cell>
          <cell r="C1861">
            <v>91008250</v>
          </cell>
          <cell r="D1861">
            <v>0</v>
          </cell>
          <cell r="E1861">
            <v>0</v>
          </cell>
          <cell r="F1861">
            <v>346.0086</v>
          </cell>
        </row>
        <row r="1862">
          <cell r="A1862" t="str">
            <v>TU0212B-20</v>
          </cell>
          <cell r="B1862">
            <v>0</v>
          </cell>
          <cell r="C1862" t="str">
            <v>1361106/ 4000932</v>
          </cell>
          <cell r="D1862">
            <v>0</v>
          </cell>
          <cell r="E1862" t="str">
            <v>AIR HOSE-2X1.2 BLACK</v>
          </cell>
          <cell r="F1862">
            <v>28.596399999999999</v>
          </cell>
        </row>
        <row r="1863">
          <cell r="A1863" t="str">
            <v>TU0425 B-100</v>
          </cell>
          <cell r="B1863" t="str">
            <v>TU0425B-100</v>
          </cell>
          <cell r="C1863">
            <v>1360158</v>
          </cell>
          <cell r="D1863">
            <v>0</v>
          </cell>
          <cell r="E1863" t="str">
            <v>TUBE-POLYURETHANE-BLACK  4X2.5MM</v>
          </cell>
          <cell r="F1863">
            <v>66.58</v>
          </cell>
        </row>
        <row r="1864">
          <cell r="A1864" t="str">
            <v>TU0425 BU 100</v>
          </cell>
          <cell r="B1864" t="str">
            <v>TU0425BU-100</v>
          </cell>
          <cell r="C1864">
            <v>1361075</v>
          </cell>
          <cell r="D1864">
            <v>0</v>
          </cell>
          <cell r="E1864">
            <v>0</v>
          </cell>
          <cell r="F1864">
            <v>55</v>
          </cell>
        </row>
        <row r="1865">
          <cell r="A1865" t="str">
            <v>TU0425 C 100</v>
          </cell>
          <cell r="B1865" t="str">
            <v>TU0425C-100</v>
          </cell>
          <cell r="C1865">
            <v>1361071</v>
          </cell>
          <cell r="D1865">
            <v>0</v>
          </cell>
          <cell r="E1865">
            <v>0</v>
          </cell>
          <cell r="F1865">
            <v>97.857900000000001</v>
          </cell>
        </row>
        <row r="1866">
          <cell r="A1866" t="str">
            <v>TU0425 GR1 100</v>
          </cell>
          <cell r="B1866" t="str">
            <v>TU0425GR1-100</v>
          </cell>
          <cell r="C1866">
            <v>1361067</v>
          </cell>
          <cell r="D1866">
            <v>0</v>
          </cell>
          <cell r="E1866">
            <v>0</v>
          </cell>
          <cell r="F1866">
            <v>190.37969999999999</v>
          </cell>
        </row>
        <row r="1867">
          <cell r="A1867" t="str">
            <v>TU0425 Y 100</v>
          </cell>
          <cell r="B1867" t="str">
            <v>TU0425Y-100</v>
          </cell>
          <cell r="C1867">
            <v>1361001</v>
          </cell>
          <cell r="D1867">
            <v>0</v>
          </cell>
          <cell r="E1867">
            <v>0</v>
          </cell>
          <cell r="F1867">
            <v>97.857900000000001</v>
          </cell>
        </row>
        <row r="1868">
          <cell r="A1868" t="str">
            <v>TU0425B-100</v>
          </cell>
          <cell r="B1868">
            <v>0</v>
          </cell>
          <cell r="C1868" t="str">
            <v>1350007/ G1003760</v>
          </cell>
          <cell r="D1868" t="str">
            <v>80.0000.2839</v>
          </cell>
          <cell r="E1868" t="str">
            <v>Pneumatic hose Dia 4mm black</v>
          </cell>
          <cell r="F1868">
            <v>66.58</v>
          </cell>
        </row>
        <row r="1869">
          <cell r="A1869" t="str">
            <v>TU0425B-20</v>
          </cell>
          <cell r="B1869">
            <v>0</v>
          </cell>
          <cell r="C1869" t="str">
            <v>D1001229/ D1000969</v>
          </cell>
          <cell r="D1869" t="str">
            <v>1501983/ A0000012473/  80.0000.0354</v>
          </cell>
          <cell r="E1869" t="str">
            <v>TUBE, 4MM, BLACK</v>
          </cell>
          <cell r="F1869">
            <v>16.316999999999997</v>
          </cell>
        </row>
        <row r="1870">
          <cell r="A1870" t="str">
            <v>TU0425BU-100</v>
          </cell>
          <cell r="B1870">
            <v>0</v>
          </cell>
          <cell r="C1870">
            <v>0</v>
          </cell>
          <cell r="D1870">
            <v>0</v>
          </cell>
          <cell r="E1870">
            <v>0</v>
          </cell>
          <cell r="F1870">
            <v>54.996032</v>
          </cell>
        </row>
        <row r="1871">
          <cell r="A1871" t="str">
            <v>TU0425BU-20</v>
          </cell>
          <cell r="B1871">
            <v>0</v>
          </cell>
          <cell r="C1871">
            <v>91001490</v>
          </cell>
          <cell r="D1871" t="str">
            <v>A0000012502</v>
          </cell>
          <cell r="E1871" t="str">
            <v>TUBE, 4MM, BLUE</v>
          </cell>
          <cell r="F1871">
            <v>14.690200000000001</v>
          </cell>
        </row>
        <row r="1872">
          <cell r="A1872" t="str">
            <v>TU0604 B-100</v>
          </cell>
          <cell r="B1872" t="str">
            <v>TU0604B-100</v>
          </cell>
          <cell r="C1872">
            <v>1360159</v>
          </cell>
          <cell r="D1872">
            <v>0</v>
          </cell>
          <cell r="E1872" t="str">
            <v>TUBE-POLYURETHANE BLACK  6X4MM</v>
          </cell>
          <cell r="F1872">
            <v>190.04160000000002</v>
          </cell>
        </row>
        <row r="1873">
          <cell r="A1873" t="str">
            <v>TU0604 BU 100</v>
          </cell>
          <cell r="B1873" t="str">
            <v xml:space="preserve">TU0604BU-100 </v>
          </cell>
          <cell r="C1873">
            <v>1361005</v>
          </cell>
          <cell r="D1873">
            <v>0</v>
          </cell>
          <cell r="E1873">
            <v>0</v>
          </cell>
          <cell r="F1873">
            <v>195.7158</v>
          </cell>
        </row>
        <row r="1874">
          <cell r="A1874" t="str">
            <v>TU0604 C 100</v>
          </cell>
          <cell r="B1874" t="str">
            <v>TU0604C-100</v>
          </cell>
          <cell r="C1874">
            <v>1361006</v>
          </cell>
          <cell r="D1874">
            <v>0</v>
          </cell>
          <cell r="E1874">
            <v>0</v>
          </cell>
          <cell r="F1874">
            <v>195.7158</v>
          </cell>
        </row>
        <row r="1875">
          <cell r="A1875" t="str">
            <v>TU0604 GR1 100</v>
          </cell>
          <cell r="B1875" t="str">
            <v>TU0604GR1-100</v>
          </cell>
          <cell r="C1875">
            <v>1361008</v>
          </cell>
          <cell r="D1875">
            <v>0</v>
          </cell>
          <cell r="E1875">
            <v>0</v>
          </cell>
          <cell r="F1875">
            <v>281.57849999999996</v>
          </cell>
        </row>
        <row r="1876">
          <cell r="A1876" t="str">
            <v>TU0604 Y 100</v>
          </cell>
          <cell r="B1876" t="str">
            <v>TU0604Y-100</v>
          </cell>
          <cell r="C1876">
            <v>1361002</v>
          </cell>
          <cell r="D1876">
            <v>0</v>
          </cell>
          <cell r="E1876">
            <v>0</v>
          </cell>
          <cell r="F1876">
            <v>195.7158</v>
          </cell>
        </row>
        <row r="1877">
          <cell r="A1877" t="str">
            <v>TU0604B-100</v>
          </cell>
          <cell r="B1877">
            <v>0</v>
          </cell>
          <cell r="C1877">
            <v>1350006</v>
          </cell>
          <cell r="D1877">
            <v>0</v>
          </cell>
          <cell r="E1877" t="str">
            <v>TUBE-POLYURETHANE BLACK  6/4 NON-ANTIST.</v>
          </cell>
          <cell r="F1877">
            <v>120.51020799999999</v>
          </cell>
        </row>
        <row r="1878">
          <cell r="A1878" t="str">
            <v>TU0604B-20</v>
          </cell>
          <cell r="B1878">
            <v>0</v>
          </cell>
          <cell r="C1878" t="str">
            <v>91005610/ D1004992/ G1003777</v>
          </cell>
          <cell r="D1878" t="str">
            <v>80.0000.1834/ A0000015326</v>
          </cell>
          <cell r="E1878" t="str">
            <v>TUBE, 6MM, BLACK</v>
          </cell>
          <cell r="F1878">
            <v>35.519999999999996</v>
          </cell>
        </row>
        <row r="1879">
          <cell r="A1879" t="str">
            <v>TU0604BU-100</v>
          </cell>
          <cell r="B1879">
            <v>0</v>
          </cell>
          <cell r="C1879" t="str">
            <v>A0000016978</v>
          </cell>
          <cell r="D1879">
            <v>0</v>
          </cell>
          <cell r="E1879">
            <v>0</v>
          </cell>
          <cell r="F1879">
            <v>195.7158</v>
          </cell>
        </row>
        <row r="1880">
          <cell r="A1880" t="str">
            <v>TU0604BU-20 (in ft for SG-VDL)</v>
          </cell>
          <cell r="B1880" t="str">
            <v>TU0604BU-20</v>
          </cell>
          <cell r="C1880">
            <v>91005100</v>
          </cell>
          <cell r="D1880" t="str">
            <v>655-567</v>
          </cell>
          <cell r="E1880">
            <v>0</v>
          </cell>
          <cell r="F1880">
            <v>24.098199999999999</v>
          </cell>
        </row>
        <row r="1881">
          <cell r="A1881" t="str">
            <v>TU0604C-20</v>
          </cell>
          <cell r="B1881">
            <v>0</v>
          </cell>
          <cell r="C1881" t="str">
            <v>D1001484</v>
          </cell>
          <cell r="D1881" t="str">
            <v>A0000017138</v>
          </cell>
          <cell r="E1881" t="str">
            <v>TUBE,6MM,CLEAR</v>
          </cell>
          <cell r="F1881">
            <v>43.512</v>
          </cell>
        </row>
        <row r="1882">
          <cell r="A1882" t="str">
            <v>TU0604W-20</v>
          </cell>
          <cell r="B1882">
            <v>0</v>
          </cell>
          <cell r="C1882">
            <v>91000180</v>
          </cell>
          <cell r="D1882" t="str">
            <v>A0000017139</v>
          </cell>
          <cell r="E1882" t="str">
            <v>TUBE,WHITE,6MM</v>
          </cell>
          <cell r="F1882">
            <v>39.160800000000002</v>
          </cell>
        </row>
        <row r="1883">
          <cell r="A1883" t="str">
            <v>TU0805 BU 100</v>
          </cell>
          <cell r="B1883" t="str">
            <v>TU0805BU-100</v>
          </cell>
          <cell r="C1883">
            <v>1361076</v>
          </cell>
          <cell r="D1883">
            <v>0</v>
          </cell>
          <cell r="E1883">
            <v>0</v>
          </cell>
          <cell r="F1883">
            <v>381.68549999999999</v>
          </cell>
        </row>
        <row r="1884">
          <cell r="A1884" t="str">
            <v>TU0805 C 100</v>
          </cell>
          <cell r="B1884" t="str">
            <v>TU0805C-100</v>
          </cell>
          <cell r="C1884">
            <v>1361072</v>
          </cell>
          <cell r="D1884">
            <v>0</v>
          </cell>
          <cell r="E1884">
            <v>0</v>
          </cell>
          <cell r="F1884">
            <v>381.68549999999999</v>
          </cell>
        </row>
        <row r="1885">
          <cell r="A1885" t="str">
            <v>TU0805 Y 100</v>
          </cell>
          <cell r="B1885" t="str">
            <v>TU0805Y-100</v>
          </cell>
          <cell r="C1885">
            <v>1361069</v>
          </cell>
          <cell r="D1885">
            <v>0</v>
          </cell>
          <cell r="E1885">
            <v>0</v>
          </cell>
          <cell r="F1885">
            <v>381.68549999999999</v>
          </cell>
        </row>
        <row r="1886">
          <cell r="A1886" t="str">
            <v>TU0805B-100</v>
          </cell>
          <cell r="B1886">
            <v>0</v>
          </cell>
          <cell r="C1886" t="str">
            <v>1350037/ G1003771</v>
          </cell>
          <cell r="D1886" t="str">
            <v>80.0000.0353</v>
          </cell>
          <cell r="E1886" t="str">
            <v>Pneumatic Hose 8mm</v>
          </cell>
          <cell r="F1886">
            <v>259.65000000000003</v>
          </cell>
        </row>
        <row r="1887">
          <cell r="A1887" t="str">
            <v>TU0805B-20</v>
          </cell>
          <cell r="B1887">
            <v>0</v>
          </cell>
          <cell r="C1887">
            <v>91002240</v>
          </cell>
          <cell r="D1887" t="str">
            <v>1502497/  A0000016085</v>
          </cell>
          <cell r="E1887" t="str">
            <v>TUBE,BLACK,8MM</v>
          </cell>
          <cell r="F1887">
            <v>42.398720000000004</v>
          </cell>
        </row>
        <row r="1888">
          <cell r="A1888" t="str">
            <v>TU0805BU-100</v>
          </cell>
          <cell r="B1888">
            <v>0</v>
          </cell>
          <cell r="C1888">
            <v>0</v>
          </cell>
          <cell r="D1888">
            <v>0</v>
          </cell>
          <cell r="E1888">
            <v>0</v>
          </cell>
          <cell r="F1888">
            <v>212.23820800000001</v>
          </cell>
        </row>
        <row r="1889">
          <cell r="A1889" t="str">
            <v>TU0805BU-20</v>
          </cell>
          <cell r="B1889">
            <v>0</v>
          </cell>
          <cell r="C1889" t="str">
            <v>91009840/ D1000473</v>
          </cell>
          <cell r="D1889" t="str">
            <v>1503617/ 38430450-000/ 80.0001.1290</v>
          </cell>
          <cell r="E1889" t="str">
            <v>Hose 8mm blue</v>
          </cell>
          <cell r="F1889">
            <v>50.89139999999999</v>
          </cell>
        </row>
        <row r="1890">
          <cell r="A1890" t="str">
            <v>TU0805BU3-20</v>
          </cell>
          <cell r="B1890">
            <v>0</v>
          </cell>
          <cell r="C1890">
            <v>0</v>
          </cell>
          <cell r="D1890">
            <v>0</v>
          </cell>
          <cell r="E1890">
            <v>0</v>
          </cell>
          <cell r="F1890">
            <v>72.33</v>
          </cell>
        </row>
        <row r="1891">
          <cell r="A1891" t="str">
            <v>TU1065 B-100</v>
          </cell>
          <cell r="B1891" t="str">
            <v>TU1065B-100</v>
          </cell>
          <cell r="C1891">
            <v>1360161</v>
          </cell>
          <cell r="D1891">
            <v>0</v>
          </cell>
          <cell r="E1891">
            <v>0</v>
          </cell>
          <cell r="F1891">
            <v>456.70449999999994</v>
          </cell>
        </row>
        <row r="1892">
          <cell r="A1892" t="str">
            <v>TU1065 BU 100</v>
          </cell>
          <cell r="B1892" t="str">
            <v>TU1065BU-100</v>
          </cell>
          <cell r="C1892">
            <v>1361077</v>
          </cell>
          <cell r="D1892">
            <v>0</v>
          </cell>
          <cell r="E1892">
            <v>0</v>
          </cell>
          <cell r="F1892">
            <v>587.19150000000002</v>
          </cell>
        </row>
        <row r="1893">
          <cell r="A1893" t="str">
            <v>TU1065 C 100</v>
          </cell>
          <cell r="B1893" t="str">
            <v>TU1065C-100</v>
          </cell>
          <cell r="C1893">
            <v>1361007</v>
          </cell>
          <cell r="D1893">
            <v>0</v>
          </cell>
          <cell r="E1893">
            <v>0</v>
          </cell>
          <cell r="F1893">
            <v>587.19150000000002</v>
          </cell>
        </row>
        <row r="1894">
          <cell r="A1894" t="str">
            <v>TU1065 GR1 100</v>
          </cell>
          <cell r="B1894" t="str">
            <v>TU1065GR1-100</v>
          </cell>
          <cell r="C1894">
            <v>1361009</v>
          </cell>
          <cell r="D1894">
            <v>0</v>
          </cell>
          <cell r="E1894">
            <v>0</v>
          </cell>
          <cell r="F1894">
            <v>844.77959999999996</v>
          </cell>
        </row>
        <row r="1895">
          <cell r="A1895" t="str">
            <v>TU1065 Y 100</v>
          </cell>
          <cell r="B1895" t="str">
            <v>TU1065Y-100</v>
          </cell>
          <cell r="C1895">
            <v>1361003</v>
          </cell>
          <cell r="D1895">
            <v>0</v>
          </cell>
          <cell r="E1895">
            <v>0</v>
          </cell>
          <cell r="F1895">
            <v>587.19150000000002</v>
          </cell>
        </row>
        <row r="1896">
          <cell r="A1896" t="str">
            <v>TU1065B-100</v>
          </cell>
          <cell r="B1896">
            <v>0</v>
          </cell>
          <cell r="C1896">
            <v>1350038</v>
          </cell>
          <cell r="D1896">
            <v>0</v>
          </cell>
          <cell r="E1896" t="str">
            <v>Pneumatic Hose 10mm</v>
          </cell>
          <cell r="F1896">
            <v>342.52959999999996</v>
          </cell>
        </row>
        <row r="1897">
          <cell r="A1897" t="str">
            <v>TU1065B-20</v>
          </cell>
          <cell r="B1897">
            <v>0</v>
          </cell>
          <cell r="C1897" t="str">
            <v>D1000524</v>
          </cell>
          <cell r="D1897" t="str">
            <v>A0000015325</v>
          </cell>
          <cell r="E1897" t="str">
            <v>TUBING,10MM, BLACK</v>
          </cell>
          <cell r="F1897">
            <v>66.044159999999991</v>
          </cell>
        </row>
        <row r="1898">
          <cell r="A1898" t="str">
            <v>TU1065BU-20 (1 Roll)</v>
          </cell>
          <cell r="B1898" t="str">
            <v>TU1065BU-20</v>
          </cell>
          <cell r="C1898" t="str">
            <v>D1000525</v>
          </cell>
          <cell r="D1898">
            <v>1503596</v>
          </cell>
          <cell r="E1898">
            <v>0</v>
          </cell>
          <cell r="F1898">
            <v>91.002799999999993</v>
          </cell>
        </row>
        <row r="1899">
          <cell r="A1899" t="str">
            <v>TU1065C-20</v>
          </cell>
          <cell r="B1899">
            <v>0</v>
          </cell>
          <cell r="C1899" t="str">
            <v>D1000845</v>
          </cell>
          <cell r="D1899">
            <v>1504100</v>
          </cell>
          <cell r="E1899" t="str">
            <v>TUBE  10MM  CLEAR</v>
          </cell>
          <cell r="F1899">
            <v>98.53</v>
          </cell>
        </row>
        <row r="1900">
          <cell r="A1900" t="str">
            <v>TU1208 BU 100</v>
          </cell>
          <cell r="B1900" t="str">
            <v xml:space="preserve">TU1208BU-100 </v>
          </cell>
          <cell r="C1900">
            <v>1361078</v>
          </cell>
          <cell r="D1900">
            <v>0</v>
          </cell>
          <cell r="E1900">
            <v>0</v>
          </cell>
          <cell r="F1900">
            <v>866.12400000000002</v>
          </cell>
        </row>
        <row r="1901">
          <cell r="A1901" t="str">
            <v>TU1208 C 100</v>
          </cell>
          <cell r="B1901" t="str">
            <v>TU1208C-100</v>
          </cell>
          <cell r="C1901">
            <v>1361073</v>
          </cell>
          <cell r="D1901">
            <v>0</v>
          </cell>
          <cell r="E1901">
            <v>0</v>
          </cell>
          <cell r="F1901">
            <v>866.12400000000002</v>
          </cell>
        </row>
        <row r="1902">
          <cell r="A1902" t="str">
            <v>TU1208 Y 100</v>
          </cell>
          <cell r="B1902" t="str">
            <v>TU1208Y-100</v>
          </cell>
          <cell r="C1902">
            <v>1361070</v>
          </cell>
          <cell r="D1902">
            <v>0</v>
          </cell>
          <cell r="E1902">
            <v>0</v>
          </cell>
          <cell r="F1902">
            <v>866.12400000000002</v>
          </cell>
        </row>
        <row r="1903">
          <cell r="A1903" t="str">
            <v>TU1208BU-20</v>
          </cell>
          <cell r="B1903">
            <v>0</v>
          </cell>
          <cell r="C1903">
            <v>91100160</v>
          </cell>
          <cell r="D1903">
            <v>1503597</v>
          </cell>
          <cell r="E1903" t="str">
            <v>TUBING-POLYURETHANE 12X8MM BLUE</v>
          </cell>
          <cell r="F1903">
            <v>95.922399999999996</v>
          </cell>
        </row>
        <row r="1904">
          <cell r="A1904" t="str">
            <v>TU1610 B 100</v>
          </cell>
          <cell r="B1904" t="str">
            <v>TU1610B-100</v>
          </cell>
          <cell r="C1904">
            <v>1361000</v>
          </cell>
          <cell r="D1904">
            <v>0</v>
          </cell>
          <cell r="E1904">
            <v>0</v>
          </cell>
          <cell r="F1904">
            <v>1697.5413000000001</v>
          </cell>
        </row>
        <row r="1905">
          <cell r="A1905" t="str">
            <v>TU1610 BU 100</v>
          </cell>
          <cell r="B1905" t="str">
            <v>TU1610BU-100</v>
          </cell>
          <cell r="C1905">
            <v>1361079</v>
          </cell>
          <cell r="D1905">
            <v>0</v>
          </cell>
          <cell r="E1905">
            <v>0</v>
          </cell>
          <cell r="F1905">
            <v>1697.5413000000001</v>
          </cell>
        </row>
        <row r="1906">
          <cell r="A1906" t="str">
            <v>TU1610 C 100</v>
          </cell>
          <cell r="B1906" t="str">
            <v>TU1610C-100</v>
          </cell>
          <cell r="C1906">
            <v>1361074</v>
          </cell>
          <cell r="D1906">
            <v>0</v>
          </cell>
          <cell r="E1906">
            <v>0</v>
          </cell>
          <cell r="F1906">
            <v>1697.5413000000001</v>
          </cell>
        </row>
        <row r="1907">
          <cell r="A1907" t="str">
            <v>TU1610 Y 100</v>
          </cell>
          <cell r="B1907" t="str">
            <v xml:space="preserve">TU1610Y-100 </v>
          </cell>
          <cell r="C1907">
            <v>1361004</v>
          </cell>
          <cell r="D1907">
            <v>0</v>
          </cell>
          <cell r="E1907">
            <v>0</v>
          </cell>
          <cell r="F1907">
            <v>961.35</v>
          </cell>
        </row>
        <row r="1908">
          <cell r="A1908" t="str">
            <v>TUH1065BU-20</v>
          </cell>
          <cell r="B1908">
            <v>0</v>
          </cell>
          <cell r="C1908" t="str">
            <v>D1002165</v>
          </cell>
          <cell r="D1908">
            <v>1504095</v>
          </cell>
          <cell r="E1908" t="str">
            <v>10MM POLYURETHANE TUBE,145PSI</v>
          </cell>
          <cell r="F1908">
            <v>121.81399999999999</v>
          </cell>
        </row>
        <row r="1909">
          <cell r="A1909" t="str">
            <v>TUS0805B-20</v>
          </cell>
          <cell r="B1909">
            <v>0</v>
          </cell>
          <cell r="C1909" t="str">
            <v>D1002032</v>
          </cell>
          <cell r="D1909">
            <v>1503888</v>
          </cell>
          <cell r="E1909" t="str">
            <v>8MM TUBING,70 DUROMETER</v>
          </cell>
          <cell r="F1909">
            <v>158.90700000000001</v>
          </cell>
        </row>
        <row r="1910">
          <cell r="A1910" t="str">
            <v>TUS0805BU-20</v>
          </cell>
          <cell r="B1910">
            <v>0</v>
          </cell>
          <cell r="C1910" t="str">
            <v>D1002033</v>
          </cell>
          <cell r="D1910">
            <v>0</v>
          </cell>
          <cell r="E1910">
            <v>0</v>
          </cell>
          <cell r="F1910">
            <v>119.17779999999999</v>
          </cell>
        </row>
        <row r="1911">
          <cell r="A1911" t="str">
            <v>TUS0805R-20</v>
          </cell>
          <cell r="B1911">
            <v>0</v>
          </cell>
          <cell r="C1911" t="str">
            <v>D1002035</v>
          </cell>
          <cell r="D1911">
            <v>1503887</v>
          </cell>
          <cell r="E1911" t="str">
            <v>8MM TUBING,70 DUROMETER</v>
          </cell>
          <cell r="F1911">
            <v>119.17779999999999</v>
          </cell>
        </row>
        <row r="1912">
          <cell r="A1912" t="str">
            <v>TUS0805W-20</v>
          </cell>
          <cell r="B1912">
            <v>0</v>
          </cell>
          <cell r="C1912" t="str">
            <v>D1002034</v>
          </cell>
          <cell r="D1912">
            <v>1503886</v>
          </cell>
          <cell r="E1912" t="str">
            <v>8MM TUBING,70 DUROMETER</v>
          </cell>
          <cell r="F1912">
            <v>119.17779999999999</v>
          </cell>
        </row>
        <row r="1913">
          <cell r="A1913" t="str">
            <v>V31</v>
          </cell>
          <cell r="B1913">
            <v>0</v>
          </cell>
          <cell r="C1913">
            <v>1348008</v>
          </cell>
          <cell r="D1913">
            <v>0</v>
          </cell>
          <cell r="E1913" t="str">
            <v>CONNECTOR-VALVE-NARROW</v>
          </cell>
          <cell r="F1913">
            <v>3.4397999999999995</v>
          </cell>
        </row>
        <row r="1914">
          <cell r="A1914" t="str">
            <v>V32</v>
          </cell>
          <cell r="B1914">
            <v>0</v>
          </cell>
          <cell r="C1914">
            <v>1348021</v>
          </cell>
          <cell r="D1914">
            <v>0</v>
          </cell>
          <cell r="E1914" t="str">
            <v>CONNECTOR-VALVE EVT-307/VO307</v>
          </cell>
          <cell r="F1914">
            <v>9.4373999999999985</v>
          </cell>
        </row>
        <row r="1915">
          <cell r="A1915" t="str">
            <v>VBA20A-T03GN-Z</v>
          </cell>
          <cell r="B1915">
            <v>0</v>
          </cell>
          <cell r="C1915" t="str">
            <v>D1002172</v>
          </cell>
          <cell r="D1915">
            <v>3604083</v>
          </cell>
          <cell r="E1915" t="str">
            <v>BOOSTER REG, 3/8" NPT</v>
          </cell>
          <cell r="F1915">
            <v>1481.1229999999998</v>
          </cell>
        </row>
        <row r="1916">
          <cell r="A1916" t="str">
            <v>VBAT10AF-SV-Q</v>
          </cell>
          <cell r="B1916">
            <v>0</v>
          </cell>
          <cell r="C1916">
            <v>0</v>
          </cell>
          <cell r="D1916">
            <v>0</v>
          </cell>
          <cell r="E1916">
            <v>0</v>
          </cell>
          <cell r="F1916">
            <v>972.84678399999996</v>
          </cell>
        </row>
        <row r="1917">
          <cell r="A1917" t="str">
            <v>VDW11-5G-1-M5-L-F</v>
          </cell>
          <cell r="B1917">
            <v>0</v>
          </cell>
          <cell r="C1917">
            <v>4000814</v>
          </cell>
          <cell r="D1917">
            <v>0</v>
          </cell>
          <cell r="E1917" t="str">
            <v>ELECTROVALVE 2/2 NC</v>
          </cell>
          <cell r="F1917">
            <v>78.498000000000005</v>
          </cell>
        </row>
        <row r="1918">
          <cell r="A1918" t="str">
            <v>VDW11-5G-2-M5-Q</v>
          </cell>
          <cell r="B1918">
            <v>0</v>
          </cell>
          <cell r="C1918">
            <v>0</v>
          </cell>
          <cell r="D1918" t="str">
            <v>80.0001.0764</v>
          </cell>
          <cell r="E1918" t="str">
            <v>Valve2/2</v>
          </cell>
          <cell r="F1918">
            <v>27.926079999999999</v>
          </cell>
        </row>
        <row r="1919">
          <cell r="A1919" t="str">
            <v>VDW31-5G-4-02F-H-Q</v>
          </cell>
          <cell r="B1919">
            <v>0</v>
          </cell>
          <cell r="C1919">
            <v>1360977</v>
          </cell>
          <cell r="D1919">
            <v>0</v>
          </cell>
          <cell r="E1919">
            <v>0</v>
          </cell>
          <cell r="F1919">
            <v>120.4371</v>
          </cell>
        </row>
        <row r="1920">
          <cell r="A1920" t="str">
            <v>VH200-02</v>
          </cell>
          <cell r="B1920">
            <v>0</v>
          </cell>
          <cell r="C1920">
            <v>0</v>
          </cell>
          <cell r="D1920">
            <v>0</v>
          </cell>
          <cell r="E1920">
            <v>0</v>
          </cell>
          <cell r="F1920">
            <v>137.75507199999998</v>
          </cell>
        </row>
        <row r="1921">
          <cell r="A1921" t="str">
            <v>VH212-F02</v>
          </cell>
          <cell r="B1921">
            <v>0</v>
          </cell>
          <cell r="C1921">
            <v>0</v>
          </cell>
          <cell r="D1921" t="str">
            <v>80.0001.2041</v>
          </cell>
          <cell r="E1921" t="str">
            <v>2/2-way hand valve</v>
          </cell>
          <cell r="F1921">
            <v>142.03571200000002</v>
          </cell>
        </row>
        <row r="1922">
          <cell r="A1922" t="str">
            <v>VHK2-04F-04F</v>
          </cell>
          <cell r="B1922">
            <v>0</v>
          </cell>
          <cell r="C1922">
            <v>4020137</v>
          </cell>
          <cell r="D1922">
            <v>0</v>
          </cell>
          <cell r="E1922" t="str">
            <v>FITTING VALVE VHK2-04F-04F</v>
          </cell>
          <cell r="F1922">
            <v>16.041374999999999</v>
          </cell>
        </row>
        <row r="1923">
          <cell r="A1923" t="str">
            <v>VHK2-06F-04F</v>
          </cell>
          <cell r="B1923">
            <v>0</v>
          </cell>
          <cell r="C1923">
            <v>91501380</v>
          </cell>
          <cell r="D1923">
            <v>0</v>
          </cell>
          <cell r="E1923" t="str">
            <v>VALVE-MANUAL 2WAY 6MM-4MM</v>
          </cell>
          <cell r="F1923">
            <v>21.388500000000001</v>
          </cell>
        </row>
        <row r="1924">
          <cell r="A1924" t="str">
            <v>VHK2-06F-06F</v>
          </cell>
          <cell r="B1924">
            <v>0</v>
          </cell>
          <cell r="C1924">
            <v>4020138</v>
          </cell>
          <cell r="D1924" t="str">
            <v>80.0001.2039</v>
          </cell>
          <cell r="E1924" t="str">
            <v>2/2 multi-way valve</v>
          </cell>
          <cell r="F1924">
            <v>18.794048</v>
          </cell>
        </row>
        <row r="1925">
          <cell r="A1925" t="str">
            <v>VHK2-06F-M5</v>
          </cell>
          <cell r="B1925">
            <v>0</v>
          </cell>
          <cell r="C1925">
            <v>91500610</v>
          </cell>
          <cell r="D1925">
            <v>1800555</v>
          </cell>
          <cell r="E1925" t="str">
            <v>VALVE,FINGER,2 PORT</v>
          </cell>
          <cell r="F1925">
            <v>23.1966</v>
          </cell>
        </row>
        <row r="1926">
          <cell r="A1926" t="str">
            <v>VHK2-08F-08F</v>
          </cell>
          <cell r="B1926">
            <v>0</v>
          </cell>
          <cell r="C1926">
            <v>4020139</v>
          </cell>
          <cell r="D1926">
            <v>1800416</v>
          </cell>
          <cell r="E1926" t="str">
            <v>VALVE,FINGER 2 PORT 8MM</v>
          </cell>
          <cell r="F1926">
            <v>18.386368000000001</v>
          </cell>
        </row>
        <row r="1927">
          <cell r="A1927" t="str">
            <v>VHK3-04F-01S</v>
          </cell>
          <cell r="B1927">
            <v>0</v>
          </cell>
          <cell r="C1927">
            <v>0</v>
          </cell>
          <cell r="D1927">
            <v>0</v>
          </cell>
          <cell r="E1927">
            <v>0</v>
          </cell>
          <cell r="F1927">
            <v>22.870848000000002</v>
          </cell>
        </row>
        <row r="1928">
          <cell r="A1928" t="str">
            <v>VHK3-04F-04F</v>
          </cell>
          <cell r="B1928">
            <v>0</v>
          </cell>
          <cell r="C1928">
            <v>4001256</v>
          </cell>
          <cell r="D1928">
            <v>0</v>
          </cell>
          <cell r="E1928" t="str">
            <v>DISTRIBUTOR MANUAL</v>
          </cell>
          <cell r="F1928">
            <v>16.041374999999999</v>
          </cell>
        </row>
        <row r="1929">
          <cell r="A1929" t="str">
            <v>VHK306F06F</v>
          </cell>
          <cell r="B1929" t="str">
            <v>VHK3-06F-06F</v>
          </cell>
          <cell r="C1929">
            <v>4020173</v>
          </cell>
          <cell r="D1929">
            <v>0</v>
          </cell>
          <cell r="E1929" t="str">
            <v>VALVE FINGER VHK306F06F</v>
          </cell>
          <cell r="F1929">
            <v>19.021799999999999</v>
          </cell>
        </row>
        <row r="1930">
          <cell r="A1930" t="str">
            <v>VHK3-06F-06F</v>
          </cell>
          <cell r="B1930">
            <v>0</v>
          </cell>
          <cell r="C1930">
            <v>1304153</v>
          </cell>
          <cell r="D1930" t="str">
            <v>80.0001.2038</v>
          </cell>
          <cell r="E1930" t="str">
            <v>3/2 multi-way valve</v>
          </cell>
          <cell r="F1930">
            <v>14.266350000000001</v>
          </cell>
        </row>
        <row r="1931">
          <cell r="A1931" t="str">
            <v>VHK3-08F-08F</v>
          </cell>
          <cell r="B1931">
            <v>0</v>
          </cell>
          <cell r="C1931">
            <v>1304154</v>
          </cell>
          <cell r="D1931">
            <v>0</v>
          </cell>
          <cell r="E1931" t="str">
            <v>DISTRIBUTOR-MANUAL 3/2 592L/MN</v>
          </cell>
          <cell r="F1931">
            <v>16.530884999999998</v>
          </cell>
        </row>
        <row r="1932">
          <cell r="A1932" t="str">
            <v>VHK3-10F-10F</v>
          </cell>
          <cell r="B1932">
            <v>0</v>
          </cell>
          <cell r="C1932">
            <v>1360232</v>
          </cell>
          <cell r="D1932">
            <v>0</v>
          </cell>
          <cell r="E1932" t="str">
            <v>DISTRIBUTOR 3/2       878L/MN</v>
          </cell>
          <cell r="F1932">
            <v>18.687374999999999</v>
          </cell>
        </row>
        <row r="1933">
          <cell r="A1933" t="str">
            <v>VHS3000-03</v>
          </cell>
          <cell r="B1933">
            <v>0</v>
          </cell>
          <cell r="C1933">
            <v>4000579</v>
          </cell>
          <cell r="D1933">
            <v>0</v>
          </cell>
          <cell r="E1933" t="str">
            <v>HAND VALVE</v>
          </cell>
          <cell r="F1933">
            <v>91.022400000000005</v>
          </cell>
        </row>
        <row r="1934">
          <cell r="A1934" t="str">
            <v>VJ10-13-1</v>
          </cell>
          <cell r="B1934">
            <v>0</v>
          </cell>
          <cell r="C1934">
            <v>1582601</v>
          </cell>
          <cell r="D1934">
            <v>2000621</v>
          </cell>
          <cell r="E1934" t="str">
            <v>CONN,2-POS</v>
          </cell>
          <cell r="F1934">
            <v>0.65228800000000009</v>
          </cell>
        </row>
        <row r="1935">
          <cell r="A1935" t="str">
            <v>VJ10-20-4A-20</v>
          </cell>
          <cell r="B1935">
            <v>0</v>
          </cell>
          <cell r="C1935">
            <v>1334120</v>
          </cell>
          <cell r="D1935">
            <v>0</v>
          </cell>
          <cell r="E1935" t="str">
            <v>CONNECTOR FOR VALVE SY/VJ/SYJ</v>
          </cell>
          <cell r="F1935">
            <v>17.507700000000003</v>
          </cell>
        </row>
        <row r="1936">
          <cell r="A1936" t="str">
            <v>VJ10-20-4A-30</v>
          </cell>
          <cell r="B1936">
            <v>0</v>
          </cell>
          <cell r="C1936">
            <v>93029670</v>
          </cell>
          <cell r="D1936">
            <v>0</v>
          </cell>
          <cell r="E1936" t="str">
            <v>CONNECTOR-VALVE W/3M LEAD</v>
          </cell>
          <cell r="F1936">
            <v>20.197799999999997</v>
          </cell>
        </row>
        <row r="1937">
          <cell r="A1937" t="str">
            <v>VJ3000-14-1</v>
          </cell>
          <cell r="B1937">
            <v>0</v>
          </cell>
          <cell r="C1937">
            <v>4020102</v>
          </cell>
          <cell r="D1937">
            <v>0</v>
          </cell>
          <cell r="E1937" t="str">
            <v>GASKET INSULATOR VJ3000-14-1</v>
          </cell>
          <cell r="F1937">
            <v>0.79380000000000006</v>
          </cell>
        </row>
        <row r="1938">
          <cell r="A1938" t="str">
            <v>VJ3000-21-1A</v>
          </cell>
          <cell r="B1938">
            <v>0</v>
          </cell>
          <cell r="C1938">
            <v>1301108</v>
          </cell>
          <cell r="D1938">
            <v>0</v>
          </cell>
          <cell r="E1938" t="str">
            <v>PLAQUE OBTURATION+JOINT+VIS</v>
          </cell>
          <cell r="F1938">
            <v>3.7926000000000002</v>
          </cell>
        </row>
        <row r="1939">
          <cell r="A1939" t="str">
            <v>VJ3000-22-1</v>
          </cell>
          <cell r="B1939">
            <v>0</v>
          </cell>
          <cell r="C1939">
            <v>1301248</v>
          </cell>
          <cell r="D1939">
            <v>0</v>
          </cell>
          <cell r="E1939" t="str">
            <v>SEATING-UNITARY WITHOUT SEAL</v>
          </cell>
          <cell r="F1939">
            <v>12.1275</v>
          </cell>
        </row>
        <row r="1940">
          <cell r="A1940" t="str">
            <v>VJ3000-33-1</v>
          </cell>
          <cell r="B1940">
            <v>0</v>
          </cell>
          <cell r="C1940">
            <v>1360130</v>
          </cell>
          <cell r="D1940">
            <v>1800218</v>
          </cell>
          <cell r="E1940" t="str">
            <v>SUBPLATE,PLUG FOR</v>
          </cell>
          <cell r="F1940">
            <v>0.66149999999999998</v>
          </cell>
        </row>
        <row r="1941">
          <cell r="A1941" t="str">
            <v>VJ300-5-1</v>
          </cell>
          <cell r="B1941">
            <v>0</v>
          </cell>
          <cell r="C1941">
            <v>1301201</v>
          </cell>
          <cell r="D1941" t="str">
            <v>68745348-000</v>
          </cell>
          <cell r="E1941" t="str">
            <v>GASKET, L0GE VALVE</v>
          </cell>
          <cell r="F1941">
            <v>0.88200000000000001</v>
          </cell>
        </row>
        <row r="1942">
          <cell r="A1942" t="str">
            <v>VJ300-9-1</v>
          </cell>
          <cell r="B1942">
            <v>0</v>
          </cell>
          <cell r="C1942">
            <v>4020143</v>
          </cell>
          <cell r="D1942">
            <v>0</v>
          </cell>
          <cell r="E1942" t="str">
            <v>SUB PLATE FOR CONNECTOR ASSEMB</v>
          </cell>
          <cell r="F1942">
            <v>12.1275</v>
          </cell>
        </row>
        <row r="1943">
          <cell r="A1943" t="str">
            <v>VJ3140-5LZ-M5</v>
          </cell>
          <cell r="B1943">
            <v>0</v>
          </cell>
          <cell r="C1943">
            <v>4020061</v>
          </cell>
          <cell r="D1943">
            <v>0</v>
          </cell>
          <cell r="E1943" t="str">
            <v>VALVE SOL. 5 PORT,24V,2 POS</v>
          </cell>
          <cell r="F1943">
            <v>121.0986</v>
          </cell>
        </row>
        <row r="1944">
          <cell r="A1944" t="str">
            <v>VJ3143-5LOZ</v>
          </cell>
          <cell r="B1944">
            <v>0</v>
          </cell>
          <cell r="C1944">
            <v>1301081</v>
          </cell>
          <cell r="D1944">
            <v>0</v>
          </cell>
          <cell r="E1944" t="str">
            <v>ELECTROVALVE 5/2 MONOSTABLE</v>
          </cell>
          <cell r="F1944">
            <v>79.710750000000004</v>
          </cell>
        </row>
        <row r="1945">
          <cell r="A1945" t="str">
            <v>VJ3143-5LZ</v>
          </cell>
          <cell r="B1945">
            <v>0</v>
          </cell>
          <cell r="C1945">
            <v>4020105</v>
          </cell>
          <cell r="D1945">
            <v>0</v>
          </cell>
          <cell r="E1945" t="str">
            <v>VALVE-SOLENOID VJ3143-5LZ</v>
          </cell>
          <cell r="F1945">
            <v>108.97109999999999</v>
          </cell>
        </row>
        <row r="1946">
          <cell r="A1946" t="str">
            <v>VJ3243-5LOZ</v>
          </cell>
          <cell r="B1946">
            <v>0</v>
          </cell>
          <cell r="C1946">
            <v>1301247</v>
          </cell>
          <cell r="D1946">
            <v>0</v>
          </cell>
          <cell r="E1946" t="str">
            <v>ELECTROVALVE 5/2 BISTABLE</v>
          </cell>
          <cell r="F1946">
            <v>161.45009999999999</v>
          </cell>
        </row>
        <row r="1947">
          <cell r="A1947" t="str">
            <v>VK300-41-1A</v>
          </cell>
          <cell r="B1947">
            <v>0</v>
          </cell>
          <cell r="C1947">
            <v>1360828</v>
          </cell>
          <cell r="D1947">
            <v>0</v>
          </cell>
          <cell r="E1947">
            <v>0</v>
          </cell>
          <cell r="F1947">
            <v>3.1752000000000002</v>
          </cell>
        </row>
        <row r="1948">
          <cell r="A1948" t="str">
            <v>VK300-42-1A</v>
          </cell>
          <cell r="B1948">
            <v>0</v>
          </cell>
          <cell r="C1948">
            <v>1301094</v>
          </cell>
          <cell r="D1948">
            <v>0</v>
          </cell>
          <cell r="E1948" t="str">
            <v>PLATE-SHUTTER VK332-EVV3K3</v>
          </cell>
          <cell r="F1948">
            <v>5.8211999999999993</v>
          </cell>
        </row>
        <row r="1949">
          <cell r="A1949" t="str">
            <v>VK300-45-1</v>
          </cell>
          <cell r="B1949">
            <v>0</v>
          </cell>
          <cell r="C1949">
            <v>4000826</v>
          </cell>
          <cell r="D1949">
            <v>0</v>
          </cell>
          <cell r="E1949" t="str">
            <v>SEATING-UNIT G1/8 WITHOUT SEAL</v>
          </cell>
          <cell r="F1949">
            <v>14.597100000000001</v>
          </cell>
        </row>
        <row r="1950">
          <cell r="A1950" t="str">
            <v>VK332-5DO-M5-Q</v>
          </cell>
          <cell r="B1950">
            <v>0</v>
          </cell>
          <cell r="C1950">
            <v>1301093</v>
          </cell>
          <cell r="D1950">
            <v>0</v>
          </cell>
          <cell r="E1950" t="str">
            <v>ELECTROVALVE 3/2 NC</v>
          </cell>
          <cell r="F1950">
            <v>138.38580000000002</v>
          </cell>
        </row>
        <row r="1951">
          <cell r="A1951" t="str">
            <v>VK332-5DZ-M5</v>
          </cell>
          <cell r="B1951">
            <v>0</v>
          </cell>
          <cell r="C1951">
            <v>4000900</v>
          </cell>
          <cell r="D1951">
            <v>0</v>
          </cell>
          <cell r="E1951" t="str">
            <v>ELECTROVALVE 3/2</v>
          </cell>
          <cell r="F1951">
            <v>125.5527</v>
          </cell>
        </row>
        <row r="1952">
          <cell r="A1952" t="str">
            <v>VK334-5DZ-01</v>
          </cell>
          <cell r="B1952">
            <v>0</v>
          </cell>
          <cell r="C1952">
            <v>4000906</v>
          </cell>
          <cell r="D1952">
            <v>0</v>
          </cell>
          <cell r="E1952" t="str">
            <v>ELECTROVALVE 3/2</v>
          </cell>
          <cell r="F1952">
            <v>140.14980000000003</v>
          </cell>
        </row>
        <row r="1953">
          <cell r="A1953" t="str">
            <v>VK334V-5DZ</v>
          </cell>
          <cell r="B1953">
            <v>0</v>
          </cell>
          <cell r="C1953">
            <v>4000825</v>
          </cell>
          <cell r="D1953">
            <v>0</v>
          </cell>
          <cell r="E1953" t="str">
            <v>ELECTROVALVE 3/2</v>
          </cell>
          <cell r="F1953">
            <v>131.37389999999999</v>
          </cell>
        </row>
        <row r="1954">
          <cell r="A1954" t="str">
            <v>VKF332-5D-M5</v>
          </cell>
          <cell r="B1954">
            <v>0</v>
          </cell>
          <cell r="C1954">
            <v>4002349</v>
          </cell>
          <cell r="D1954">
            <v>0</v>
          </cell>
          <cell r="E1954" t="str">
            <v>ELECTROVALVE 3/2 NC</v>
          </cell>
          <cell r="F1954" t="str">
            <v>MYR152.85 </v>
          </cell>
        </row>
        <row r="1955">
          <cell r="A1955" t="str">
            <v>VM230-02-34G</v>
          </cell>
          <cell r="B1955">
            <v>0</v>
          </cell>
          <cell r="C1955">
            <v>0</v>
          </cell>
          <cell r="D1955">
            <v>0</v>
          </cell>
          <cell r="E1955">
            <v>0</v>
          </cell>
          <cell r="F1955">
            <v>196.25715200000002</v>
          </cell>
        </row>
        <row r="1956">
          <cell r="A1956" t="str">
            <v>VM230-02-34R</v>
          </cell>
          <cell r="B1956">
            <v>0</v>
          </cell>
          <cell r="C1956">
            <v>0</v>
          </cell>
          <cell r="D1956">
            <v>0</v>
          </cell>
          <cell r="E1956">
            <v>0</v>
          </cell>
          <cell r="F1956">
            <v>196.25715200000002</v>
          </cell>
        </row>
        <row r="1957">
          <cell r="A1957" t="str">
            <v>VM230-02-40</v>
          </cell>
          <cell r="B1957">
            <v>0</v>
          </cell>
          <cell r="C1957">
            <v>0</v>
          </cell>
          <cell r="D1957">
            <v>0</v>
          </cell>
          <cell r="E1957">
            <v>0</v>
          </cell>
          <cell r="F1957">
            <v>311.63059200000004</v>
          </cell>
        </row>
        <row r="1958">
          <cell r="A1958" t="str">
            <v>VM430-01-01S</v>
          </cell>
          <cell r="B1958">
            <v>0</v>
          </cell>
          <cell r="C1958">
            <v>1360826</v>
          </cell>
          <cell r="D1958">
            <v>0</v>
          </cell>
          <cell r="E1958">
            <v>0</v>
          </cell>
          <cell r="F1958">
            <v>90.493200000000002</v>
          </cell>
        </row>
        <row r="1959">
          <cell r="A1959" t="str">
            <v>VMG11BU-02-03</v>
          </cell>
          <cell r="B1959">
            <v>0</v>
          </cell>
          <cell r="C1959">
            <v>3010147</v>
          </cell>
          <cell r="D1959">
            <v>0</v>
          </cell>
          <cell r="E1959" t="str">
            <v>AIR GUN VMG SMC</v>
          </cell>
          <cell r="F1959">
            <v>61.74</v>
          </cell>
        </row>
        <row r="1960">
          <cell r="A1960" t="str">
            <v>VMG11BU-03-31</v>
          </cell>
          <cell r="B1960">
            <v>0</v>
          </cell>
          <cell r="C1960">
            <v>0</v>
          </cell>
          <cell r="D1960">
            <v>0</v>
          </cell>
          <cell r="E1960">
            <v>0</v>
          </cell>
          <cell r="F1960">
            <v>78.48</v>
          </cell>
        </row>
        <row r="1961">
          <cell r="A1961" t="str">
            <v>VNA302A-20A</v>
          </cell>
          <cell r="B1961">
            <v>0</v>
          </cell>
          <cell r="C1961">
            <v>3010167</v>
          </cell>
          <cell r="D1961">
            <v>0</v>
          </cell>
          <cell r="E1961" t="str">
            <v>VNA302A-20A VACUUM CONTROL</v>
          </cell>
          <cell r="F1961">
            <v>259.89599999999996</v>
          </cell>
        </row>
        <row r="1962">
          <cell r="A1962" t="str">
            <v>VNA502A-32A</v>
          </cell>
          <cell r="B1962">
            <v>0</v>
          </cell>
          <cell r="C1962">
            <v>3010154</v>
          </cell>
          <cell r="D1962">
            <v>0</v>
          </cell>
          <cell r="E1962" t="str">
            <v>VNA502A-32A VACUUM CONTROL</v>
          </cell>
          <cell r="F1962">
            <v>540.029</v>
          </cell>
        </row>
        <row r="1963">
          <cell r="A1963" t="str">
            <v>VQ1100-5</v>
          </cell>
          <cell r="B1963">
            <v>0</v>
          </cell>
          <cell r="C1963">
            <v>91006430</v>
          </cell>
          <cell r="D1963">
            <v>0</v>
          </cell>
          <cell r="E1963" t="str">
            <v>VALVE-SOL 2POS SGL 24VDC METAL STANDARD</v>
          </cell>
          <cell r="F1963">
            <v>150.87099999999998</v>
          </cell>
        </row>
        <row r="1964">
          <cell r="A1964" t="str">
            <v>VQ1100BN-51-Q</v>
          </cell>
          <cell r="B1964">
            <v>0</v>
          </cell>
          <cell r="C1964" t="str">
            <v>G1003668</v>
          </cell>
          <cell r="D1964">
            <v>0</v>
          </cell>
          <cell r="E1964" t="str">
            <v>Valve 5/2</v>
          </cell>
          <cell r="F1964">
            <v>129.23456000000002</v>
          </cell>
        </row>
        <row r="1965">
          <cell r="A1965" t="str">
            <v>VQ1100N-5</v>
          </cell>
          <cell r="B1965">
            <v>0</v>
          </cell>
          <cell r="C1965">
            <v>97000750</v>
          </cell>
          <cell r="D1965">
            <v>0</v>
          </cell>
          <cell r="E1965">
            <v>0</v>
          </cell>
          <cell r="F1965">
            <v>136.0044</v>
          </cell>
        </row>
        <row r="1966">
          <cell r="A1966" t="str">
            <v>VQ1100N-51-Q</v>
          </cell>
          <cell r="B1966">
            <v>0</v>
          </cell>
          <cell r="C1966">
            <v>0</v>
          </cell>
          <cell r="D1966">
            <v>0</v>
          </cell>
          <cell r="E1966">
            <v>0</v>
          </cell>
          <cell r="F1966">
            <v>129.23456000000002</v>
          </cell>
        </row>
        <row r="1967">
          <cell r="A1967" t="str">
            <v>VQ1100N-5-Q</v>
          </cell>
          <cell r="B1967">
            <v>0</v>
          </cell>
          <cell r="C1967">
            <v>0</v>
          </cell>
          <cell r="D1967">
            <v>0</v>
          </cell>
          <cell r="E1967">
            <v>0</v>
          </cell>
          <cell r="F1967">
            <v>129.23456000000002</v>
          </cell>
        </row>
        <row r="1968">
          <cell r="A1968" t="str">
            <v>VQ1101-5</v>
          </cell>
          <cell r="B1968">
            <v>0</v>
          </cell>
          <cell r="C1968">
            <v>91004270</v>
          </cell>
          <cell r="D1968">
            <v>0</v>
          </cell>
          <cell r="E1968">
            <v>0</v>
          </cell>
          <cell r="F1968">
            <v>124.18560000000001</v>
          </cell>
        </row>
        <row r="1969">
          <cell r="A1969" t="str">
            <v>VQ110-5M-M5</v>
          </cell>
          <cell r="B1969">
            <v>0</v>
          </cell>
          <cell r="C1969">
            <v>95038770</v>
          </cell>
          <cell r="D1969">
            <v>0</v>
          </cell>
          <cell r="E1969" t="str">
            <v>VALVE-SOL 3PORT NC 24VDC M5</v>
          </cell>
          <cell r="F1969">
            <v>78.277500000000003</v>
          </cell>
        </row>
        <row r="1970">
          <cell r="A1970" t="str">
            <v>VQ110-5MO</v>
          </cell>
          <cell r="B1970">
            <v>0</v>
          </cell>
          <cell r="C1970">
            <v>1304069</v>
          </cell>
          <cell r="D1970">
            <v>0</v>
          </cell>
          <cell r="E1970" t="str">
            <v>ELECTROVALVE 3/2 NC</v>
          </cell>
          <cell r="F1970">
            <v>60.0642</v>
          </cell>
        </row>
        <row r="1971">
          <cell r="A1971" t="str">
            <v>VQ110Y-5L</v>
          </cell>
          <cell r="B1971">
            <v>0</v>
          </cell>
          <cell r="C1971">
            <v>1360704</v>
          </cell>
          <cell r="D1971">
            <v>0</v>
          </cell>
          <cell r="E1971" t="str">
            <v>ELECTROVALVE 3/2 NC</v>
          </cell>
          <cell r="F1971">
            <v>65.532600000000002</v>
          </cell>
        </row>
        <row r="1972">
          <cell r="A1972" t="str">
            <v>VQ1171-5MO-C4</v>
          </cell>
          <cell r="B1972">
            <v>0</v>
          </cell>
          <cell r="C1972">
            <v>91500640</v>
          </cell>
          <cell r="D1972">
            <v>0</v>
          </cell>
          <cell r="E1972" t="str">
            <v>VALVE-SOL 2POS SGL 24VDC RUBBER</v>
          </cell>
          <cell r="F1972">
            <v>136.0044</v>
          </cell>
        </row>
        <row r="1973">
          <cell r="A1973" t="str">
            <v>VQ1201N-5-Q</v>
          </cell>
          <cell r="B1973">
            <v>0</v>
          </cell>
          <cell r="C1973">
            <v>1304148</v>
          </cell>
          <cell r="D1973">
            <v>0</v>
          </cell>
          <cell r="E1973" t="str">
            <v>ELECTROVALVE 5/2 BISTABLE</v>
          </cell>
          <cell r="F1973">
            <v>195.14249999999998</v>
          </cell>
        </row>
        <row r="1974">
          <cell r="A1974" t="str">
            <v>VQ1271-5MOB-C4</v>
          </cell>
          <cell r="B1974">
            <v>0</v>
          </cell>
          <cell r="C1974">
            <v>91500650</v>
          </cell>
          <cell r="D1974">
            <v>0</v>
          </cell>
          <cell r="E1974" t="str">
            <v>VALVE-SOL 2POS DBL 24VDC RUBBER</v>
          </cell>
          <cell r="F1974">
            <v>177.4143</v>
          </cell>
        </row>
        <row r="1975">
          <cell r="A1975" t="str">
            <v>VQ1300-5</v>
          </cell>
          <cell r="B1975">
            <v>0</v>
          </cell>
          <cell r="C1975">
            <v>97004510</v>
          </cell>
          <cell r="D1975">
            <v>0</v>
          </cell>
          <cell r="E1975">
            <v>0</v>
          </cell>
          <cell r="F1975">
            <v>209.96010000000001</v>
          </cell>
        </row>
        <row r="1976">
          <cell r="A1976" t="str">
            <v>VQ1371-5MO-C6</v>
          </cell>
          <cell r="B1976">
            <v>0</v>
          </cell>
          <cell r="C1976">
            <v>91500510</v>
          </cell>
          <cell r="D1976">
            <v>0</v>
          </cell>
          <cell r="E1976">
            <v>0</v>
          </cell>
          <cell r="F1976">
            <v>205.506</v>
          </cell>
        </row>
        <row r="1977">
          <cell r="A1977" t="str">
            <v>VQ1400BN-51-Q</v>
          </cell>
          <cell r="B1977">
            <v>0</v>
          </cell>
          <cell r="C1977" t="str">
            <v>G1003669</v>
          </cell>
          <cell r="D1977">
            <v>0</v>
          </cell>
          <cell r="E1977" t="str">
            <v>Valve 5/3</v>
          </cell>
          <cell r="F1977">
            <v>248.35</v>
          </cell>
        </row>
        <row r="1978">
          <cell r="A1978" t="str">
            <v>VQ1400N-51-Q</v>
          </cell>
          <cell r="B1978">
            <v>0</v>
          </cell>
          <cell r="C1978">
            <v>0</v>
          </cell>
          <cell r="D1978">
            <v>0</v>
          </cell>
          <cell r="E1978">
            <v>0</v>
          </cell>
          <cell r="F1978">
            <v>194.66720000000001</v>
          </cell>
        </row>
        <row r="1979">
          <cell r="A1979" t="str">
            <v>VQ1A01N-51-Q</v>
          </cell>
          <cell r="B1979">
            <v>0</v>
          </cell>
          <cell r="C1979">
            <v>0</v>
          </cell>
          <cell r="D1979">
            <v>0</v>
          </cell>
          <cell r="E1979">
            <v>0</v>
          </cell>
          <cell r="F1979">
            <v>185.98361600000001</v>
          </cell>
        </row>
        <row r="1980">
          <cell r="A1980" t="str">
            <v>VQ1-LAE559</v>
          </cell>
          <cell r="B1980">
            <v>0</v>
          </cell>
          <cell r="C1980" t="str">
            <v>G1004033</v>
          </cell>
          <cell r="D1980">
            <v>0</v>
          </cell>
          <cell r="E1980" t="str">
            <v>Valve Block</v>
          </cell>
          <cell r="F1980">
            <v>895.26528000000008</v>
          </cell>
        </row>
        <row r="1981">
          <cell r="A1981" t="str">
            <v>VQ1-LAE824</v>
          </cell>
          <cell r="B1981">
            <v>0</v>
          </cell>
          <cell r="C1981">
            <v>0</v>
          </cell>
          <cell r="D1981">
            <v>0</v>
          </cell>
          <cell r="E1981">
            <v>0</v>
          </cell>
          <cell r="F1981">
            <v>1828.730176</v>
          </cell>
        </row>
        <row r="1982">
          <cell r="A1982" t="str">
            <v>VQ1-LAE885</v>
          </cell>
          <cell r="B1982">
            <v>0</v>
          </cell>
          <cell r="C1982" t="str">
            <v>G1004070</v>
          </cell>
          <cell r="D1982">
            <v>0</v>
          </cell>
          <cell r="E1982" t="str">
            <v>Valve Block</v>
          </cell>
          <cell r="F1982">
            <v>1907.6570239999999</v>
          </cell>
        </row>
        <row r="1983">
          <cell r="A1983" t="str">
            <v>VQ2100N-5-Q</v>
          </cell>
          <cell r="B1983">
            <v>0</v>
          </cell>
          <cell r="C1983">
            <v>1360099</v>
          </cell>
          <cell r="D1983">
            <v>0</v>
          </cell>
          <cell r="E1983">
            <v>0</v>
          </cell>
          <cell r="F1983">
            <v>162.64080000000001</v>
          </cell>
        </row>
        <row r="1984">
          <cell r="A1984" t="str">
            <v>VQ21A1-5YO-C6-Q</v>
          </cell>
          <cell r="B1984">
            <v>0</v>
          </cell>
          <cell r="C1984" t="str">
            <v>G1003774</v>
          </cell>
          <cell r="D1984">
            <v>0</v>
          </cell>
          <cell r="E1984" t="str">
            <v>Valve (Fan Motor Cooling System)</v>
          </cell>
          <cell r="F1984">
            <v>67.226432000000003</v>
          </cell>
        </row>
        <row r="1985">
          <cell r="A1985" t="str">
            <v>VQ2200N-5-Q</v>
          </cell>
          <cell r="B1985">
            <v>0</v>
          </cell>
          <cell r="C1985">
            <v>1360098</v>
          </cell>
          <cell r="D1985">
            <v>0</v>
          </cell>
          <cell r="E1985">
            <v>0</v>
          </cell>
          <cell r="F1985">
            <v>255.38800000000001</v>
          </cell>
        </row>
        <row r="1986">
          <cell r="A1986" t="str">
            <v>VQC1100NR-5</v>
          </cell>
          <cell r="B1986">
            <v>0</v>
          </cell>
          <cell r="C1986">
            <v>1582957</v>
          </cell>
          <cell r="D1986">
            <v>0</v>
          </cell>
          <cell r="E1986">
            <v>0</v>
          </cell>
          <cell r="F1986">
            <v>140.53200000000001</v>
          </cell>
        </row>
        <row r="1987">
          <cell r="A1987" t="str">
            <v>VQC1200NR-5</v>
          </cell>
          <cell r="B1987">
            <v>0</v>
          </cell>
          <cell r="C1987">
            <v>1582956</v>
          </cell>
          <cell r="D1987">
            <v>0</v>
          </cell>
          <cell r="E1987">
            <v>0</v>
          </cell>
          <cell r="F1987">
            <v>172.25460000000001</v>
          </cell>
        </row>
        <row r="1988">
          <cell r="A1988" t="str">
            <v>VQC1400NR-5</v>
          </cell>
          <cell r="B1988">
            <v>0</v>
          </cell>
          <cell r="C1988">
            <v>1583044</v>
          </cell>
          <cell r="D1988">
            <v>0</v>
          </cell>
          <cell r="E1988">
            <v>0</v>
          </cell>
          <cell r="F1988">
            <v>200.96369999999999</v>
          </cell>
        </row>
        <row r="1989">
          <cell r="A1989" t="str">
            <v>VQC2200N-5</v>
          </cell>
          <cell r="B1989">
            <v>0</v>
          </cell>
          <cell r="C1989">
            <v>1582050</v>
          </cell>
          <cell r="D1989">
            <v>0</v>
          </cell>
          <cell r="E1989">
            <v>0</v>
          </cell>
          <cell r="F1989">
            <v>171.06389999999999</v>
          </cell>
        </row>
        <row r="1990">
          <cell r="A1990" t="str">
            <v>VQC2300N-5</v>
          </cell>
          <cell r="B1990">
            <v>0</v>
          </cell>
          <cell r="C1990">
            <v>1582051</v>
          </cell>
          <cell r="D1990">
            <v>0</v>
          </cell>
          <cell r="E1990">
            <v>0</v>
          </cell>
          <cell r="F1990">
            <v>199.773</v>
          </cell>
        </row>
        <row r="1991">
          <cell r="A1991" t="str">
            <v>VQD1121-5M-M5-Q</v>
          </cell>
          <cell r="B1991">
            <v>0</v>
          </cell>
          <cell r="C1991" t="str">
            <v>80.0001.0810</v>
          </cell>
          <cell r="D1991">
            <v>0</v>
          </cell>
          <cell r="E1991" t="str">
            <v>Valve ( Plunger-Arm )</v>
          </cell>
          <cell r="F1991">
            <v>93.481024000000005</v>
          </cell>
        </row>
        <row r="1992">
          <cell r="A1992" t="str">
            <v>VQD1121U-5LO-M5-Q</v>
          </cell>
          <cell r="B1992">
            <v>0</v>
          </cell>
          <cell r="C1992">
            <v>1360759</v>
          </cell>
          <cell r="D1992">
            <v>0</v>
          </cell>
          <cell r="E1992" t="str">
            <v>ELECTROVALVE 4/2 MONOSTABLE 2MS</v>
          </cell>
          <cell r="F1992">
            <v>90.008099999999999</v>
          </cell>
        </row>
        <row r="1993">
          <cell r="A1993" t="str">
            <v>VQD1121U-5M-M5</v>
          </cell>
          <cell r="B1993">
            <v>0</v>
          </cell>
          <cell r="C1993">
            <v>4000802</v>
          </cell>
          <cell r="D1993">
            <v>0</v>
          </cell>
          <cell r="E1993" t="str">
            <v>DIR. SOL VALVE 24 VDC</v>
          </cell>
          <cell r="F1993">
            <v>97.372800000000012</v>
          </cell>
        </row>
        <row r="1994">
          <cell r="A1994" t="str">
            <v>VQD1121U-5M-M5-Q</v>
          </cell>
          <cell r="B1994">
            <v>0</v>
          </cell>
          <cell r="C1994">
            <v>0</v>
          </cell>
          <cell r="D1994">
            <v>0</v>
          </cell>
          <cell r="E1994">
            <v>0</v>
          </cell>
          <cell r="F1994">
            <v>92.584128000000007</v>
          </cell>
        </row>
        <row r="1995">
          <cell r="A1995" t="str">
            <v>VQD1121U-5MO-M5-Q</v>
          </cell>
          <cell r="B1995">
            <v>0</v>
          </cell>
          <cell r="C1995">
            <v>1360617</v>
          </cell>
          <cell r="D1995">
            <v>0</v>
          </cell>
          <cell r="E1995" t="str">
            <v>ELECTROVALVE 4/2 MONOSTABLE 2MS</v>
          </cell>
          <cell r="F1995">
            <v>75.616799999999998</v>
          </cell>
        </row>
        <row r="1996">
          <cell r="A1996" t="str">
            <v>VQD1151U-5MO-Q</v>
          </cell>
          <cell r="B1996">
            <v>0</v>
          </cell>
          <cell r="C1996">
            <v>1361104</v>
          </cell>
          <cell r="D1996">
            <v>0</v>
          </cell>
          <cell r="E1996" t="str">
            <v>ELECTROVALVE 4/2 HIGH-RATE</v>
          </cell>
          <cell r="F1996">
            <v>59.241</v>
          </cell>
        </row>
        <row r="1997">
          <cell r="A1997" t="str">
            <v>VQZ115-5LO1-CP</v>
          </cell>
          <cell r="B1997">
            <v>0</v>
          </cell>
          <cell r="C1997" t="str">
            <v>D1001879</v>
          </cell>
          <cell r="D1997">
            <v>0</v>
          </cell>
          <cell r="E1997">
            <v>0</v>
          </cell>
          <cell r="F1997">
            <v>49.502249999999997</v>
          </cell>
        </row>
        <row r="1998">
          <cell r="A1998" t="str">
            <v>VQZ115-5M1-C4-PR-Q</v>
          </cell>
          <cell r="B1998">
            <v>0</v>
          </cell>
          <cell r="C1998">
            <v>0</v>
          </cell>
          <cell r="D1998">
            <v>0</v>
          </cell>
          <cell r="E1998">
            <v>0</v>
          </cell>
          <cell r="F1998">
            <v>133.51519999999999</v>
          </cell>
        </row>
        <row r="1999">
          <cell r="A1999" t="str">
            <v>VQZ115RY-5F-X108</v>
          </cell>
          <cell r="B1999">
            <v>0</v>
          </cell>
          <cell r="C1999" t="str">
            <v>D1001797</v>
          </cell>
          <cell r="D1999">
            <v>0</v>
          </cell>
          <cell r="E1999" t="str">
            <v>VALVE SOLENOID AIR 24VDC</v>
          </cell>
          <cell r="F1999">
            <v>64.349249999999998</v>
          </cell>
        </row>
        <row r="2000">
          <cell r="A2000" t="str">
            <v>VQZ1321-5L1-M5</v>
          </cell>
          <cell r="B2000">
            <v>0</v>
          </cell>
          <cell r="C2000">
            <v>4002316</v>
          </cell>
          <cell r="D2000">
            <v>0</v>
          </cell>
          <cell r="E2000" t="str">
            <v>ELECTROVALVE 5/3 CENTER CLOSED BODY</v>
          </cell>
          <cell r="F2000">
            <v>184.1</v>
          </cell>
        </row>
        <row r="2001">
          <cell r="A2001" t="str">
            <v>VQZ212R-5LO-C6</v>
          </cell>
          <cell r="B2001">
            <v>0</v>
          </cell>
          <cell r="C2001">
            <v>1360707</v>
          </cell>
          <cell r="D2001">
            <v>0</v>
          </cell>
          <cell r="E2001">
            <v>0</v>
          </cell>
          <cell r="F2001">
            <v>133.04969999999997</v>
          </cell>
        </row>
        <row r="2002">
          <cell r="A2002" t="str">
            <v>VQZ312-5L1-02T</v>
          </cell>
          <cell r="B2002">
            <v>0</v>
          </cell>
          <cell r="C2002" t="str">
            <v>D1003309</v>
          </cell>
          <cell r="D2002">
            <v>0</v>
          </cell>
          <cell r="E2002" t="str">
            <v>VALVE,SOLENOID,3 PORT,1/4 NPTF</v>
          </cell>
          <cell r="F2002">
            <v>120.28275000000001</v>
          </cell>
        </row>
        <row r="2003">
          <cell r="A2003" t="str">
            <v>VR1211F-06</v>
          </cell>
          <cell r="B2003">
            <v>0</v>
          </cell>
          <cell r="C2003">
            <v>0</v>
          </cell>
          <cell r="D2003">
            <v>0</v>
          </cell>
          <cell r="E2003">
            <v>0</v>
          </cell>
          <cell r="F2003">
            <v>84.593600000000009</v>
          </cell>
        </row>
        <row r="2004">
          <cell r="A2004" t="str">
            <v>VT307-5DZ-01</v>
          </cell>
          <cell r="B2004">
            <v>0</v>
          </cell>
          <cell r="C2004">
            <v>4020046</v>
          </cell>
          <cell r="D2004">
            <v>0</v>
          </cell>
          <cell r="E2004" t="str">
            <v>VALVE-SEALING</v>
          </cell>
          <cell r="F2004">
            <v>72.235800000000012</v>
          </cell>
        </row>
        <row r="2005">
          <cell r="A2005" t="str">
            <v>VT307-5G-02</v>
          </cell>
          <cell r="B2005">
            <v>0</v>
          </cell>
          <cell r="C2005">
            <v>1131617</v>
          </cell>
          <cell r="D2005">
            <v>0</v>
          </cell>
          <cell r="E2005" t="str">
            <v>VACUUM VALVE</v>
          </cell>
          <cell r="F2005">
            <v>82.511099999999985</v>
          </cell>
        </row>
        <row r="2006">
          <cell r="A2006" t="str">
            <v>VV3Q12-05</v>
          </cell>
          <cell r="B2006">
            <v>0</v>
          </cell>
          <cell r="C2006">
            <v>1360703</v>
          </cell>
          <cell r="D2006">
            <v>0</v>
          </cell>
          <cell r="E2006" t="str">
            <v>SEATING 5 POSITIONS FOR VALVE VQ110</v>
          </cell>
          <cell r="F2006">
            <v>90.493200000000002</v>
          </cell>
        </row>
        <row r="2007">
          <cell r="A2007" t="str">
            <v>VV4QD15-03-M5-Q</v>
          </cell>
          <cell r="B2007" t="str">
            <v xml:space="preserve">VV4QD15-03M5-Q </v>
          </cell>
          <cell r="C2007" t="str">
            <v>1586276/ 3010146</v>
          </cell>
          <cell r="D2007">
            <v>0</v>
          </cell>
          <cell r="E2007" t="str">
            <v>SEATING 03 POSITIONS VQD1000</v>
          </cell>
          <cell r="F2007">
            <v>65.757999999999996</v>
          </cell>
        </row>
        <row r="2008">
          <cell r="A2008" t="str">
            <v>VV4QD15-06M5-Q</v>
          </cell>
          <cell r="B2008">
            <v>0</v>
          </cell>
          <cell r="C2008">
            <v>4001269</v>
          </cell>
          <cell r="D2008">
            <v>0</v>
          </cell>
          <cell r="E2008">
            <v>0</v>
          </cell>
          <cell r="F2008">
            <v>59.270400000000002</v>
          </cell>
        </row>
        <row r="2009">
          <cell r="A2009" t="str">
            <v>VV4QD15-10-M5-Q</v>
          </cell>
          <cell r="B2009" t="str">
            <v>VV4QD15-10M5-Q</v>
          </cell>
          <cell r="C2009">
            <v>1361105</v>
          </cell>
          <cell r="D2009">
            <v>0</v>
          </cell>
          <cell r="E2009" t="str">
            <v>SEATING 10 POSITIONS VQD1000</v>
          </cell>
          <cell r="F2009">
            <v>110.2059</v>
          </cell>
        </row>
        <row r="2010">
          <cell r="A2010" t="str">
            <v>VV5Q11-06C4FU0-Q</v>
          </cell>
          <cell r="B2010">
            <v>0</v>
          </cell>
          <cell r="C2010" t="str">
            <v>G1004047</v>
          </cell>
          <cell r="D2010" t="str">
            <v>80.0000.4100</v>
          </cell>
          <cell r="E2010" t="str">
            <v>Valve Block Base (6x, SubD)</v>
          </cell>
          <cell r="F2010">
            <v>684.45395199999996</v>
          </cell>
        </row>
        <row r="2011">
          <cell r="A2011" t="str">
            <v>VV5Q11-08C6FU2-D</v>
          </cell>
          <cell r="B2011">
            <v>0</v>
          </cell>
          <cell r="C2011">
            <v>97005110</v>
          </cell>
          <cell r="D2011">
            <v>0</v>
          </cell>
          <cell r="E2011">
            <v>0</v>
          </cell>
          <cell r="F2011">
            <v>587.76480000000004</v>
          </cell>
        </row>
        <row r="2012">
          <cell r="A2012" t="str">
            <v>VV5Q11-10C4FU0-Q</v>
          </cell>
          <cell r="B2012">
            <v>0</v>
          </cell>
          <cell r="C2012" t="str">
            <v>G1004102</v>
          </cell>
          <cell r="D2012" t="str">
            <v>80.0000.4103</v>
          </cell>
          <cell r="E2012" t="str">
            <v>Valve Block Base (10x, SubD)</v>
          </cell>
          <cell r="F2012">
            <v>1030.3704319999999</v>
          </cell>
        </row>
        <row r="2013">
          <cell r="A2013" t="str">
            <v>VV5Q11-11C4FU0-Q</v>
          </cell>
          <cell r="B2013">
            <v>0</v>
          </cell>
          <cell r="C2013" t="str">
            <v>G1003901</v>
          </cell>
          <cell r="D2013" t="str">
            <v>80.0000.4102</v>
          </cell>
          <cell r="E2013" t="str">
            <v>Valve Block Base (16x, SubD)</v>
          </cell>
          <cell r="F2013">
            <v>1116.757824</v>
          </cell>
        </row>
        <row r="2014">
          <cell r="A2014" t="str">
            <v>VV5Q11-16C4FUO-K-Q/Z-5226</v>
          </cell>
          <cell r="B2014">
            <v>0</v>
          </cell>
          <cell r="C2014">
            <v>0</v>
          </cell>
          <cell r="D2014">
            <v>0</v>
          </cell>
          <cell r="E2014">
            <v>0</v>
          </cell>
          <cell r="F2014">
            <v>2556.4389760000004</v>
          </cell>
        </row>
        <row r="2015">
          <cell r="A2015" t="str">
            <v>VV5QC1-KJK056</v>
          </cell>
          <cell r="B2015">
            <v>0</v>
          </cell>
          <cell r="C2015">
            <v>1582959</v>
          </cell>
          <cell r="D2015">
            <v>0</v>
          </cell>
          <cell r="E2015">
            <v>0</v>
          </cell>
          <cell r="F2015">
            <v>3644.9972999999995</v>
          </cell>
        </row>
        <row r="2016">
          <cell r="A2016" t="str">
            <v>VV5QC2-KJK087</v>
          </cell>
          <cell r="B2016">
            <v>0</v>
          </cell>
          <cell r="C2016">
            <v>1583003</v>
          </cell>
          <cell r="D2016">
            <v>0</v>
          </cell>
          <cell r="E2016">
            <v>0</v>
          </cell>
          <cell r="F2016">
            <v>3802.1697000000004</v>
          </cell>
        </row>
        <row r="2017">
          <cell r="A2017" t="str">
            <v>VVQ1000-10A-1</v>
          </cell>
          <cell r="B2017">
            <v>0</v>
          </cell>
          <cell r="C2017">
            <v>1301245</v>
          </cell>
          <cell r="D2017" t="str">
            <v>A0000014022</v>
          </cell>
          <cell r="E2017" t="str">
            <v>BLANK STATION,MANIFOLD</v>
          </cell>
          <cell r="F2017">
            <v>15.288</v>
          </cell>
        </row>
        <row r="2018">
          <cell r="A2018" t="str">
            <v>VVQ1000-16A</v>
          </cell>
          <cell r="B2018">
            <v>0</v>
          </cell>
          <cell r="C2018">
            <v>1301252</v>
          </cell>
          <cell r="D2018" t="str">
            <v>80.0001.1245</v>
          </cell>
          <cell r="E2018" t="str">
            <v>Pressure Block Plate</v>
          </cell>
          <cell r="F2018">
            <v>8.1536000000000008</v>
          </cell>
        </row>
        <row r="2019">
          <cell r="A2019" t="str">
            <v>VVQ1000-18A</v>
          </cell>
          <cell r="B2019">
            <v>0</v>
          </cell>
          <cell r="C2019">
            <v>0</v>
          </cell>
          <cell r="D2019" t="str">
            <v>80.0001.0975</v>
          </cell>
          <cell r="E2019" t="str">
            <v>Non-Return Valve Insert</v>
          </cell>
          <cell r="F2019">
            <v>13.857200000000001</v>
          </cell>
        </row>
        <row r="2020">
          <cell r="A2020" t="str">
            <v>VVQ1000-19A-F0-C4</v>
          </cell>
          <cell r="B2020">
            <v>0</v>
          </cell>
          <cell r="C2020">
            <v>0</v>
          </cell>
          <cell r="D2020" t="str">
            <v>80.0001.0994</v>
          </cell>
          <cell r="E2020" t="str">
            <v>Valve EXH Block Plate</v>
          </cell>
          <cell r="F2020">
            <v>74.197760000000002</v>
          </cell>
        </row>
        <row r="2021">
          <cell r="A2021" t="str">
            <v>VVQ1000-2A-7</v>
          </cell>
          <cell r="B2021">
            <v>0</v>
          </cell>
          <cell r="C2021">
            <v>91500530</v>
          </cell>
          <cell r="D2021">
            <v>0</v>
          </cell>
          <cell r="E2021" t="str">
            <v>PLATE-END MANIFOLD U-SIDE 6MM</v>
          </cell>
          <cell r="F2021">
            <v>29.943900000000003</v>
          </cell>
        </row>
        <row r="2022">
          <cell r="A2022" t="str">
            <v>VVQ1000-3A-7</v>
          </cell>
          <cell r="B2022">
            <v>0</v>
          </cell>
          <cell r="C2022">
            <v>91500520</v>
          </cell>
          <cell r="D2022">
            <v>0</v>
          </cell>
          <cell r="E2022" t="str">
            <v>PLATE-END MANIFOLD D-SIDE 6MM</v>
          </cell>
          <cell r="F2022">
            <v>29.943900000000003</v>
          </cell>
        </row>
        <row r="2023">
          <cell r="A2023" t="str">
            <v>VVQ1000-50A-C4</v>
          </cell>
          <cell r="B2023">
            <v>0</v>
          </cell>
          <cell r="C2023">
            <v>91006730</v>
          </cell>
          <cell r="D2023">
            <v>3602760</v>
          </cell>
          <cell r="E2023" t="str">
            <v>FITTING, 1 TOUCH, 4MM TUBING</v>
          </cell>
          <cell r="F2023">
            <v>4.851</v>
          </cell>
        </row>
        <row r="2024">
          <cell r="A2024" t="str">
            <v>VVQ1000-51A-C8</v>
          </cell>
          <cell r="B2024">
            <v>0</v>
          </cell>
          <cell r="C2024">
            <v>1360111</v>
          </cell>
          <cell r="D2024">
            <v>0</v>
          </cell>
          <cell r="E2024">
            <v>0</v>
          </cell>
          <cell r="F2024">
            <v>8.8641000000000023</v>
          </cell>
        </row>
        <row r="2025">
          <cell r="A2025" t="str">
            <v>VVQ1000-57A</v>
          </cell>
          <cell r="B2025">
            <v>0</v>
          </cell>
          <cell r="C2025">
            <v>1301253</v>
          </cell>
          <cell r="D2025">
            <v>0</v>
          </cell>
          <cell r="E2025" t="str">
            <v>KIT-ASSEMBLY ON RAIL DIN</v>
          </cell>
          <cell r="F2025">
            <v>22.843799999999998</v>
          </cell>
        </row>
        <row r="2026">
          <cell r="A2026" t="str">
            <v>VVQ1000-80A-1</v>
          </cell>
          <cell r="B2026">
            <v>0</v>
          </cell>
          <cell r="C2026">
            <v>0</v>
          </cell>
          <cell r="D2026" t="str">
            <v>80.0001.1921</v>
          </cell>
          <cell r="E2026" t="str">
            <v>Sealing (Valve SMC)</v>
          </cell>
          <cell r="F2026">
            <v>11.741184000000001</v>
          </cell>
        </row>
        <row r="2027">
          <cell r="A2027" t="str">
            <v>VVQ1000-80A-7-2</v>
          </cell>
          <cell r="B2027">
            <v>0</v>
          </cell>
          <cell r="C2027">
            <v>91501080</v>
          </cell>
          <cell r="D2027">
            <v>0</v>
          </cell>
          <cell r="E2027" t="str">
            <v>BUSHING ASSY-MANIFOLD</v>
          </cell>
          <cell r="F2027">
            <v>20.418300000000002</v>
          </cell>
        </row>
        <row r="2028">
          <cell r="A2028" t="str">
            <v>VVQ1000-F7-LC6</v>
          </cell>
          <cell r="B2028">
            <v>0</v>
          </cell>
          <cell r="C2028">
            <v>97004030</v>
          </cell>
          <cell r="D2028">
            <v>0</v>
          </cell>
          <cell r="E2028" t="str">
            <v>FITTING-ELBOW ASSY 6M PORT VERT-HORIZ</v>
          </cell>
          <cell r="F2028">
            <v>22.755600000000001</v>
          </cell>
        </row>
        <row r="2029">
          <cell r="A2029" t="str">
            <v>VVQ1000-P-1-C6</v>
          </cell>
          <cell r="B2029">
            <v>0</v>
          </cell>
          <cell r="C2029">
            <v>1301244</v>
          </cell>
          <cell r="D2029">
            <v>0</v>
          </cell>
          <cell r="E2029" t="str">
            <v>MODULE SEPARATE POWER SUPPLY</v>
          </cell>
          <cell r="F2029">
            <v>46.575000000000003</v>
          </cell>
        </row>
        <row r="2030">
          <cell r="A2030" t="str">
            <v>VVQ1000-R-1-C6</v>
          </cell>
          <cell r="B2030">
            <v>0</v>
          </cell>
          <cell r="C2030">
            <v>1583101</v>
          </cell>
          <cell r="D2030">
            <v>0</v>
          </cell>
          <cell r="E2030">
            <v>0</v>
          </cell>
          <cell r="F2030">
            <v>46.575000000000003</v>
          </cell>
        </row>
        <row r="2031">
          <cell r="A2031" t="str">
            <v>VVQ2000-10A-1</v>
          </cell>
          <cell r="B2031">
            <v>0</v>
          </cell>
          <cell r="C2031">
            <v>1360106</v>
          </cell>
          <cell r="D2031">
            <v>0</v>
          </cell>
          <cell r="E2031">
            <v>0</v>
          </cell>
          <cell r="F2031">
            <v>27.915299999999998</v>
          </cell>
        </row>
        <row r="2032">
          <cell r="A2032" t="str">
            <v>VVQ2000-16A</v>
          </cell>
          <cell r="B2032">
            <v>0</v>
          </cell>
          <cell r="C2032">
            <v>1360105</v>
          </cell>
          <cell r="D2032">
            <v>0</v>
          </cell>
          <cell r="E2032">
            <v>0</v>
          </cell>
          <cell r="F2032">
            <v>7.7175000000000002</v>
          </cell>
        </row>
        <row r="2033">
          <cell r="A2033" t="str">
            <v>VVQ2000-19A</v>
          </cell>
          <cell r="B2033">
            <v>0</v>
          </cell>
          <cell r="C2033">
            <v>1582047</v>
          </cell>
          <cell r="D2033">
            <v>0</v>
          </cell>
          <cell r="E2033">
            <v>0</v>
          </cell>
          <cell r="F2033">
            <v>11.995200000000001</v>
          </cell>
        </row>
        <row r="2034">
          <cell r="A2034" t="str">
            <v>VVQ2000-57A</v>
          </cell>
          <cell r="B2034">
            <v>0</v>
          </cell>
          <cell r="C2034">
            <v>1360108</v>
          </cell>
          <cell r="D2034">
            <v>0</v>
          </cell>
          <cell r="E2034">
            <v>0</v>
          </cell>
          <cell r="F2034">
            <v>30.517199999999999</v>
          </cell>
        </row>
        <row r="2035">
          <cell r="A2035" t="str">
            <v>VVQ2000-P-1-C8</v>
          </cell>
          <cell r="B2035">
            <v>0</v>
          </cell>
          <cell r="C2035">
            <v>1360107</v>
          </cell>
          <cell r="D2035">
            <v>0</v>
          </cell>
          <cell r="E2035">
            <v>0</v>
          </cell>
          <cell r="F2035">
            <v>35.1036</v>
          </cell>
        </row>
        <row r="2036">
          <cell r="A2036" t="str">
            <v>VVQC1000-19A-D-C6</v>
          </cell>
          <cell r="B2036">
            <v>0</v>
          </cell>
          <cell r="C2036">
            <v>1583100</v>
          </cell>
          <cell r="D2036">
            <v>0</v>
          </cell>
          <cell r="E2036">
            <v>0</v>
          </cell>
          <cell r="F2036">
            <v>76.866299999999995</v>
          </cell>
        </row>
        <row r="2037">
          <cell r="A2037" t="str">
            <v>VVQC1000-1A-D-C6</v>
          </cell>
          <cell r="B2037">
            <v>0</v>
          </cell>
          <cell r="C2037">
            <v>1582958</v>
          </cell>
          <cell r="D2037">
            <v>0</v>
          </cell>
          <cell r="E2037">
            <v>0</v>
          </cell>
          <cell r="F2037">
            <v>60.902099999999997</v>
          </cell>
        </row>
        <row r="2038">
          <cell r="A2038" t="str">
            <v>VVQC1000-2A-1-C8-R</v>
          </cell>
          <cell r="B2038">
            <v>0</v>
          </cell>
          <cell r="C2038">
            <v>1583564</v>
          </cell>
          <cell r="D2038">
            <v>0</v>
          </cell>
          <cell r="E2038">
            <v>0</v>
          </cell>
          <cell r="F2038">
            <v>55.742400000000004</v>
          </cell>
        </row>
        <row r="2039">
          <cell r="A2039" t="str">
            <v>VVQC1000-3A-1-C8-R</v>
          </cell>
          <cell r="B2039">
            <v>0</v>
          </cell>
          <cell r="C2039">
            <v>1583565</v>
          </cell>
          <cell r="D2039">
            <v>0</v>
          </cell>
          <cell r="E2039">
            <v>0</v>
          </cell>
          <cell r="F2039">
            <v>112.94010000000002</v>
          </cell>
        </row>
        <row r="2040">
          <cell r="A2040" t="str">
            <v>VVQC1000-F25-1</v>
          </cell>
          <cell r="B2040">
            <v>0</v>
          </cell>
          <cell r="C2040">
            <v>1582049</v>
          </cell>
          <cell r="D2040">
            <v>0</v>
          </cell>
          <cell r="E2040">
            <v>0</v>
          </cell>
          <cell r="F2040">
            <v>66.326400000000007</v>
          </cell>
        </row>
        <row r="2041">
          <cell r="A2041" t="str">
            <v>VVQC2000-1A-D-C6</v>
          </cell>
          <cell r="B2041">
            <v>0</v>
          </cell>
          <cell r="C2041">
            <v>1582055</v>
          </cell>
          <cell r="D2041">
            <v>0</v>
          </cell>
          <cell r="E2041">
            <v>0</v>
          </cell>
          <cell r="F2041">
            <v>87.538499999999999</v>
          </cell>
        </row>
        <row r="2042">
          <cell r="A2042" t="str">
            <v>VVQC2000-1A-D-C8</v>
          </cell>
          <cell r="B2042">
            <v>0</v>
          </cell>
          <cell r="C2042">
            <v>1583567</v>
          </cell>
          <cell r="D2042">
            <v>0</v>
          </cell>
          <cell r="E2042">
            <v>0</v>
          </cell>
          <cell r="F2042">
            <v>78.101099999999988</v>
          </cell>
        </row>
        <row r="2043">
          <cell r="A2043" t="str">
            <v>VVQC2000-1A-S-C6</v>
          </cell>
          <cell r="B2043">
            <v>0</v>
          </cell>
          <cell r="C2043">
            <v>1582045</v>
          </cell>
          <cell r="D2043">
            <v>0</v>
          </cell>
          <cell r="E2043">
            <v>0</v>
          </cell>
          <cell r="F2043">
            <v>84.495599999999996</v>
          </cell>
        </row>
        <row r="2044">
          <cell r="A2044" t="str">
            <v>VVQC2000-2A-1-C10-R</v>
          </cell>
          <cell r="B2044">
            <v>0</v>
          </cell>
          <cell r="C2044">
            <v>1582048</v>
          </cell>
          <cell r="D2044">
            <v>0</v>
          </cell>
          <cell r="E2044">
            <v>0</v>
          </cell>
          <cell r="F2044">
            <v>70.648200000000003</v>
          </cell>
        </row>
        <row r="2045">
          <cell r="A2045" t="str">
            <v>VVQC2000-3A-1-C10-R</v>
          </cell>
          <cell r="B2045">
            <v>0</v>
          </cell>
          <cell r="C2045">
            <v>1582046</v>
          </cell>
          <cell r="D2045">
            <v>0</v>
          </cell>
          <cell r="E2045">
            <v>0</v>
          </cell>
          <cell r="F2045">
            <v>142.09020000000001</v>
          </cell>
        </row>
        <row r="2046">
          <cell r="A2046" t="str">
            <v>VVQD1000-10A-5</v>
          </cell>
          <cell r="B2046">
            <v>0</v>
          </cell>
          <cell r="C2046">
            <v>1361103</v>
          </cell>
          <cell r="D2046">
            <v>0</v>
          </cell>
          <cell r="E2046" t="str">
            <v>PLATE-CLOSURE+SEAL+SCREW</v>
          </cell>
          <cell r="F2046">
            <v>5.45</v>
          </cell>
        </row>
        <row r="2047">
          <cell r="A2047" t="str">
            <v>VVZS3000-21A-2</v>
          </cell>
          <cell r="B2047">
            <v>0</v>
          </cell>
          <cell r="C2047">
            <v>93024180</v>
          </cell>
          <cell r="D2047">
            <v>0</v>
          </cell>
          <cell r="E2047">
            <v>0</v>
          </cell>
          <cell r="F2047">
            <v>145.7946</v>
          </cell>
        </row>
        <row r="2048">
          <cell r="A2048" t="str">
            <v>VX2240-02F-5D1</v>
          </cell>
          <cell r="B2048">
            <v>0</v>
          </cell>
          <cell r="C2048">
            <v>1361120</v>
          </cell>
          <cell r="D2048">
            <v>0</v>
          </cell>
          <cell r="E2048" t="str">
            <v>ELECTROVALVE 2/2 NC</v>
          </cell>
          <cell r="F2048">
            <v>120.21660000000001</v>
          </cell>
        </row>
        <row r="2049">
          <cell r="A2049" t="str">
            <v>VZ1000-11-1-12</v>
          </cell>
          <cell r="B2049">
            <v>0</v>
          </cell>
          <cell r="C2049">
            <v>0</v>
          </cell>
          <cell r="D2049">
            <v>0</v>
          </cell>
          <cell r="E2049">
            <v>0</v>
          </cell>
          <cell r="F2049">
            <v>14.961856000000001</v>
          </cell>
        </row>
        <row r="2050">
          <cell r="A2050" t="str">
            <v>VZ1000-11-1-8</v>
          </cell>
          <cell r="B2050">
            <v>0</v>
          </cell>
          <cell r="C2050">
            <v>0</v>
          </cell>
          <cell r="D2050">
            <v>0</v>
          </cell>
          <cell r="E2050">
            <v>0</v>
          </cell>
          <cell r="F2050">
            <v>17.081792000000004</v>
          </cell>
        </row>
        <row r="2051">
          <cell r="A2051" t="str">
            <v>VZ1000-11-1-9</v>
          </cell>
          <cell r="B2051">
            <v>0</v>
          </cell>
          <cell r="C2051">
            <v>0</v>
          </cell>
          <cell r="D2051">
            <v>0</v>
          </cell>
          <cell r="E2051">
            <v>0</v>
          </cell>
          <cell r="F2051">
            <v>12.678848</v>
          </cell>
        </row>
        <row r="2052">
          <cell r="A2052" t="str">
            <v>VZ110-5MOZ-M5</v>
          </cell>
          <cell r="B2052">
            <v>0</v>
          </cell>
          <cell r="C2052">
            <v>1301014</v>
          </cell>
          <cell r="D2052">
            <v>0</v>
          </cell>
          <cell r="E2052" t="str">
            <v>ELECTROVALVE 3/2 NC</v>
          </cell>
          <cell r="F2052">
            <v>56.022435000000002</v>
          </cell>
        </row>
        <row r="2053">
          <cell r="A2053" t="str">
            <v>VZ1120-5MOZ-M5</v>
          </cell>
          <cell r="B2053">
            <v>0</v>
          </cell>
          <cell r="C2053">
            <v>1301015</v>
          </cell>
          <cell r="D2053">
            <v>0</v>
          </cell>
          <cell r="E2053" t="str">
            <v>ELECTROVALVE 4/2 NC MONOSTABLE</v>
          </cell>
          <cell r="F2053">
            <v>131.02110000000002</v>
          </cell>
        </row>
        <row r="2054">
          <cell r="A2054" t="str">
            <v>VZ3000-50A-1N-C4</v>
          </cell>
          <cell r="B2054">
            <v>0</v>
          </cell>
          <cell r="C2054">
            <v>1302036</v>
          </cell>
          <cell r="D2054">
            <v>0</v>
          </cell>
          <cell r="E2054" t="str">
            <v>SEATING UNITARY TUBE 4/2.5</v>
          </cell>
          <cell r="F2054">
            <v>34.574399999999997</v>
          </cell>
        </row>
        <row r="2055">
          <cell r="A2055" t="str">
            <v>VZ3000-51A-1D-06</v>
          </cell>
          <cell r="B2055">
            <v>0</v>
          </cell>
          <cell r="C2055">
            <v>1317027</v>
          </cell>
          <cell r="D2055">
            <v>0</v>
          </cell>
          <cell r="E2055" t="str">
            <v>PLATE-ALIM. VZ3000-51A-1DO6/10</v>
          </cell>
          <cell r="F2055">
            <v>111.26430000000001</v>
          </cell>
        </row>
        <row r="2056">
          <cell r="A2056" t="str">
            <v>VZ3000-52A-3U</v>
          </cell>
          <cell r="B2056">
            <v>0</v>
          </cell>
          <cell r="C2056">
            <v>1317029</v>
          </cell>
          <cell r="D2056">
            <v>0</v>
          </cell>
          <cell r="E2056" t="str">
            <v>PLATE-END LEFT</v>
          </cell>
          <cell r="F2056">
            <v>15.346799999999998</v>
          </cell>
        </row>
        <row r="2057">
          <cell r="A2057" t="str">
            <v>VZ3000-52A-4D</v>
          </cell>
          <cell r="B2057">
            <v>0</v>
          </cell>
          <cell r="C2057">
            <v>1317028</v>
          </cell>
          <cell r="D2057">
            <v>0</v>
          </cell>
          <cell r="E2057" t="str">
            <v>PLATE-END RIGHT</v>
          </cell>
          <cell r="F2057">
            <v>15.346799999999998</v>
          </cell>
        </row>
        <row r="2058">
          <cell r="A2058" t="str">
            <v>VZ3143-5FZ</v>
          </cell>
          <cell r="B2058">
            <v>0</v>
          </cell>
          <cell r="C2058">
            <v>1301052</v>
          </cell>
          <cell r="D2058">
            <v>0</v>
          </cell>
          <cell r="E2058" t="str">
            <v>ELECTROVALVE 5/2 MONOSTABLE</v>
          </cell>
          <cell r="F2058">
            <v>174.68010000000001</v>
          </cell>
        </row>
        <row r="2059">
          <cell r="A2059" t="str">
            <v>VZ3243-5FZ</v>
          </cell>
          <cell r="B2059">
            <v>0</v>
          </cell>
          <cell r="C2059">
            <v>1301071</v>
          </cell>
          <cell r="D2059">
            <v>0</v>
          </cell>
          <cell r="E2059" t="str">
            <v>ELECTROVALVE 5/2 BISTABLE</v>
          </cell>
          <cell r="F2059">
            <v>314.43299999999999</v>
          </cell>
        </row>
        <row r="2060">
          <cell r="A2060" t="str">
            <v>VZ3343-5FZ</v>
          </cell>
          <cell r="B2060">
            <v>0</v>
          </cell>
          <cell r="C2060">
            <v>1301107</v>
          </cell>
          <cell r="D2060">
            <v>0</v>
          </cell>
          <cell r="E2060" t="str">
            <v>ELECTROVALVE 5/3 CENTER CLOSED</v>
          </cell>
          <cell r="F2060">
            <v>385.85736000000003</v>
          </cell>
        </row>
        <row r="2061">
          <cell r="A2061" t="str">
            <v>VZ5000-50A-1N-C6</v>
          </cell>
          <cell r="B2061">
            <v>0</v>
          </cell>
          <cell r="C2061">
            <v>1302025</v>
          </cell>
          <cell r="D2061">
            <v>0</v>
          </cell>
          <cell r="E2061">
            <v>0</v>
          </cell>
          <cell r="F2061">
            <v>42.247799999999998</v>
          </cell>
        </row>
        <row r="2062">
          <cell r="A2062" t="str">
            <v>VZ5000-51A-1M</v>
          </cell>
          <cell r="B2062">
            <v>0</v>
          </cell>
          <cell r="C2062">
            <v>1317022</v>
          </cell>
          <cell r="D2062">
            <v>0</v>
          </cell>
          <cell r="E2062">
            <v>0</v>
          </cell>
          <cell r="F2062">
            <v>21.8736</v>
          </cell>
        </row>
        <row r="2063">
          <cell r="A2063" t="str">
            <v>VZ5000-52A-3U</v>
          </cell>
          <cell r="B2063">
            <v>0</v>
          </cell>
          <cell r="C2063">
            <v>1317016</v>
          </cell>
          <cell r="D2063">
            <v>0</v>
          </cell>
          <cell r="E2063">
            <v>0</v>
          </cell>
          <cell r="F2063">
            <v>20.374200000000002</v>
          </cell>
        </row>
        <row r="2064">
          <cell r="A2064" t="str">
            <v>VZ5000-52A-4D</v>
          </cell>
          <cell r="B2064">
            <v>0</v>
          </cell>
          <cell r="C2064">
            <v>1317017</v>
          </cell>
          <cell r="D2064">
            <v>0</v>
          </cell>
          <cell r="E2064">
            <v>0</v>
          </cell>
          <cell r="F2064">
            <v>21.035700000000002</v>
          </cell>
        </row>
        <row r="2065">
          <cell r="A2065" t="str">
            <v>VZ5000-65-1A</v>
          </cell>
          <cell r="B2065">
            <v>0</v>
          </cell>
          <cell r="C2065">
            <v>1317043</v>
          </cell>
          <cell r="D2065">
            <v>0</v>
          </cell>
          <cell r="E2065">
            <v>0</v>
          </cell>
          <cell r="F2065">
            <v>19.977299999999996</v>
          </cell>
        </row>
        <row r="2066">
          <cell r="A2066" t="str">
            <v>VZ5000-68-1A</v>
          </cell>
          <cell r="B2066">
            <v>0</v>
          </cell>
          <cell r="C2066">
            <v>1317023</v>
          </cell>
          <cell r="D2066">
            <v>0</v>
          </cell>
          <cell r="E2066">
            <v>0</v>
          </cell>
          <cell r="F2066">
            <v>1.8081</v>
          </cell>
        </row>
        <row r="2067">
          <cell r="A2067" t="str">
            <v>VZ5143-5FZ</v>
          </cell>
          <cell r="B2067">
            <v>0</v>
          </cell>
          <cell r="C2067">
            <v>1304018</v>
          </cell>
          <cell r="D2067">
            <v>0</v>
          </cell>
          <cell r="E2067">
            <v>0</v>
          </cell>
          <cell r="F2067">
            <v>209.6514</v>
          </cell>
        </row>
        <row r="2068">
          <cell r="A2068" t="str">
            <v>VZ5243-5FZ</v>
          </cell>
          <cell r="B2068">
            <v>0</v>
          </cell>
          <cell r="C2068">
            <v>1304019</v>
          </cell>
          <cell r="D2068">
            <v>0</v>
          </cell>
          <cell r="E2068">
            <v>0</v>
          </cell>
          <cell r="F2068">
            <v>352.31489999999997</v>
          </cell>
        </row>
        <row r="2069">
          <cell r="A2069" t="str">
            <v>VZ5343-5FZ</v>
          </cell>
          <cell r="B2069">
            <v>0</v>
          </cell>
          <cell r="C2069">
            <v>1304158</v>
          </cell>
          <cell r="D2069">
            <v>0</v>
          </cell>
          <cell r="E2069" t="str">
            <v>ELECTROVALVE 5/3 CENTER CLOSED</v>
          </cell>
          <cell r="F2069">
            <v>410.52689999999996</v>
          </cell>
        </row>
        <row r="2070">
          <cell r="A2070" t="str">
            <v>VZ5443-5FZ</v>
          </cell>
          <cell r="B2070">
            <v>0</v>
          </cell>
          <cell r="C2070">
            <v>1304031</v>
          </cell>
          <cell r="D2070">
            <v>0</v>
          </cell>
          <cell r="E2070" t="str">
            <v>ELECTROVALVE 5/3 CENTER OPENED</v>
          </cell>
          <cell r="F2070">
            <v>410.52689999999996</v>
          </cell>
        </row>
        <row r="2071">
          <cell r="A2071" t="str">
            <v>VZM550-01-33</v>
          </cell>
          <cell r="B2071">
            <v>0</v>
          </cell>
          <cell r="C2071">
            <v>1360825</v>
          </cell>
          <cell r="D2071">
            <v>0</v>
          </cell>
          <cell r="E2071">
            <v>0</v>
          </cell>
          <cell r="F2071">
            <v>133.35839999999999</v>
          </cell>
        </row>
        <row r="2072">
          <cell r="A2072" t="str">
            <v>X31</v>
          </cell>
          <cell r="B2072">
            <v>0</v>
          </cell>
          <cell r="C2072">
            <v>1348011</v>
          </cell>
          <cell r="D2072">
            <v>0</v>
          </cell>
          <cell r="E2072" t="str">
            <v>CONNECTOR-VALVE PROGRES.</v>
          </cell>
          <cell r="F2072">
            <v>3.11</v>
          </cell>
        </row>
        <row r="2073">
          <cell r="A2073" t="str">
            <v>X31(B)</v>
          </cell>
          <cell r="B2073">
            <v>0</v>
          </cell>
          <cell r="C2073">
            <v>0</v>
          </cell>
          <cell r="D2073">
            <v>0</v>
          </cell>
          <cell r="E2073">
            <v>0</v>
          </cell>
          <cell r="F2073">
            <v>6.44</v>
          </cell>
        </row>
        <row r="2074">
          <cell r="A2074" t="str">
            <v>Y20</v>
          </cell>
          <cell r="B2074">
            <v>0</v>
          </cell>
          <cell r="C2074">
            <v>1309010</v>
          </cell>
          <cell r="D2074">
            <v>0</v>
          </cell>
          <cell r="E2074" t="str">
            <v>SPACER-Y20</v>
          </cell>
          <cell r="F2074">
            <v>8.9522999999999993</v>
          </cell>
        </row>
        <row r="2075">
          <cell r="A2075" t="str">
            <v>Y20L</v>
          </cell>
          <cell r="B2075">
            <v>0</v>
          </cell>
          <cell r="C2075">
            <v>4020033</v>
          </cell>
          <cell r="D2075" t="str">
            <v>80.0000.8394</v>
          </cell>
          <cell r="E2075" t="str">
            <v>Fix part</v>
          </cell>
          <cell r="F2075">
            <v>6.83</v>
          </cell>
        </row>
        <row r="2076">
          <cell r="A2076" t="str">
            <v>Y20T</v>
          </cell>
          <cell r="B2076">
            <v>0</v>
          </cell>
          <cell r="C2076">
            <v>1309005</v>
          </cell>
          <cell r="D2076">
            <v>0</v>
          </cell>
          <cell r="E2076" t="str">
            <v>BRACKET-ANG-FAST. Y20T</v>
          </cell>
          <cell r="F2076">
            <v>11.9511</v>
          </cell>
        </row>
        <row r="2077">
          <cell r="A2077" t="str">
            <v>Y21-02</v>
          </cell>
          <cell r="B2077">
            <v>0</v>
          </cell>
          <cell r="C2077">
            <v>1325015</v>
          </cell>
          <cell r="D2077">
            <v>0</v>
          </cell>
          <cell r="E2077">
            <v>0</v>
          </cell>
          <cell r="F2077">
            <v>12.612599999999999</v>
          </cell>
        </row>
        <row r="2078">
          <cell r="A2078" t="str">
            <v>Y30</v>
          </cell>
          <cell r="B2078">
            <v>0</v>
          </cell>
          <cell r="C2078">
            <v>1309007</v>
          </cell>
          <cell r="D2078">
            <v>0</v>
          </cell>
          <cell r="E2078" t="str">
            <v>SPACER-Y30</v>
          </cell>
          <cell r="F2078">
            <v>10.495800000000001</v>
          </cell>
        </row>
        <row r="2079">
          <cell r="A2079" t="str">
            <v>Y300T</v>
          </cell>
          <cell r="B2079">
            <v>0</v>
          </cell>
          <cell r="C2079">
            <v>0</v>
          </cell>
          <cell r="D2079">
            <v>0</v>
          </cell>
          <cell r="E2079">
            <v>0</v>
          </cell>
          <cell r="F2079">
            <v>8.7799999999999994</v>
          </cell>
        </row>
        <row r="2080">
          <cell r="A2080" t="str">
            <v>Y30L</v>
          </cell>
          <cell r="B2080">
            <v>0</v>
          </cell>
          <cell r="C2080">
            <v>1325030</v>
          </cell>
          <cell r="D2080">
            <v>0</v>
          </cell>
          <cell r="E2080" t="str">
            <v>BRACKET-FASTENING TYPE L</v>
          </cell>
          <cell r="F2080">
            <v>14.3325</v>
          </cell>
        </row>
        <row r="2081">
          <cell r="A2081" t="str">
            <v>Y30T</v>
          </cell>
          <cell r="B2081">
            <v>0</v>
          </cell>
          <cell r="C2081">
            <v>1325009</v>
          </cell>
          <cell r="D2081">
            <v>0</v>
          </cell>
          <cell r="E2081" t="str">
            <v>BRACKET-ANG-FAST. Y30T</v>
          </cell>
          <cell r="F2081">
            <v>10.3194</v>
          </cell>
        </row>
        <row r="2082">
          <cell r="A2082" t="str">
            <v>Y34-02</v>
          </cell>
          <cell r="B2082">
            <v>0</v>
          </cell>
          <cell r="C2082">
            <v>4000575</v>
          </cell>
          <cell r="D2082">
            <v>0</v>
          </cell>
          <cell r="E2082" t="str">
            <v>REGULATOR SPACER</v>
          </cell>
          <cell r="F2082">
            <v>23.284799999999997</v>
          </cell>
        </row>
        <row r="2083">
          <cell r="A2083" t="str">
            <v>Y40</v>
          </cell>
          <cell r="B2083">
            <v>0</v>
          </cell>
          <cell r="C2083">
            <v>1309006</v>
          </cell>
          <cell r="D2083">
            <v>4100887</v>
          </cell>
          <cell r="E2083" t="str">
            <v>SPACER, REGULATOR TO</v>
          </cell>
          <cell r="F2083">
            <v>11.9511</v>
          </cell>
        </row>
        <row r="2084">
          <cell r="A2084" t="str">
            <v>Y40T</v>
          </cell>
          <cell r="B2084">
            <v>0</v>
          </cell>
          <cell r="C2084">
            <v>1325012</v>
          </cell>
          <cell r="D2084">
            <v>0</v>
          </cell>
          <cell r="E2084" t="str">
            <v>BRACKET-ANG-FAST. Y40T</v>
          </cell>
          <cell r="F2084">
            <v>14.9499</v>
          </cell>
        </row>
        <row r="2085">
          <cell r="A2085" t="str">
            <v>Y500</v>
          </cell>
          <cell r="B2085">
            <v>0</v>
          </cell>
          <cell r="C2085">
            <v>0</v>
          </cell>
          <cell r="D2085">
            <v>0</v>
          </cell>
          <cell r="E2085">
            <v>0</v>
          </cell>
          <cell r="F2085">
            <v>8.7799999999999994</v>
          </cell>
        </row>
        <row r="2086">
          <cell r="A2086" t="str">
            <v>Y500T</v>
          </cell>
          <cell r="B2086">
            <v>0</v>
          </cell>
          <cell r="C2086">
            <v>0</v>
          </cell>
          <cell r="D2086">
            <v>0</v>
          </cell>
          <cell r="E2086">
            <v>0</v>
          </cell>
          <cell r="F2086">
            <v>10.73</v>
          </cell>
        </row>
        <row r="2087">
          <cell r="A2087" t="str">
            <v>Y-G04</v>
          </cell>
          <cell r="B2087">
            <v>0</v>
          </cell>
          <cell r="C2087">
            <v>91007430</v>
          </cell>
          <cell r="D2087">
            <v>0</v>
          </cell>
          <cell r="E2087" t="str">
            <v>BRACKET-FORK KNUCKLE JOINT 10</v>
          </cell>
          <cell r="F2087">
            <v>27.253799999999998</v>
          </cell>
        </row>
        <row r="2088">
          <cell r="A2088" t="str">
            <v>Y-J010B</v>
          </cell>
          <cell r="B2088">
            <v>0</v>
          </cell>
          <cell r="C2088">
            <v>91301430</v>
          </cell>
          <cell r="D2088">
            <v>0</v>
          </cell>
          <cell r="E2088">
            <v>0</v>
          </cell>
          <cell r="F2088">
            <v>13.0977</v>
          </cell>
        </row>
        <row r="2089">
          <cell r="A2089" t="str">
            <v>Y-J016B</v>
          </cell>
          <cell r="B2089">
            <v>0</v>
          </cell>
          <cell r="C2089">
            <v>4020125</v>
          </cell>
          <cell r="D2089">
            <v>0</v>
          </cell>
          <cell r="E2089" t="str">
            <v>LEVER-JOINT-DOUBLE</v>
          </cell>
          <cell r="F2089">
            <v>13.0977</v>
          </cell>
        </row>
        <row r="2090">
          <cell r="A2090" t="str">
            <v>ZCDUKC-16-20D</v>
          </cell>
          <cell r="B2090" t="str">
            <v xml:space="preserve">ZCDUKC16-20D </v>
          </cell>
          <cell r="C2090">
            <v>1202878</v>
          </cell>
          <cell r="D2090">
            <v>0</v>
          </cell>
          <cell r="E2090">
            <v>0</v>
          </cell>
          <cell r="F2090">
            <v>174.23910000000001</v>
          </cell>
        </row>
        <row r="2091">
          <cell r="A2091" t="str">
            <v>ZCDUKC20-40D</v>
          </cell>
          <cell r="B2091">
            <v>0</v>
          </cell>
          <cell r="C2091">
            <v>1202600</v>
          </cell>
          <cell r="D2091">
            <v>0</v>
          </cell>
          <cell r="E2091" t="str">
            <v>CYLINDER-LINEAR DE 020 0040</v>
          </cell>
          <cell r="F2091">
            <v>211.37129999999999</v>
          </cell>
        </row>
        <row r="2092">
          <cell r="A2092" t="str">
            <v>ZFB100-06</v>
          </cell>
          <cell r="B2092">
            <v>0</v>
          </cell>
          <cell r="C2092">
            <v>1360022</v>
          </cell>
          <cell r="D2092">
            <v>0</v>
          </cell>
          <cell r="E2092">
            <v>0</v>
          </cell>
          <cell r="F2092">
            <v>41.3658</v>
          </cell>
        </row>
        <row r="2093">
          <cell r="A2093" t="str">
            <v>ZFB200-06</v>
          </cell>
          <cell r="B2093">
            <v>0</v>
          </cell>
          <cell r="C2093">
            <v>91500670</v>
          </cell>
          <cell r="D2093">
            <v>0</v>
          </cell>
          <cell r="E2093">
            <v>0</v>
          </cell>
          <cell r="F2093">
            <v>46.790099999999995</v>
          </cell>
        </row>
        <row r="2094">
          <cell r="A2094" t="str">
            <v>ZFB300-08</v>
          </cell>
          <cell r="B2094">
            <v>0</v>
          </cell>
          <cell r="C2094">
            <v>1360709</v>
          </cell>
          <cell r="D2094">
            <v>0</v>
          </cell>
          <cell r="E2094">
            <v>0</v>
          </cell>
          <cell r="F2094">
            <v>50.0976</v>
          </cell>
        </row>
        <row r="2095">
          <cell r="A2095" t="str">
            <v>ZFC050-04B</v>
          </cell>
          <cell r="B2095">
            <v>0</v>
          </cell>
          <cell r="C2095">
            <v>0</v>
          </cell>
          <cell r="D2095">
            <v>3603281</v>
          </cell>
          <cell r="E2095" t="str">
            <v>FILTER,AIR,4MM TUBING</v>
          </cell>
          <cell r="F2095">
            <v>23.156223999999998</v>
          </cell>
        </row>
        <row r="2096">
          <cell r="A2096" t="str">
            <v>ZFC100-04B</v>
          </cell>
          <cell r="B2096">
            <v>0</v>
          </cell>
          <cell r="C2096">
            <v>1260511</v>
          </cell>
          <cell r="D2096">
            <v>0</v>
          </cell>
          <cell r="E2096" t="str">
            <v>FILTER-PNEUMATIC-VACUUM 04-04</v>
          </cell>
          <cell r="F2096">
            <v>33.447400000000002</v>
          </cell>
        </row>
        <row r="2097">
          <cell r="A2097" t="str">
            <v>ZFC100-06B</v>
          </cell>
          <cell r="B2097">
            <v>0</v>
          </cell>
          <cell r="C2097">
            <v>1361040</v>
          </cell>
          <cell r="D2097">
            <v>3604180</v>
          </cell>
          <cell r="E2097" t="str">
            <v>FILTER,VACUUM, 6MM TUBE</v>
          </cell>
          <cell r="F2097">
            <v>35.231000000000002</v>
          </cell>
        </row>
        <row r="2098">
          <cell r="A2098" t="str">
            <v>ZFC200-06B</v>
          </cell>
          <cell r="B2098">
            <v>0</v>
          </cell>
          <cell r="C2098">
            <v>1360608</v>
          </cell>
          <cell r="D2098">
            <v>0</v>
          </cell>
          <cell r="E2098" t="str">
            <v>FILTER-PNEUMATIC-VACUUM D=6 30L/MIN</v>
          </cell>
          <cell r="F2098">
            <v>33.006399999999999</v>
          </cell>
        </row>
        <row r="2099">
          <cell r="A2099" t="str">
            <v>ZFC200-08B</v>
          </cell>
          <cell r="B2099">
            <v>0</v>
          </cell>
          <cell r="C2099">
            <v>4002140</v>
          </cell>
          <cell r="D2099">
            <v>0</v>
          </cell>
          <cell r="E2099" t="str">
            <v>FILTER-PNEUMATIC-VACUUM 0808</v>
          </cell>
          <cell r="F2099">
            <v>55.027000000000001</v>
          </cell>
        </row>
        <row r="2100">
          <cell r="A2100" t="str">
            <v>ZFC74-B</v>
          </cell>
          <cell r="B2100">
            <v>0</v>
          </cell>
          <cell r="C2100">
            <v>3010195</v>
          </cell>
          <cell r="D2100">
            <v>0</v>
          </cell>
          <cell r="E2100" t="str">
            <v>FILTER-PNEUMATIC-VACUUM 06-06</v>
          </cell>
          <cell r="F2100">
            <v>56.15</v>
          </cell>
        </row>
        <row r="2101">
          <cell r="A2101" t="str">
            <v>ZFC75-B</v>
          </cell>
          <cell r="B2101">
            <v>0</v>
          </cell>
          <cell r="C2101">
            <v>3010196</v>
          </cell>
          <cell r="D2101">
            <v>0</v>
          </cell>
          <cell r="E2101" t="str">
            <v>FILTER-PNEUMATIC-VACUUM 08-08</v>
          </cell>
          <cell r="F2101">
            <v>56.15</v>
          </cell>
        </row>
        <row r="2102">
          <cell r="A2102" t="str">
            <v>ZFZ-03-002A</v>
          </cell>
          <cell r="B2102">
            <v>0</v>
          </cell>
          <cell r="C2102">
            <v>1262129</v>
          </cell>
          <cell r="D2102">
            <v>0</v>
          </cell>
          <cell r="E2102" t="str">
            <v>FILTER-PNEUMATIC-VACUUM 5UM</v>
          </cell>
          <cell r="F2102">
            <v>36.015000000000001</v>
          </cell>
        </row>
        <row r="2103">
          <cell r="A2103" t="str">
            <v>ZFZ-03-002E</v>
          </cell>
          <cell r="B2103">
            <v>0</v>
          </cell>
          <cell r="C2103">
            <v>1586421</v>
          </cell>
          <cell r="D2103">
            <v>0</v>
          </cell>
          <cell r="E2103" t="str">
            <v>FILTER PNEUMATIC VACUUM 70UM</v>
          </cell>
          <cell r="F2103">
            <v>36.75</v>
          </cell>
        </row>
        <row r="2104">
          <cell r="A2104" t="str">
            <v>ZH05BS-06-06</v>
          </cell>
          <cell r="B2104">
            <v>0</v>
          </cell>
          <cell r="C2104">
            <v>0</v>
          </cell>
          <cell r="D2104" t="str">
            <v>80.0000.2287</v>
          </cell>
          <cell r="E2104" t="str">
            <v>Vacuum Ejector</v>
          </cell>
          <cell r="F2104">
            <v>48.636223999999999</v>
          </cell>
        </row>
        <row r="2105">
          <cell r="A2105" t="str">
            <v>ZH05DS-06-06-06</v>
          </cell>
          <cell r="B2105">
            <v>0</v>
          </cell>
          <cell r="C2105">
            <v>0</v>
          </cell>
          <cell r="D2105" t="str">
            <v>80.0001.0372</v>
          </cell>
          <cell r="E2105" t="str">
            <v>Vacuum Ejector</v>
          </cell>
          <cell r="F2105">
            <v>29.189888000000003</v>
          </cell>
        </row>
        <row r="2106">
          <cell r="A2106" t="str">
            <v>ZH07BS-06-01</v>
          </cell>
          <cell r="B2106">
            <v>0</v>
          </cell>
          <cell r="C2106">
            <v>0</v>
          </cell>
          <cell r="D2106">
            <v>0</v>
          </cell>
          <cell r="E2106">
            <v>0</v>
          </cell>
          <cell r="F2106">
            <v>67.878720000000001</v>
          </cell>
        </row>
        <row r="2107">
          <cell r="A2107" t="str">
            <v>ZH07BS-06-06</v>
          </cell>
          <cell r="B2107">
            <v>0</v>
          </cell>
          <cell r="C2107">
            <v>0</v>
          </cell>
          <cell r="D2107" t="str">
            <v>80.0001.0607</v>
          </cell>
          <cell r="E2107" t="str">
            <v>Vacuum ejector</v>
          </cell>
          <cell r="F2107">
            <v>56.712599999999995</v>
          </cell>
        </row>
        <row r="2108">
          <cell r="A2108" t="str">
            <v>ZH07DS-06-06-06</v>
          </cell>
          <cell r="B2108">
            <v>0</v>
          </cell>
          <cell r="C2108">
            <v>4000820</v>
          </cell>
          <cell r="D2108" t="str">
            <v>80.0001.2633</v>
          </cell>
          <cell r="E2108" t="str">
            <v>Vacuum Ejector</v>
          </cell>
          <cell r="F2108">
            <v>32.148900000000005</v>
          </cell>
        </row>
        <row r="2109">
          <cell r="A2109" t="str">
            <v>ZH10BS-06-06</v>
          </cell>
          <cell r="B2109">
            <v>0</v>
          </cell>
          <cell r="C2109">
            <v>0</v>
          </cell>
          <cell r="D2109" t="str">
            <v>80.0001.1278</v>
          </cell>
          <cell r="E2109" t="str">
            <v>Vacuum Ejector</v>
          </cell>
          <cell r="F2109">
            <v>71.343999999999994</v>
          </cell>
        </row>
        <row r="2110">
          <cell r="A2110" t="str">
            <v>ZH10DS-06-06-08</v>
          </cell>
          <cell r="B2110">
            <v>0</v>
          </cell>
          <cell r="C2110">
            <v>4001501</v>
          </cell>
          <cell r="D2110">
            <v>0</v>
          </cell>
          <cell r="E2110" t="str">
            <v>VACUUM EJECTOR</v>
          </cell>
          <cell r="F2110">
            <v>35.721000000000004</v>
          </cell>
        </row>
        <row r="2111">
          <cell r="A2111" t="str">
            <v>ZH13BL-08-02</v>
          </cell>
          <cell r="B2111">
            <v>0</v>
          </cell>
          <cell r="C2111">
            <v>1586302</v>
          </cell>
          <cell r="D2111">
            <v>0</v>
          </cell>
          <cell r="E2111" t="str">
            <v>VENTURI-WITH-SILENCER-NOZZLE 1.3MM</v>
          </cell>
          <cell r="F2111">
            <v>72.37299999999999</v>
          </cell>
        </row>
        <row r="2112">
          <cell r="A2112" t="str">
            <v>ZH13BS-08-10</v>
          </cell>
          <cell r="B2112">
            <v>0</v>
          </cell>
          <cell r="C2112">
            <v>0</v>
          </cell>
          <cell r="D2112" t="str">
            <v>80.0000.3992</v>
          </cell>
          <cell r="E2112" t="str">
            <v>Vacuum Ejector</v>
          </cell>
          <cell r="F2112">
            <v>62.778800000000004</v>
          </cell>
        </row>
        <row r="2113">
          <cell r="A2113" t="str">
            <v>ZH13DL-08-10-10</v>
          </cell>
          <cell r="B2113">
            <v>0</v>
          </cell>
          <cell r="C2113">
            <v>0</v>
          </cell>
          <cell r="D2113" t="str">
            <v>80.0001.2009</v>
          </cell>
          <cell r="E2113" t="str">
            <v>Vacuum Ejector</v>
          </cell>
          <cell r="F2113">
            <v>49.003135999999998</v>
          </cell>
        </row>
        <row r="2114">
          <cell r="A2114" t="str">
            <v>ZH15DS-10-12-12</v>
          </cell>
          <cell r="B2114">
            <v>0</v>
          </cell>
          <cell r="C2114">
            <v>1360739</v>
          </cell>
          <cell r="D2114">
            <v>0</v>
          </cell>
          <cell r="E2114" t="str">
            <v>VACUUM GENERATOR NOZZLE 1.5MM</v>
          </cell>
          <cell r="F2114">
            <v>46.4373</v>
          </cell>
        </row>
        <row r="2115">
          <cell r="A2115" t="str">
            <v>ZL112-DNL-Q</v>
          </cell>
          <cell r="B2115">
            <v>0</v>
          </cell>
          <cell r="C2115">
            <v>1361163</v>
          </cell>
          <cell r="D2115">
            <v>0</v>
          </cell>
          <cell r="E2115" t="str">
            <v>VACUUM-GENERATOR MULTI-STAGE</v>
          </cell>
          <cell r="F2115">
            <v>794.68200000000002</v>
          </cell>
        </row>
        <row r="2116">
          <cell r="A2116" t="str">
            <v>ZL112-K15LZ-E25L</v>
          </cell>
          <cell r="B2116">
            <v>0</v>
          </cell>
          <cell r="C2116">
            <v>91500710</v>
          </cell>
          <cell r="D2116">
            <v>0</v>
          </cell>
          <cell r="E2116" t="str">
            <v>EJECTOR-VACUUM MULTISTAGE 3WIRE STD</v>
          </cell>
          <cell r="F2116">
            <v>1161.0550000000001</v>
          </cell>
        </row>
        <row r="2117">
          <cell r="A2117" t="str">
            <v>ZL212-Q</v>
          </cell>
          <cell r="B2117">
            <v>0</v>
          </cell>
          <cell r="C2117">
            <v>0</v>
          </cell>
          <cell r="D2117" t="str">
            <v>80.0001.2183</v>
          </cell>
          <cell r="E2117" t="str">
            <v>Vacuum Ejector</v>
          </cell>
          <cell r="F2117">
            <v>661.09388799999999</v>
          </cell>
        </row>
        <row r="2118">
          <cell r="A2118" t="str">
            <v>ZP02UN</v>
          </cell>
          <cell r="B2118">
            <v>0</v>
          </cell>
          <cell r="C2118">
            <v>91102110</v>
          </cell>
          <cell r="D2118">
            <v>0</v>
          </cell>
          <cell r="E2118">
            <v>0</v>
          </cell>
          <cell r="F2118">
            <v>9.1286999999999985</v>
          </cell>
        </row>
        <row r="2119">
          <cell r="A2119" t="str">
            <v>ZP04UGS</v>
          </cell>
          <cell r="B2119">
            <v>0</v>
          </cell>
          <cell r="C2119" t="str">
            <v>D1003630</v>
          </cell>
          <cell r="D2119">
            <v>3601532</v>
          </cell>
          <cell r="E2119" t="str">
            <v>VACUUM PAD 4MM DIAMETER</v>
          </cell>
          <cell r="F2119">
            <v>10.632999999999999</v>
          </cell>
        </row>
        <row r="2120">
          <cell r="A2120" t="str">
            <v>ZP08UGS</v>
          </cell>
          <cell r="B2120">
            <v>0</v>
          </cell>
          <cell r="C2120" t="str">
            <v>D1003217</v>
          </cell>
          <cell r="D2120">
            <v>3601534</v>
          </cell>
          <cell r="E2120" t="str">
            <v>VACUUM PAD,8MM DIAMETER</v>
          </cell>
          <cell r="F2120">
            <v>10.632999999999999</v>
          </cell>
        </row>
        <row r="2121">
          <cell r="A2121" t="str">
            <v>ZP2-11ANGS</v>
          </cell>
          <cell r="B2121">
            <v>0</v>
          </cell>
          <cell r="C2121">
            <v>4001572</v>
          </cell>
          <cell r="D2121">
            <v>0</v>
          </cell>
          <cell r="E2121" t="str">
            <v>NOZZLE PAD (SILICONE TIP D=2)</v>
          </cell>
          <cell r="F2121">
            <v>17.346</v>
          </cell>
        </row>
        <row r="2122">
          <cell r="A2122" t="str">
            <v>ZP2V-B5-03</v>
          </cell>
          <cell r="B2122">
            <v>0</v>
          </cell>
          <cell r="C2122">
            <v>1585534</v>
          </cell>
          <cell r="D2122">
            <v>0</v>
          </cell>
          <cell r="E2122" t="str">
            <v>FEEDER-SAVER-VACUUM</v>
          </cell>
          <cell r="F2122">
            <v>31.222799999999999</v>
          </cell>
        </row>
        <row r="2123">
          <cell r="A2123" t="str">
            <v>ZPT02UGN-A5</v>
          </cell>
          <cell r="B2123">
            <v>0</v>
          </cell>
          <cell r="C2123">
            <v>91100360</v>
          </cell>
          <cell r="D2123">
            <v>0</v>
          </cell>
          <cell r="E2123">
            <v>0</v>
          </cell>
          <cell r="F2123">
            <v>20.418300000000002</v>
          </cell>
        </row>
        <row r="2124">
          <cell r="A2124" t="str">
            <v>ZPT02UN-B5</v>
          </cell>
          <cell r="B2124">
            <v>0</v>
          </cell>
          <cell r="C2124">
            <v>1201034</v>
          </cell>
          <cell r="D2124">
            <v>0</v>
          </cell>
          <cell r="E2124">
            <v>0</v>
          </cell>
          <cell r="F2124">
            <v>20.0655</v>
          </cell>
        </row>
        <row r="2125">
          <cell r="A2125" t="str">
            <v>ZPT02US-B4</v>
          </cell>
          <cell r="B2125">
            <v>0</v>
          </cell>
          <cell r="C2125">
            <v>91004060</v>
          </cell>
          <cell r="D2125">
            <v>0</v>
          </cell>
          <cell r="E2125" t="str">
            <v>VACUUM TIP-02MM DIA VERT SILICON M4</v>
          </cell>
          <cell r="F2125">
            <v>20.771100000000001</v>
          </cell>
        </row>
        <row r="2126">
          <cell r="A2126" t="str">
            <v>ZPT04UGN-A5</v>
          </cell>
          <cell r="B2126">
            <v>0</v>
          </cell>
          <cell r="C2126">
            <v>91100250</v>
          </cell>
          <cell r="D2126">
            <v>0</v>
          </cell>
          <cell r="E2126">
            <v>0</v>
          </cell>
          <cell r="F2126">
            <v>20.418300000000002</v>
          </cell>
        </row>
        <row r="2127">
          <cell r="A2127" t="str">
            <v>ZPT04US-B5</v>
          </cell>
          <cell r="B2127">
            <v>0</v>
          </cell>
          <cell r="C2127">
            <v>1360816</v>
          </cell>
          <cell r="D2127">
            <v>0</v>
          </cell>
          <cell r="E2127">
            <v>0</v>
          </cell>
          <cell r="F2127">
            <v>20.771100000000001</v>
          </cell>
        </row>
        <row r="2128">
          <cell r="A2128" t="str">
            <v>ZPT06UN-B5</v>
          </cell>
          <cell r="B2128">
            <v>0</v>
          </cell>
          <cell r="C2128">
            <v>1130267</v>
          </cell>
          <cell r="D2128">
            <v>0</v>
          </cell>
          <cell r="E2128">
            <v>0</v>
          </cell>
          <cell r="F2128">
            <v>20.0655</v>
          </cell>
        </row>
        <row r="2129">
          <cell r="A2129" t="str">
            <v>ZPT06UNJ6-B5-A8</v>
          </cell>
          <cell r="B2129">
            <v>0</v>
          </cell>
          <cell r="C2129">
            <v>1360817</v>
          </cell>
          <cell r="D2129">
            <v>0</v>
          </cell>
          <cell r="E2129">
            <v>0</v>
          </cell>
          <cell r="F2129">
            <v>63.768599999999992</v>
          </cell>
        </row>
        <row r="2130">
          <cell r="A2130" t="str">
            <v>ZPT06UNK6-04-A8</v>
          </cell>
          <cell r="B2130">
            <v>0</v>
          </cell>
          <cell r="C2130">
            <v>1202002</v>
          </cell>
          <cell r="D2130">
            <v>0</v>
          </cell>
          <cell r="E2130">
            <v>0</v>
          </cell>
          <cell r="F2130">
            <v>107.47169999999998</v>
          </cell>
        </row>
        <row r="2131">
          <cell r="A2131" t="str">
            <v>ZPT06US-B5</v>
          </cell>
          <cell r="B2131">
            <v>0</v>
          </cell>
          <cell r="C2131">
            <v>1201030</v>
          </cell>
          <cell r="D2131">
            <v>0</v>
          </cell>
          <cell r="E2131" t="str">
            <v>VACUUM-PAD W/OUT SUPPORT 6/M5</v>
          </cell>
          <cell r="F2131">
            <v>20.771100000000001</v>
          </cell>
        </row>
        <row r="2132">
          <cell r="A2132" t="str">
            <v>ZPT08BN-A5</v>
          </cell>
          <cell r="B2132">
            <v>0</v>
          </cell>
          <cell r="C2132">
            <v>1361055</v>
          </cell>
          <cell r="D2132">
            <v>0</v>
          </cell>
          <cell r="E2132">
            <v>0</v>
          </cell>
          <cell r="F2132">
            <v>31.002299999999998</v>
          </cell>
        </row>
        <row r="2133">
          <cell r="A2133" t="str">
            <v>ZPT08BNK6-B5-A8</v>
          </cell>
          <cell r="B2133">
            <v>0</v>
          </cell>
          <cell r="C2133">
            <v>1360955</v>
          </cell>
          <cell r="D2133">
            <v>0</v>
          </cell>
          <cell r="E2133">
            <v>0</v>
          </cell>
          <cell r="F2133">
            <v>114.7482</v>
          </cell>
        </row>
        <row r="2134">
          <cell r="A2134" t="str">
            <v>ZPT10BSJ20-04-A10</v>
          </cell>
          <cell r="B2134">
            <v>0</v>
          </cell>
          <cell r="C2134">
            <v>1135323</v>
          </cell>
          <cell r="D2134">
            <v>0</v>
          </cell>
          <cell r="E2134">
            <v>0</v>
          </cell>
          <cell r="F2134">
            <v>139.48830000000001</v>
          </cell>
        </row>
        <row r="2135">
          <cell r="A2135" t="str">
            <v>ZPT10BSJ50-04-A10</v>
          </cell>
          <cell r="B2135">
            <v>0</v>
          </cell>
          <cell r="C2135">
            <v>1135431</v>
          </cell>
          <cell r="D2135">
            <v>0</v>
          </cell>
          <cell r="E2135">
            <v>0</v>
          </cell>
          <cell r="F2135">
            <v>177.72299999999998</v>
          </cell>
        </row>
        <row r="2136">
          <cell r="A2136" t="str">
            <v>ZPT10UN-B5</v>
          </cell>
          <cell r="B2136">
            <v>0</v>
          </cell>
          <cell r="C2136">
            <v>0</v>
          </cell>
          <cell r="D2136">
            <v>0</v>
          </cell>
          <cell r="E2136">
            <v>0</v>
          </cell>
          <cell r="F2136">
            <v>36.976576000000001</v>
          </cell>
        </row>
        <row r="2137">
          <cell r="A2137" t="str">
            <v>ZPT13UU-B5</v>
          </cell>
          <cell r="B2137">
            <v>0</v>
          </cell>
          <cell r="C2137">
            <v>1360361</v>
          </cell>
          <cell r="D2137">
            <v>0</v>
          </cell>
          <cell r="E2137">
            <v>0</v>
          </cell>
          <cell r="F2137">
            <v>36.779400000000003</v>
          </cell>
        </row>
        <row r="2138">
          <cell r="A2138" t="str">
            <v>ZPT16BS-A5</v>
          </cell>
          <cell r="B2138">
            <v>0</v>
          </cell>
          <cell r="C2138">
            <v>1361054</v>
          </cell>
          <cell r="D2138">
            <v>0</v>
          </cell>
          <cell r="E2138">
            <v>0</v>
          </cell>
          <cell r="F2138">
            <v>50.229900000000001</v>
          </cell>
        </row>
        <row r="2139">
          <cell r="A2139" t="str">
            <v>ZPT16UN-B5</v>
          </cell>
          <cell r="B2139">
            <v>0</v>
          </cell>
          <cell r="C2139">
            <v>0</v>
          </cell>
          <cell r="D2139">
            <v>0</v>
          </cell>
          <cell r="E2139">
            <v>0</v>
          </cell>
          <cell r="F2139">
            <v>39.096511999999997</v>
          </cell>
        </row>
        <row r="2140">
          <cell r="A2140" t="str">
            <v>ZPT16UNK10-06-A10</v>
          </cell>
          <cell r="B2140">
            <v>0</v>
          </cell>
          <cell r="C2140">
            <v>1130426</v>
          </cell>
          <cell r="D2140">
            <v>0</v>
          </cell>
          <cell r="E2140">
            <v>0</v>
          </cell>
          <cell r="F2140">
            <v>145.7064</v>
          </cell>
        </row>
        <row r="2141">
          <cell r="A2141" t="str">
            <v>ZPT20BSJ50-04-A10</v>
          </cell>
          <cell r="B2141">
            <v>0</v>
          </cell>
          <cell r="C2141">
            <v>1135567</v>
          </cell>
          <cell r="D2141">
            <v>0</v>
          </cell>
          <cell r="E2141">
            <v>0</v>
          </cell>
          <cell r="F2141">
            <v>179.5752</v>
          </cell>
        </row>
        <row r="2142">
          <cell r="A2142" t="str">
            <v>ZPT20CNK1006A10</v>
          </cell>
          <cell r="B2142" t="str">
            <v>ZPT20CNK10-06-A10</v>
          </cell>
          <cell r="C2142">
            <v>1201017</v>
          </cell>
          <cell r="D2142">
            <v>0</v>
          </cell>
          <cell r="E2142">
            <v>0</v>
          </cell>
          <cell r="F2142">
            <v>145.7064</v>
          </cell>
        </row>
        <row r="2143">
          <cell r="A2143" t="str">
            <v>ZPT25CN-B6</v>
          </cell>
          <cell r="B2143">
            <v>0</v>
          </cell>
          <cell r="C2143">
            <v>1201018</v>
          </cell>
          <cell r="D2143">
            <v>0</v>
          </cell>
          <cell r="E2143" t="str">
            <v>VACUUM CUP PICK UP CYLINDER</v>
          </cell>
          <cell r="F2143">
            <v>34.618500000000004</v>
          </cell>
        </row>
        <row r="2144">
          <cell r="A2144" t="str">
            <v>ZPT32CN-B8</v>
          </cell>
          <cell r="B2144">
            <v>0</v>
          </cell>
          <cell r="C2144">
            <v>1201019</v>
          </cell>
          <cell r="D2144">
            <v>0</v>
          </cell>
          <cell r="E2144" t="str">
            <v>VACUUM CUP DIA. 32</v>
          </cell>
          <cell r="F2144">
            <v>35.676900000000003</v>
          </cell>
        </row>
        <row r="2145">
          <cell r="A2145" t="str">
            <v>ZPT40CNK10-08-A14</v>
          </cell>
          <cell r="B2145">
            <v>0</v>
          </cell>
          <cell r="C2145">
            <v>1201013</v>
          </cell>
          <cell r="D2145">
            <v>0</v>
          </cell>
          <cell r="E2145">
            <v>0</v>
          </cell>
          <cell r="F2145">
            <v>173.04839999999999</v>
          </cell>
        </row>
        <row r="2146">
          <cell r="A2146" t="str">
            <v>ZPY02UN-N4-B4</v>
          </cell>
          <cell r="B2146">
            <v>0</v>
          </cell>
          <cell r="C2146">
            <v>91100810</v>
          </cell>
          <cell r="D2146">
            <v>0</v>
          </cell>
          <cell r="E2146" t="str">
            <v>VACUUM TIP-02MM DIA HORIZ</v>
          </cell>
          <cell r="F2146">
            <v>26.9451</v>
          </cell>
        </row>
        <row r="2147">
          <cell r="A2147" t="str">
            <v>ZS-20-5A-30</v>
          </cell>
          <cell r="B2147">
            <v>0</v>
          </cell>
          <cell r="C2147">
            <v>93101090</v>
          </cell>
          <cell r="D2147">
            <v>0</v>
          </cell>
          <cell r="E2147">
            <v>0</v>
          </cell>
          <cell r="F2147">
            <v>32.060700000000004</v>
          </cell>
        </row>
        <row r="2148">
          <cell r="A2148" t="str">
            <v>ZS-22-A</v>
          </cell>
          <cell r="B2148">
            <v>0</v>
          </cell>
          <cell r="C2148">
            <v>0</v>
          </cell>
          <cell r="D2148">
            <v>0</v>
          </cell>
          <cell r="E2148">
            <v>0</v>
          </cell>
          <cell r="F2148">
            <v>8.072064000000001</v>
          </cell>
        </row>
        <row r="2149">
          <cell r="A2149" t="str">
            <v>ZS-24-C</v>
          </cell>
          <cell r="B2149">
            <v>0</v>
          </cell>
          <cell r="C2149">
            <v>1583511</v>
          </cell>
          <cell r="D2149">
            <v>0</v>
          </cell>
          <cell r="E2149" t="str">
            <v>ADAPTEUR-MOUNTING-PANNEL-SWITCH-PRES.</v>
          </cell>
          <cell r="F2149">
            <v>22.491</v>
          </cell>
        </row>
        <row r="2150">
          <cell r="A2150" t="str">
            <v>ZS-27-A</v>
          </cell>
          <cell r="B2150">
            <v>0</v>
          </cell>
          <cell r="C2150">
            <v>1582169</v>
          </cell>
          <cell r="D2150">
            <v>1502990</v>
          </cell>
          <cell r="E2150" t="str">
            <v>CABLE ASSY, DIG PRESS SW, 2M</v>
          </cell>
          <cell r="F2150">
            <v>17.728200000000001</v>
          </cell>
        </row>
        <row r="2151">
          <cell r="A2151" t="str">
            <v>ZS-27-B</v>
          </cell>
          <cell r="B2151">
            <v>0</v>
          </cell>
          <cell r="C2151">
            <v>98007220</v>
          </cell>
          <cell r="D2151">
            <v>0</v>
          </cell>
          <cell r="E2151" t="str">
            <v>MOUTING BRACKET PRESSURE DETECTOR</v>
          </cell>
          <cell r="F2151">
            <v>5.4683999999999999</v>
          </cell>
        </row>
        <row r="2152">
          <cell r="A2152" t="str">
            <v>ZS-27-C</v>
          </cell>
          <cell r="B2152">
            <v>0</v>
          </cell>
          <cell r="C2152">
            <v>1582170</v>
          </cell>
          <cell r="D2152" t="str">
            <v>80.0000.8400</v>
          </cell>
          <cell r="E2152" t="str">
            <v>Pressure accessories</v>
          </cell>
          <cell r="F2152">
            <v>4.4687999999999999</v>
          </cell>
        </row>
        <row r="2153">
          <cell r="A2153" t="str">
            <v>ZS-28-A</v>
          </cell>
          <cell r="B2153">
            <v>0</v>
          </cell>
          <cell r="C2153">
            <v>1584593</v>
          </cell>
          <cell r="D2153">
            <v>0</v>
          </cell>
          <cell r="E2153">
            <v>0</v>
          </cell>
          <cell r="F2153">
            <v>29.105999999999998</v>
          </cell>
        </row>
        <row r="2154">
          <cell r="A2154" t="str">
            <v>ZS-28-C</v>
          </cell>
          <cell r="B2154">
            <v>0</v>
          </cell>
          <cell r="C2154">
            <v>4000691</v>
          </cell>
          <cell r="D2154" t="str">
            <v>80.0001.1599</v>
          </cell>
          <cell r="E2154" t="str">
            <v>Sensor connector for PSE controller</v>
          </cell>
          <cell r="F2154">
            <v>5.4683999999999999</v>
          </cell>
        </row>
        <row r="2155">
          <cell r="A2155" t="str">
            <v>ZS-33-D</v>
          </cell>
          <cell r="B2155">
            <v>0</v>
          </cell>
          <cell r="C2155" t="str">
            <v>1585318/ D1002306</v>
          </cell>
          <cell r="D2155">
            <v>1504315</v>
          </cell>
          <cell r="E2155" t="str">
            <v>CABLE, FLOW SWITCH POWER</v>
          </cell>
          <cell r="F2155">
            <v>39.788000000000004</v>
          </cell>
        </row>
        <row r="2156">
          <cell r="A2156" t="str">
            <v>ZS-33-R1</v>
          </cell>
          <cell r="B2156">
            <v>0</v>
          </cell>
          <cell r="C2156">
            <v>0</v>
          </cell>
          <cell r="D2156">
            <v>0</v>
          </cell>
          <cell r="E2156">
            <v>0</v>
          </cell>
          <cell r="F2156">
            <v>94.174080000000004</v>
          </cell>
        </row>
        <row r="2157">
          <cell r="A2157" t="str">
            <v>ZS-37-A</v>
          </cell>
          <cell r="B2157">
            <v>0</v>
          </cell>
          <cell r="C2157">
            <v>0</v>
          </cell>
          <cell r="D2157">
            <v>0</v>
          </cell>
          <cell r="E2157">
            <v>0</v>
          </cell>
          <cell r="F2157">
            <v>136.77663999999999</v>
          </cell>
        </row>
        <row r="2158">
          <cell r="A2158" t="str">
            <v xml:space="preserve">ZS-37-B  </v>
          </cell>
          <cell r="B2158">
            <v>0</v>
          </cell>
          <cell r="C2158">
            <v>0</v>
          </cell>
          <cell r="D2158">
            <v>0</v>
          </cell>
          <cell r="E2158">
            <v>0</v>
          </cell>
          <cell r="F2158">
            <v>166.4</v>
          </cell>
        </row>
        <row r="2159">
          <cell r="A2159" t="str">
            <v>ZS-38-3L</v>
          </cell>
          <cell r="B2159">
            <v>0</v>
          </cell>
          <cell r="C2159">
            <v>1585275</v>
          </cell>
          <cell r="D2159">
            <v>0</v>
          </cell>
          <cell r="E2159" t="str">
            <v>CABLE WITH CONNECTOR SWITCH-PRES.ISE30A</v>
          </cell>
          <cell r="F2159">
            <v>13.659975000000001</v>
          </cell>
        </row>
        <row r="2160">
          <cell r="A2160" t="str">
            <v>ZS-38-A1</v>
          </cell>
          <cell r="B2160">
            <v>0</v>
          </cell>
          <cell r="C2160">
            <v>1584545</v>
          </cell>
          <cell r="D2160" t="str">
            <v>80.0001.2188</v>
          </cell>
          <cell r="E2160" t="str">
            <v>Vacuum Sensor Bracket</v>
          </cell>
          <cell r="F2160">
            <v>7.2764999999999995</v>
          </cell>
        </row>
        <row r="2161">
          <cell r="A2161" t="str">
            <v>ZS-38-A2</v>
          </cell>
          <cell r="B2161">
            <v>0</v>
          </cell>
          <cell r="C2161">
            <v>0</v>
          </cell>
          <cell r="D2161">
            <v>0</v>
          </cell>
          <cell r="E2161" t="str">
            <v>BRACKET FASTENING ZSE30 A2</v>
          </cell>
          <cell r="F2161">
            <v>9.5804800000000014</v>
          </cell>
        </row>
        <row r="2162">
          <cell r="A2162" t="str">
            <v>ZSE1-00-15</v>
          </cell>
          <cell r="B2162">
            <v>0</v>
          </cell>
          <cell r="C2162">
            <v>91005580</v>
          </cell>
          <cell r="D2162">
            <v>0</v>
          </cell>
          <cell r="E2162" t="str">
            <v>SWITCH-VACUUM GENERATOR</v>
          </cell>
          <cell r="F2162">
            <v>272.05290000000002</v>
          </cell>
        </row>
        <row r="2163">
          <cell r="A2163" t="str">
            <v>ZSE1-00-15L</v>
          </cell>
          <cell r="B2163">
            <v>0</v>
          </cell>
          <cell r="C2163">
            <v>1326011</v>
          </cell>
          <cell r="D2163">
            <v>0</v>
          </cell>
          <cell r="E2163" t="str">
            <v>SWITCH-FOR VAC.GENERATOR</v>
          </cell>
          <cell r="F2163">
            <v>272.05290000000002</v>
          </cell>
        </row>
        <row r="2164">
          <cell r="A2164" t="str">
            <v>ZSE1-00-55L</v>
          </cell>
          <cell r="B2164">
            <v>0</v>
          </cell>
          <cell r="C2164">
            <v>93800970</v>
          </cell>
          <cell r="D2164">
            <v>0</v>
          </cell>
          <cell r="E2164" t="str">
            <v>SWITCH-VACUUM PNP F/GENERATOR</v>
          </cell>
          <cell r="F2164">
            <v>287.53200000000004</v>
          </cell>
        </row>
        <row r="2165">
          <cell r="A2165" t="str">
            <v>ZSE30A-01-E-L</v>
          </cell>
          <cell r="B2165">
            <v>0</v>
          </cell>
          <cell r="C2165">
            <v>0</v>
          </cell>
          <cell r="D2165">
            <v>0</v>
          </cell>
          <cell r="E2165">
            <v>0</v>
          </cell>
          <cell r="F2165">
            <v>177.83001599999997</v>
          </cell>
        </row>
        <row r="2166">
          <cell r="A2166" t="str">
            <v>ZSE30AF-01-P-L</v>
          </cell>
          <cell r="B2166">
            <v>0</v>
          </cell>
          <cell r="C2166">
            <v>4001595</v>
          </cell>
          <cell r="D2166">
            <v>0</v>
          </cell>
          <cell r="E2166" t="str">
            <v>VACUOSTAT +/- 1BAR R1/8 PNP IP40</v>
          </cell>
          <cell r="F2166">
            <v>178.73239999999998</v>
          </cell>
        </row>
        <row r="2167">
          <cell r="A2167" t="str">
            <v>ZSE30AF-01-P-LY</v>
          </cell>
          <cell r="B2167">
            <v>0</v>
          </cell>
          <cell r="C2167" t="str">
            <v>4144921/ 4002047</v>
          </cell>
          <cell r="D2167">
            <v>0</v>
          </cell>
          <cell r="E2167" t="str">
            <v>DIGITAL-PRESSURE-SWITCH</v>
          </cell>
          <cell r="F2167">
            <v>192.52099999999999</v>
          </cell>
        </row>
        <row r="2168">
          <cell r="A2168" t="str">
            <v>ZSE3-OX-21</v>
          </cell>
          <cell r="B2168">
            <v>0</v>
          </cell>
          <cell r="C2168">
            <v>4000449</v>
          </cell>
          <cell r="D2168">
            <v>0</v>
          </cell>
          <cell r="E2168" t="str">
            <v>PRESSURE SWITCH</v>
          </cell>
          <cell r="F2168">
            <v>447.65910000000002</v>
          </cell>
        </row>
        <row r="2169">
          <cell r="A2169" t="str">
            <v>ZSE50F-02-62L</v>
          </cell>
          <cell r="B2169">
            <v>0</v>
          </cell>
          <cell r="C2169">
            <v>1360489</v>
          </cell>
          <cell r="D2169">
            <v>0</v>
          </cell>
          <cell r="E2169">
            <v>0</v>
          </cell>
          <cell r="F2169">
            <v>488.98079999999999</v>
          </cell>
        </row>
        <row r="2170">
          <cell r="A2170" t="str">
            <v>ZSM1-121</v>
          </cell>
          <cell r="B2170">
            <v>0</v>
          </cell>
          <cell r="C2170">
            <v>4020158</v>
          </cell>
          <cell r="D2170">
            <v>0</v>
          </cell>
          <cell r="E2170" t="str">
            <v>SWITCH VACUUM DIAPHRAGM STYLE</v>
          </cell>
          <cell r="F2170">
            <v>173.66580000000002</v>
          </cell>
        </row>
        <row r="2171">
          <cell r="A2171" t="str">
            <v>ZU05S</v>
          </cell>
          <cell r="B2171">
            <v>0</v>
          </cell>
          <cell r="C2171" t="str">
            <v>80.0001.0414</v>
          </cell>
          <cell r="D2171" t="str">
            <v>80.0001.0414</v>
          </cell>
          <cell r="E2171" t="str">
            <v>Vacuum Ejector</v>
          </cell>
          <cell r="F2171">
            <v>33.225920000000002</v>
          </cell>
        </row>
        <row r="2172">
          <cell r="A2172" t="str">
            <v>ZX1101-K15LZB-D21L</v>
          </cell>
          <cell r="B2172">
            <v>0</v>
          </cell>
          <cell r="C2172">
            <v>4000673</v>
          </cell>
          <cell r="D2172">
            <v>0</v>
          </cell>
          <cell r="E2172" t="str">
            <v>VACUUM UNIT</v>
          </cell>
          <cell r="F2172">
            <v>841.29570000000001</v>
          </cell>
        </row>
        <row r="2173">
          <cell r="A2173" t="str">
            <v>ZX1101-K15LZ-D21L</v>
          </cell>
          <cell r="B2173">
            <v>0</v>
          </cell>
          <cell r="C2173">
            <v>4000457</v>
          </cell>
          <cell r="D2173">
            <v>0</v>
          </cell>
          <cell r="E2173" t="str">
            <v>VACUUM UNIT</v>
          </cell>
          <cell r="F2173">
            <v>841.29570000000001</v>
          </cell>
        </row>
        <row r="2174">
          <cell r="A2174" t="str">
            <v>ZX1101-K35LZB-D23CL-X121</v>
          </cell>
          <cell r="B2174">
            <v>0</v>
          </cell>
          <cell r="C2174">
            <v>1131586</v>
          </cell>
          <cell r="D2174">
            <v>0</v>
          </cell>
          <cell r="E2174" t="str">
            <v>UNIT-VACUUM-EJECTOR + REDUCTION-NOISE</v>
          </cell>
          <cell r="F2174">
            <v>926.1</v>
          </cell>
        </row>
        <row r="2175">
          <cell r="A2175" t="str">
            <v>MXQ-AT12-X11</v>
          </cell>
          <cell r="B2175">
            <v>0</v>
          </cell>
          <cell r="C2175">
            <v>1210005</v>
          </cell>
          <cell r="D2175">
            <v>1210005</v>
          </cell>
          <cell r="E2175" t="str">
            <v>ADJUSTER,BACKEND,RUBBER</v>
          </cell>
          <cell r="F2175">
            <v>118.5</v>
          </cell>
        </row>
        <row r="2176">
          <cell r="A2176" t="str">
            <v>NCDRQB15-01-609-F79</v>
          </cell>
          <cell r="B2176">
            <v>0</v>
          </cell>
          <cell r="C2176" t="str">
            <v>D1006846</v>
          </cell>
          <cell r="D2176">
            <v>3602306</v>
          </cell>
          <cell r="E2176" t="str">
            <v>ROTARY ACTUATOR</v>
          </cell>
          <cell r="F2176">
            <v>767.3</v>
          </cell>
        </row>
        <row r="2177">
          <cell r="A2177" t="str">
            <v>KQ2L07-11A</v>
          </cell>
          <cell r="B2177">
            <v>0</v>
          </cell>
          <cell r="C2177">
            <v>3601971</v>
          </cell>
          <cell r="D2177">
            <v>0</v>
          </cell>
          <cell r="E2177">
            <v>0</v>
          </cell>
          <cell r="F2177">
            <v>5.3</v>
          </cell>
        </row>
        <row r="2178">
          <cell r="A2178" t="str">
            <v>KQ2L07-35AS</v>
          </cell>
          <cell r="B2178">
            <v>0</v>
          </cell>
          <cell r="C2178">
            <v>3601397</v>
          </cell>
          <cell r="D2178">
            <v>0</v>
          </cell>
          <cell r="E2178">
            <v>0</v>
          </cell>
          <cell r="F2178">
            <v>5.05</v>
          </cell>
        </row>
        <row r="2179">
          <cell r="A2179" t="str">
            <v>KM11-07-11-10</v>
          </cell>
          <cell r="B2179">
            <v>0</v>
          </cell>
          <cell r="C2179">
            <v>0</v>
          </cell>
          <cell r="D2179">
            <v>3601801</v>
          </cell>
          <cell r="E2179" t="str">
            <v>MANIFOLD,3/8OD,2EA,1/4OD,10EA</v>
          </cell>
          <cell r="F2179">
            <v>44.25</v>
          </cell>
        </row>
        <row r="2180">
          <cell r="A2180" t="str">
            <v>KQ2T11-00A</v>
          </cell>
          <cell r="B2180">
            <v>0</v>
          </cell>
          <cell r="C2180" t="str">
            <v>D1005829</v>
          </cell>
          <cell r="D2180">
            <v>3601345</v>
          </cell>
          <cell r="E2180">
            <v>0</v>
          </cell>
          <cell r="F2180">
            <v>9.75</v>
          </cell>
        </row>
        <row r="2181">
          <cell r="A2181" t="str">
            <v>NJ5-40</v>
          </cell>
          <cell r="B2181">
            <v>0</v>
          </cell>
          <cell r="C2181" t="str">
            <v>D1005039</v>
          </cell>
          <cell r="D2181">
            <v>3200162</v>
          </cell>
          <cell r="E2181" t="str">
            <v>COUPLER,ROD END ALIGN,5-40</v>
          </cell>
          <cell r="F2181">
            <v>55</v>
          </cell>
        </row>
        <row r="2182">
          <cell r="A2182" t="str">
            <v>NJ6-4</v>
          </cell>
          <cell r="B2182">
            <v>0</v>
          </cell>
          <cell r="C2182" t="str">
            <v>D1002045</v>
          </cell>
          <cell r="D2182">
            <v>3200190</v>
          </cell>
          <cell r="E2182">
            <v>0</v>
          </cell>
          <cell r="F2182">
            <v>65</v>
          </cell>
        </row>
        <row r="2183">
          <cell r="A2183" t="str">
            <v>CJ2B10-116-DAN00991</v>
          </cell>
          <cell r="B2183">
            <v>0</v>
          </cell>
          <cell r="C2183">
            <v>0</v>
          </cell>
          <cell r="D2183">
            <v>3603869</v>
          </cell>
          <cell r="E2183" t="str">
            <v>CJ2 CYLINDER SPL.</v>
          </cell>
          <cell r="F2183">
            <v>125</v>
          </cell>
        </row>
        <row r="2184">
          <cell r="A2184" t="str">
            <v>CJ2B10-116-DUQ1799</v>
          </cell>
          <cell r="B2184">
            <v>0</v>
          </cell>
          <cell r="C2184">
            <v>0</v>
          </cell>
          <cell r="D2184">
            <v>0</v>
          </cell>
          <cell r="E2184">
            <v>0</v>
          </cell>
          <cell r="F2184">
            <v>95.7</v>
          </cell>
        </row>
      </sheetData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699.683825115739" createdVersion="8" refreshedVersion="8" minRefreshableVersion="3" recordCount="3666" xr:uid="{957F3F8F-8B30-497A-8C93-03EBC7460957}">
  <cacheSource type="worksheet">
    <worksheetSource ref="B4:J3670" sheet="Standard Items List"/>
  </cacheSource>
  <cacheFields count="9">
    <cacheField name="Part Items " numFmtId="0">
      <sharedItems containsMixedTypes="1" containsNumber="1" containsInteger="1" minValue="200048" maxValue="8000008251" count="3666">
        <n v="200048"/>
        <n v="200056"/>
        <n v="200827"/>
        <n v="200834"/>
        <n v="200924"/>
        <n v="217001"/>
        <n v="500528"/>
        <n v="500584"/>
        <n v="500596"/>
        <n v="500975"/>
        <n v="502290"/>
        <n v="502309"/>
        <n v="502321"/>
        <n v="502327"/>
        <n v="502345"/>
        <n v="502861"/>
        <n v="502983"/>
        <n v="505944"/>
        <n v="506206"/>
        <n v="506316"/>
        <n v="507209"/>
        <n v="507382"/>
        <n v="507656"/>
        <n v="507657"/>
        <n v="507660"/>
        <n v="507725"/>
        <n v="509672"/>
        <n v="512107"/>
        <n v="512542"/>
        <n v="512543"/>
        <n v="512549"/>
        <n v="512550"/>
        <n v="513061"/>
        <n v="513234"/>
        <n v="514407"/>
        <n v="514408"/>
        <n v="514532"/>
        <n v="514533"/>
        <n v="514534"/>
        <n v="514537"/>
        <n v="514541"/>
        <n v="514543"/>
        <n v="514546"/>
        <n v="514548"/>
        <n v="514549"/>
        <n v="514550"/>
        <n v="514551"/>
        <n v="514553"/>
        <n v="514555"/>
        <n v="514558"/>
        <n v="514559"/>
        <n v="514565"/>
        <n v="514566"/>
        <n v="514567"/>
        <n v="514570"/>
        <n v="514572"/>
        <n v="514573"/>
        <n v="514576"/>
        <n v="514606"/>
        <n v="514625"/>
        <n v="514640"/>
        <n v="514682"/>
        <n v="514684"/>
        <n v="514701"/>
        <n v="514702"/>
        <n v="514704"/>
        <n v="514705"/>
        <n v="514706"/>
        <n v="514733"/>
        <n v="514734"/>
        <n v="514743"/>
        <n v="514746"/>
        <n v="514922"/>
        <n v="515478"/>
        <n v="515479"/>
        <n v="515504"/>
        <n v="515519"/>
        <n v="515652"/>
        <n v="515696"/>
        <n v="515728"/>
        <n v="515729"/>
        <n v="515777"/>
        <n v="515796"/>
        <n v="515894"/>
        <n v="515895"/>
        <n v="515934"/>
        <n v="515935"/>
        <n v="515956"/>
        <n v="515957"/>
        <n v="516054"/>
        <n v="516067"/>
        <n v="516072"/>
        <n v="516091"/>
        <n v="516107"/>
        <n v="516125"/>
        <n v="516128"/>
        <n v="516352"/>
        <n v="516355"/>
        <n v="516501"/>
        <n v="516503"/>
        <n v="516538"/>
        <n v="516539"/>
        <n v="516545"/>
        <n v="516546"/>
        <n v="516547"/>
        <n v="516549"/>
        <n v="516669"/>
        <n v="516685"/>
        <n v="517004"/>
        <n v="517074"/>
        <n v="517218"/>
        <n v="517319"/>
        <n v="517320"/>
        <n v="517652"/>
        <n v="517759"/>
        <n v="517789"/>
        <n v="517790"/>
        <n v="517839"/>
        <n v="518018"/>
        <n v="518105"/>
        <n v="518241"/>
        <n v="518625"/>
        <n v="518655"/>
        <n v="518770"/>
        <n v="519066"/>
        <n v="519105"/>
        <n v="519189"/>
        <n v="519291"/>
        <n v="519329"/>
        <n v="519334"/>
        <n v="519335"/>
        <n v="519376"/>
        <n v="519423"/>
        <n v="519425"/>
        <n v="519428"/>
        <n v="519443"/>
        <n v="519466"/>
        <n v="519469"/>
        <n v="519470"/>
        <n v="519474"/>
        <n v="519494"/>
        <n v="519508"/>
        <n v="519509"/>
        <n v="519510"/>
        <n v="519524"/>
        <n v="519545"/>
        <n v="519546"/>
        <n v="519674"/>
        <n v="519767"/>
        <n v="519833"/>
        <n v="519862"/>
        <n v="519985"/>
        <n v="519995"/>
        <n v="520119"/>
        <n v="520164"/>
        <n v="520214"/>
        <n v="520242"/>
        <n v="520260"/>
        <n v="520359"/>
        <n v="520395"/>
        <n v="520398"/>
        <n v="520408"/>
        <n v="520430"/>
        <n v="520435"/>
        <n v="520438"/>
        <n v="520493"/>
        <n v="520553"/>
        <n v="520578"/>
        <n v="520579"/>
        <n v="520580"/>
        <n v="520581"/>
        <n v="520583"/>
        <n v="520605"/>
        <n v="520610"/>
        <n v="520611"/>
        <n v="520617"/>
        <n v="520630"/>
        <n v="520631"/>
        <n v="520651"/>
        <n v="520664"/>
        <n v="520666"/>
        <n v="520669"/>
        <n v="520670"/>
        <n v="520746"/>
        <n v="520747"/>
        <n v="520748"/>
        <n v="530024"/>
        <n v="530140"/>
        <n v="530205"/>
        <n v="530496"/>
        <n v="530497"/>
        <n v="530583"/>
        <n v="530663"/>
        <n v="530761"/>
        <n v="530995"/>
        <n v="531082"/>
        <n v="531118"/>
        <n v="531119"/>
        <n v="531167"/>
        <n v="531168"/>
        <n v="531189"/>
        <n v="531232"/>
        <n v="531233"/>
        <n v="531257"/>
        <n v="531351"/>
        <n v="540094"/>
        <n v="540213"/>
        <n v="540214"/>
        <n v="540219"/>
        <n v="540297"/>
        <n v="540303"/>
        <n v="540325"/>
        <n v="540330"/>
        <n v="540390"/>
        <n v="540479"/>
        <n v="540564"/>
        <n v="540647"/>
        <n v="540722"/>
        <n v="540729"/>
        <n v="541148"/>
        <n v="541186"/>
        <n v="541198"/>
        <n v="541315"/>
        <n v="541321"/>
        <n v="541322"/>
        <n v="541325"/>
        <n v="541372"/>
        <n v="541385"/>
        <n v="541393"/>
        <n v="541444"/>
        <n v="541457"/>
        <n v="541549"/>
        <n v="541559"/>
        <n v="541560"/>
        <n v="541561"/>
        <n v="541569"/>
        <n v="541613"/>
        <n v="541750"/>
        <n v="550007"/>
        <n v="550013"/>
        <n v="550015"/>
        <n v="550044"/>
        <n v="550045"/>
        <n v="550113"/>
        <n v="550114"/>
        <n v="550115"/>
        <n v="550465"/>
        <n v="550466"/>
        <n v="550467"/>
        <n v="550469"/>
        <n v="550470"/>
        <n v="550481"/>
        <n v="550482"/>
        <n v="550483"/>
        <n v="550484"/>
        <n v="550485"/>
        <n v="550486"/>
        <n v="550487"/>
        <n v="1001352"/>
        <n v="1001356"/>
        <n v="1010226"/>
        <n v="1010272"/>
        <n v="1011651"/>
        <n v="1101001"/>
        <n v="1101005"/>
        <n v="1101006"/>
        <n v="1101007"/>
        <n v="1101008"/>
        <n v="1101009"/>
        <n v="1101010"/>
        <n v="1101015"/>
        <n v="1102001"/>
        <n v="1102005"/>
        <n v="1102007"/>
        <n v="1102008"/>
        <n v="1102009"/>
        <n v="1102012"/>
        <n v="1102018"/>
        <n v="1102023"/>
        <n v="1102029"/>
        <n v="1102306"/>
        <n v="1102307"/>
        <n v="1104001"/>
        <n v="1106001"/>
        <n v="1106002"/>
        <n v="1106003"/>
        <n v="1106004"/>
        <n v="1106005"/>
        <n v="1106006"/>
        <n v="1106007"/>
        <n v="1106008"/>
        <n v="1106009"/>
        <n v="1106010"/>
        <n v="1106011"/>
        <n v="1106014"/>
        <n v="1106064"/>
        <n v="1107002"/>
        <n v="1107010"/>
        <n v="1107017"/>
        <n v="1107018"/>
        <n v="1107025"/>
        <n v="1108102"/>
        <n v="1117002"/>
        <n v="1117006"/>
        <n v="1117203"/>
        <n v="1118008"/>
        <n v="1118018"/>
        <n v="1118031"/>
        <n v="1118032"/>
        <n v="1118033"/>
        <n v="1118034"/>
        <n v="1118035"/>
        <n v="1118036"/>
        <n v="1118038"/>
        <n v="1118039"/>
        <n v="1118042"/>
        <n v="1118045"/>
        <n v="1118048"/>
        <n v="1118049"/>
        <n v="1118051"/>
        <n v="1118055"/>
        <n v="1118058"/>
        <n v="1118062"/>
        <n v="1118063"/>
        <n v="1118064"/>
        <n v="1118065"/>
        <n v="1118066"/>
        <n v="1118091"/>
        <n v="1118092"/>
        <n v="1118110"/>
        <n v="1118116"/>
        <n v="1118121"/>
        <n v="1118134"/>
        <n v="1118143"/>
        <n v="1118155"/>
        <n v="1118167"/>
        <n v="1118172"/>
        <n v="1118178"/>
        <n v="1118181"/>
        <n v="1118268"/>
        <n v="1119001"/>
        <n v="1119002"/>
        <n v="1119003"/>
        <n v="1119004"/>
        <n v="1119005"/>
        <n v="1119006"/>
        <n v="1119007"/>
        <n v="1119010"/>
        <n v="1119012"/>
        <n v="1119018"/>
        <n v="1119026"/>
        <n v="1119035"/>
        <n v="1119061"/>
        <n v="1119103"/>
        <n v="1120000"/>
        <n v="1120209"/>
        <n v="1120239"/>
        <n v="1120400"/>
        <n v="1120401"/>
        <n v="1120402"/>
        <n v="1120403"/>
        <n v="1120404"/>
        <n v="1120405"/>
        <n v="1120409"/>
        <n v="1120410"/>
        <n v="1120423"/>
        <n v="1120424"/>
        <n v="1120425"/>
        <n v="1120439"/>
        <n v="1120442"/>
        <n v="1120447"/>
        <n v="1120449"/>
        <n v="1121007"/>
        <n v="1121009"/>
        <n v="1121011"/>
        <n v="1121012"/>
        <n v="1121032"/>
        <n v="1121033"/>
        <n v="1121173"/>
        <n v="1121174"/>
        <n v="1128073"/>
        <n v="1130059"/>
        <n v="1130105"/>
        <n v="1130142"/>
        <n v="1130148"/>
        <n v="1130183"/>
        <n v="1130268"/>
        <n v="1130300"/>
        <n v="1130398"/>
        <n v="1130407"/>
        <n v="1130454"/>
        <n v="1130475"/>
        <n v="1130476"/>
        <n v="1130480"/>
        <n v="1130487"/>
        <n v="1130489"/>
        <n v="1130490"/>
        <n v="1130493"/>
        <n v="1130504"/>
        <n v="1130509"/>
        <n v="1130518"/>
        <n v="1130639"/>
        <n v="1130654"/>
        <n v="1130655"/>
        <n v="1130667"/>
        <n v="1130668"/>
        <n v="1130674"/>
        <n v="1130749"/>
        <n v="1130752"/>
        <n v="1130771"/>
        <n v="1130850"/>
        <n v="1130851"/>
        <n v="1131037"/>
        <n v="1131047"/>
        <n v="1131049"/>
        <n v="1131066"/>
        <n v="1131139"/>
        <n v="1131148"/>
        <n v="1131149"/>
        <n v="1131150"/>
        <n v="1131151"/>
        <n v="1131152"/>
        <n v="1131153"/>
        <n v="1131154"/>
        <n v="1131155"/>
        <n v="1131156"/>
        <n v="1131157"/>
        <n v="1131158"/>
        <n v="1131224"/>
        <n v="1131237"/>
        <n v="1131291"/>
        <n v="1131305"/>
        <n v="1131331"/>
        <n v="1131415"/>
        <n v="1131423"/>
        <n v="1131431"/>
        <n v="1131463"/>
        <n v="1131523"/>
        <n v="1131537"/>
        <n v="1131539"/>
        <n v="1131542"/>
        <n v="1131545"/>
        <n v="1131553"/>
        <n v="1131650"/>
        <n v="1131679"/>
        <n v="1131686"/>
        <n v="1131735"/>
        <n v="1131738"/>
        <n v="1131755"/>
        <n v="1131766"/>
        <n v="1131774"/>
        <n v="1131849"/>
        <n v="1131944"/>
        <n v="1131999"/>
        <n v="1132000"/>
        <n v="1132046"/>
        <n v="1135081"/>
        <n v="1135129"/>
        <n v="1135235"/>
        <n v="1135243"/>
        <n v="1135352"/>
        <n v="1135353"/>
        <n v="1135394"/>
        <n v="1135395"/>
        <n v="1135396"/>
        <n v="1135397"/>
        <n v="1135398"/>
        <n v="1135494"/>
        <n v="1135565"/>
        <n v="1135591"/>
        <n v="1135603"/>
        <n v="1135604"/>
        <n v="1135608"/>
        <n v="1135623"/>
        <n v="1135631"/>
        <n v="1135636"/>
        <n v="1135651"/>
        <n v="1135659"/>
        <n v="1135670"/>
        <n v="1135673"/>
        <n v="1135674"/>
        <n v="1135675"/>
        <n v="1135684"/>
        <n v="1135685"/>
        <n v="1135686"/>
        <n v="1135687"/>
        <n v="1135689"/>
        <n v="1135690"/>
        <n v="1135693"/>
        <n v="1135696"/>
        <n v="1135703"/>
        <n v="1135705"/>
        <n v="1135713"/>
        <n v="1135714"/>
        <n v="1135715"/>
        <n v="1135725"/>
        <n v="1135736"/>
        <n v="1135760"/>
        <n v="1135776"/>
        <n v="1135788"/>
        <n v="1135789"/>
        <n v="1135795"/>
        <n v="1135838"/>
        <n v="1135877"/>
        <n v="1139180"/>
        <n v="1139181"/>
        <n v="1145001"/>
        <n v="1145002"/>
        <n v="1145003"/>
        <n v="1145005"/>
        <n v="1145006"/>
        <n v="1145009"/>
        <n v="1145011"/>
        <n v="1145013"/>
        <n v="1145014"/>
        <n v="1145015"/>
        <n v="1145016"/>
        <n v="1145017"/>
        <n v="1145020"/>
        <n v="1145021"/>
        <n v="1145400"/>
        <n v="1145401"/>
        <n v="1145402"/>
        <n v="1145405"/>
        <n v="1145408"/>
        <n v="1145409"/>
        <n v="1145410"/>
        <n v="1145430"/>
        <n v="1145434"/>
        <n v="1145435"/>
        <n v="1145436"/>
        <n v="1145438"/>
        <n v="1145439"/>
        <n v="1145447"/>
        <n v="1145498"/>
        <n v="1145500"/>
        <n v="1145503"/>
        <n v="1145504"/>
        <n v="1145506"/>
        <n v="1145509"/>
        <n v="1145514"/>
        <n v="1145517"/>
        <n v="1145530"/>
        <n v="1145540"/>
        <n v="1145543"/>
        <n v="1145544"/>
        <n v="1145546"/>
        <n v="1145547"/>
        <n v="1145548"/>
        <n v="1145549"/>
        <n v="1145578"/>
        <n v="1145580"/>
        <n v="1145586"/>
        <n v="1145624"/>
        <n v="1145625"/>
        <n v="1145657"/>
        <n v="1145698"/>
        <n v="1146000"/>
        <n v="1146018"/>
        <n v="1146021"/>
        <n v="1146031"/>
        <n v="1146032"/>
        <n v="1146033"/>
        <n v="1146034"/>
        <n v="1146035"/>
        <n v="1146036"/>
        <n v="1146037"/>
        <n v="1146038"/>
        <n v="1146039"/>
        <n v="1146041"/>
        <n v="1146042"/>
        <n v="1146043"/>
        <n v="1146044"/>
        <n v="1146045"/>
        <n v="1146046"/>
        <n v="1146050"/>
        <n v="1146052"/>
        <n v="1146054"/>
        <n v="1146055"/>
        <n v="1146063"/>
        <n v="1146067"/>
        <n v="1146070"/>
        <n v="1146072"/>
        <n v="1146074"/>
        <n v="1146075"/>
        <n v="1146078"/>
        <n v="1146079"/>
        <n v="1146095"/>
        <n v="1146098"/>
        <n v="1146099"/>
        <n v="1146116"/>
        <n v="1146122"/>
        <n v="1146123"/>
        <n v="1146124"/>
        <n v="1146125"/>
        <n v="1146128"/>
        <n v="1146129"/>
        <n v="1146131"/>
        <n v="1146133"/>
        <n v="1146142"/>
        <n v="1146144"/>
        <n v="1146148"/>
        <n v="1146154"/>
        <n v="1146157"/>
        <n v="1146159"/>
        <n v="1146169"/>
        <n v="1146170"/>
        <n v="1146172"/>
        <n v="1146173"/>
        <n v="1146174"/>
        <n v="1146175"/>
        <n v="1146176"/>
        <n v="1146177"/>
        <n v="1146178"/>
        <n v="1146179"/>
        <n v="1146190"/>
        <n v="1146192"/>
        <n v="1146193"/>
        <n v="1146194"/>
        <n v="1146195"/>
        <n v="1146202"/>
        <n v="1146212"/>
        <n v="1146213"/>
        <n v="1146221"/>
        <n v="1146223"/>
        <n v="1146226"/>
        <n v="1146227"/>
        <n v="1146240"/>
        <n v="1146245"/>
        <n v="1146248"/>
        <n v="1146251"/>
        <n v="1146278"/>
        <n v="1146282"/>
        <n v="1146283"/>
        <n v="1146284"/>
        <n v="1146287"/>
        <n v="1146290"/>
        <n v="1146292"/>
        <n v="1146293"/>
        <n v="1146296"/>
        <n v="1146297"/>
        <n v="1146300"/>
        <n v="1146303"/>
        <n v="1146304"/>
        <n v="1146312"/>
        <n v="1146313"/>
        <n v="1146318"/>
        <n v="1146320"/>
        <n v="1146322"/>
        <n v="1146324"/>
        <n v="1146329"/>
        <n v="1146334"/>
        <n v="1146339"/>
        <n v="1146343"/>
        <n v="1146344"/>
        <n v="1146345"/>
        <n v="1146346"/>
        <n v="1146349"/>
        <n v="1146351"/>
        <n v="1146352"/>
        <n v="1146358"/>
        <n v="1146362"/>
        <n v="1146364"/>
        <n v="1146369"/>
        <n v="1146370"/>
        <n v="1146372"/>
        <n v="1146373"/>
        <n v="1146374"/>
        <n v="1146375"/>
        <n v="1146376"/>
        <n v="1146377"/>
        <n v="1146378"/>
        <n v="1146379"/>
        <n v="1146380"/>
        <n v="1146381"/>
        <n v="1146382"/>
        <n v="1146383"/>
        <n v="1146384"/>
        <n v="1146385"/>
        <n v="1146386"/>
        <n v="1146387"/>
        <n v="1146398"/>
        <n v="1146400"/>
        <n v="1146401"/>
        <n v="1146402"/>
        <n v="1146403"/>
        <n v="1146404"/>
        <n v="1146405"/>
        <n v="1146406"/>
        <n v="1146407"/>
        <n v="1146408"/>
        <n v="1146409"/>
        <n v="1146411"/>
        <n v="1146412"/>
        <n v="1146413"/>
        <n v="1146414"/>
        <n v="1146416"/>
        <n v="1146417"/>
        <n v="1146418"/>
        <n v="1146419"/>
        <n v="1146420"/>
        <n v="1146428"/>
        <n v="1146430"/>
        <n v="1146431"/>
        <n v="1146432"/>
        <n v="1146433"/>
        <n v="1146434"/>
        <n v="1146435"/>
        <n v="1146436"/>
        <n v="1146437"/>
        <n v="1146439"/>
        <n v="1146440"/>
        <n v="1146441"/>
        <n v="1146442"/>
        <n v="1146450"/>
        <n v="1146469"/>
        <n v="1146470"/>
        <n v="1146471"/>
        <n v="1146474"/>
        <n v="1146498"/>
        <n v="1146507"/>
        <n v="1146516"/>
        <n v="1146520"/>
        <n v="1146522"/>
        <n v="1146523"/>
        <n v="1146524"/>
        <n v="1146526"/>
        <n v="1146535"/>
        <n v="1146540"/>
        <n v="1146541"/>
        <n v="1146544"/>
        <n v="1146552"/>
        <n v="1146554"/>
        <n v="1146559"/>
        <n v="1146560"/>
        <n v="1146562"/>
        <n v="1146574"/>
        <n v="1146576"/>
        <n v="1146577"/>
        <n v="1146578"/>
        <n v="1146579"/>
        <n v="1146583"/>
        <n v="1146596"/>
        <n v="1146597"/>
        <n v="1146598"/>
        <n v="1146599"/>
        <n v="1146623"/>
        <n v="1146625"/>
        <n v="1146640"/>
        <n v="1146642"/>
        <n v="1146649"/>
        <n v="1146651"/>
        <n v="1146659"/>
        <n v="1146661"/>
        <n v="1146662"/>
        <n v="1146663"/>
        <n v="1146665"/>
        <n v="1146669"/>
        <n v="1146675"/>
        <n v="1146680"/>
        <n v="1146687"/>
        <n v="1146698"/>
        <n v="1146699"/>
        <n v="1146703"/>
        <n v="1146707"/>
        <n v="1146712"/>
        <n v="1146714"/>
        <n v="1146715"/>
        <n v="1146717"/>
        <n v="1146722"/>
        <n v="1146724"/>
        <n v="1146725"/>
        <n v="1146728"/>
        <n v="1146735"/>
        <n v="1146740"/>
        <n v="1146743"/>
        <n v="1146751"/>
        <n v="1146759"/>
        <n v="1146762"/>
        <n v="1146763"/>
        <n v="1146767"/>
        <n v="1146768"/>
        <n v="1146774"/>
        <n v="1146775"/>
        <n v="1146787"/>
        <n v="1146800"/>
        <n v="1146809"/>
        <n v="1146818"/>
        <n v="1146829"/>
        <n v="1146847"/>
        <n v="1146852"/>
        <n v="1146866"/>
        <n v="1146883"/>
        <n v="1146901"/>
        <n v="1146909"/>
        <n v="1146912"/>
        <n v="1146913"/>
        <n v="1146914"/>
        <n v="1146915"/>
        <n v="1146916"/>
        <n v="1146917"/>
        <n v="1146918"/>
        <n v="1146919"/>
        <n v="1146922"/>
        <n v="1146925"/>
        <n v="1146926"/>
        <n v="1146928"/>
        <n v="1146930"/>
        <n v="1146931"/>
        <n v="1146940"/>
        <n v="1146941"/>
        <n v="1146953"/>
        <n v="1146956"/>
        <n v="1146957"/>
        <n v="1146961"/>
        <n v="1146962"/>
        <n v="1146963"/>
        <n v="1146978"/>
        <n v="1146980"/>
        <n v="1146982"/>
        <n v="1146985"/>
        <n v="1146990"/>
        <n v="1146991"/>
        <n v="1146992"/>
        <n v="1146997"/>
        <n v="1147004"/>
        <n v="1147005"/>
        <n v="1147006"/>
        <n v="1147007"/>
        <n v="1147008"/>
        <n v="1147009"/>
        <n v="1147012"/>
        <n v="1147013"/>
        <n v="1147014"/>
        <n v="1147016"/>
        <n v="1147017"/>
        <n v="1147020"/>
        <n v="1147021"/>
        <n v="1147022"/>
        <n v="1147023"/>
        <n v="1147024"/>
        <n v="1147025"/>
        <n v="1147026"/>
        <n v="1147028"/>
        <n v="1147030"/>
        <n v="1147031"/>
        <n v="1147032"/>
        <n v="1147034"/>
        <n v="1147042"/>
        <n v="1147044"/>
        <n v="1147045"/>
        <n v="1147048"/>
        <n v="1147049"/>
        <n v="1147051"/>
        <n v="1147055"/>
        <n v="1147056"/>
        <n v="1147058"/>
        <n v="1147059"/>
        <n v="1147064"/>
        <n v="1147067"/>
        <n v="1147072"/>
        <n v="1147073"/>
        <n v="1147074"/>
        <n v="1147083"/>
        <n v="1147093"/>
        <n v="1147098"/>
        <n v="1147100"/>
        <n v="1147104"/>
        <n v="1147106"/>
        <n v="1147113"/>
        <n v="1147121"/>
        <n v="1147122"/>
        <n v="1149002"/>
        <n v="1149020"/>
        <n v="1149021"/>
        <n v="1149042"/>
        <n v="1149043"/>
        <n v="1149070"/>
        <n v="1149074"/>
        <n v="1149078"/>
        <n v="1150001"/>
        <n v="1150002"/>
        <n v="1150003"/>
        <n v="1150007"/>
        <n v="1150008"/>
        <n v="1150009"/>
        <n v="1150010"/>
        <n v="1150011"/>
        <n v="1150012"/>
        <n v="1150013"/>
        <n v="1150016"/>
        <n v="1150017"/>
        <n v="1150019"/>
        <n v="1151001"/>
        <n v="1151002"/>
        <n v="1151004"/>
        <n v="1151006"/>
        <n v="1151010"/>
        <n v="1151016"/>
        <n v="1151020"/>
        <n v="1151023"/>
        <n v="1151031"/>
        <n v="1151035"/>
        <n v="1151037"/>
        <n v="1151038"/>
        <n v="1151039"/>
        <n v="1151040"/>
        <n v="1151042"/>
        <n v="1151052"/>
        <n v="1152003"/>
        <n v="1152163"/>
        <n v="1152170"/>
        <n v="1152173"/>
        <n v="1152193"/>
        <n v="1152196"/>
        <n v="1152229"/>
        <n v="1152252"/>
        <n v="1155002"/>
        <n v="1155003"/>
        <n v="1155006"/>
        <n v="1155007"/>
        <n v="1155008"/>
        <n v="1155009"/>
        <n v="1155010"/>
        <n v="1155011"/>
        <n v="1155012"/>
        <n v="1155013"/>
        <n v="1155014"/>
        <n v="1155015"/>
        <n v="1155016"/>
        <n v="1155017"/>
        <n v="1155018"/>
        <n v="1155019"/>
        <n v="1155020"/>
        <n v="1155022"/>
        <n v="1155023"/>
        <n v="1155025"/>
        <n v="1155027"/>
        <n v="1155028"/>
        <n v="1155029"/>
        <n v="1155030"/>
        <n v="1155031"/>
        <n v="1155032"/>
        <n v="1155033"/>
        <n v="1155034"/>
        <n v="1155035"/>
        <n v="1155036"/>
        <n v="1155038"/>
        <n v="1155039"/>
        <n v="1155040"/>
        <n v="1155041"/>
        <n v="1155042"/>
        <n v="1155043"/>
        <n v="1155044"/>
        <n v="1155046"/>
        <n v="1155048"/>
        <n v="1155050"/>
        <n v="1155052"/>
        <n v="1155053"/>
        <n v="1155054"/>
        <n v="1155055"/>
        <n v="1155057"/>
        <n v="1155058"/>
        <n v="1155059"/>
        <n v="1155060"/>
        <n v="1155061"/>
        <n v="1155062"/>
        <n v="1155065"/>
        <n v="1155066"/>
        <n v="1155069"/>
        <n v="1155070"/>
        <n v="1155071"/>
        <n v="1155072"/>
        <n v="1155073"/>
        <n v="1155074"/>
        <n v="1155075"/>
        <n v="1155076"/>
        <n v="1155077"/>
        <n v="1155078"/>
        <n v="1155079"/>
        <n v="1155080"/>
        <n v="1155081"/>
        <n v="1155082"/>
        <n v="1155083"/>
        <n v="1155084"/>
        <n v="1155085"/>
        <n v="1155086"/>
        <n v="1155087"/>
        <n v="1155088"/>
        <n v="1155090"/>
        <n v="1155091"/>
        <n v="1155092"/>
        <n v="1155093"/>
        <n v="1155094"/>
        <n v="1155095"/>
        <n v="1155096"/>
        <n v="1155098"/>
        <n v="1155104"/>
        <n v="1155105"/>
        <n v="1155106"/>
        <n v="1155107"/>
        <n v="1155108"/>
        <n v="1155109"/>
        <n v="1155111"/>
        <n v="1155112"/>
        <n v="1155113"/>
        <n v="1155114"/>
        <n v="1155115"/>
        <n v="1155116"/>
        <n v="1155117"/>
        <n v="1155118"/>
        <n v="1155119"/>
        <n v="1155120"/>
        <n v="1155122"/>
        <n v="1155128"/>
        <n v="1155138"/>
        <n v="1155139"/>
        <n v="1155141"/>
        <n v="1155142"/>
        <n v="1155144"/>
        <n v="1155145"/>
        <n v="1155146"/>
        <n v="1155190"/>
        <n v="1155195"/>
        <n v="1155196"/>
        <n v="1155202"/>
        <n v="1155203"/>
        <n v="1155204"/>
        <n v="1155205"/>
        <n v="1155206"/>
        <n v="1155209"/>
        <n v="1155210"/>
        <n v="1155214"/>
        <n v="1155216"/>
        <n v="1155218"/>
        <n v="1155226"/>
        <n v="1155228"/>
        <n v="1155234"/>
        <n v="1155235"/>
        <n v="1155238"/>
        <n v="1155240"/>
        <n v="1155246"/>
        <n v="1156005"/>
        <n v="1156006"/>
        <n v="1156009"/>
        <n v="1157001"/>
        <n v="1157010"/>
        <n v="1157012"/>
        <n v="1157013"/>
        <n v="1157014"/>
        <n v="1157016"/>
        <n v="1157017"/>
        <n v="1157018"/>
        <n v="1157019"/>
        <n v="1157020"/>
        <n v="1157021"/>
        <n v="1159004"/>
        <n v="1161001"/>
        <n v="1161003"/>
        <n v="1161004"/>
        <n v="1161005"/>
        <n v="1161006"/>
        <n v="1161007"/>
        <n v="1161008"/>
        <n v="1161010"/>
        <n v="1161018"/>
        <n v="1161035"/>
        <n v="1161036"/>
        <n v="1161053"/>
        <n v="1169010"/>
        <n v="1169011"/>
        <n v="1169013"/>
        <n v="1169020"/>
        <n v="1169022"/>
        <n v="1169041"/>
        <n v="1169052"/>
        <n v="1169060"/>
        <n v="1169078"/>
        <n v="1169083"/>
        <n v="1170004"/>
        <n v="1170005"/>
        <n v="1170006"/>
        <n v="1170011"/>
        <n v="1170012"/>
        <n v="1170013"/>
        <n v="1170014"/>
        <n v="1170015"/>
        <n v="1170019"/>
        <n v="1170020"/>
        <n v="1170025"/>
        <n v="1170028"/>
        <n v="1170033"/>
        <n v="1170034"/>
        <n v="1174015"/>
        <n v="1176051"/>
        <n v="1176056"/>
        <n v="1176057"/>
        <n v="1176097"/>
        <n v="1176289"/>
        <n v="1176367"/>
        <n v="1189003"/>
        <n v="1260292"/>
        <n v="1260316"/>
        <n v="1260439"/>
        <n v="1260512"/>
        <n v="1260513"/>
        <n v="1260530"/>
        <n v="1260591"/>
        <n v="1260650"/>
        <n v="1260692"/>
        <n v="1260693"/>
        <n v="1260701"/>
        <n v="1260864"/>
        <n v="1261733"/>
        <n v="1261761"/>
        <n v="1261762"/>
        <n v="1261768"/>
        <n v="1262007"/>
        <n v="1262063"/>
        <n v="1262064"/>
        <n v="1264027"/>
        <n v="1317012"/>
        <n v="1360281"/>
        <n v="1361162"/>
        <n v="1439005"/>
        <n v="1439006"/>
        <n v="1439007"/>
        <n v="1439073"/>
        <n v="1439086"/>
        <n v="1439214"/>
        <n v="1439234"/>
        <n v="1439245"/>
        <n v="1439312"/>
        <n v="1439330"/>
        <n v="1439506"/>
        <n v="1439521"/>
        <n v="1439529"/>
        <n v="1439530"/>
        <n v="1439533"/>
        <n v="1439534"/>
        <n v="1439535"/>
        <n v="1440007"/>
        <n v="1440014"/>
        <n v="1440042"/>
        <n v="1440087"/>
        <n v="1440161"/>
        <n v="1440166"/>
        <n v="1440567"/>
        <n v="1492019"/>
        <n v="1492164"/>
        <n v="1492415"/>
        <n v="1500013"/>
        <n v="1500015"/>
        <n v="1500036"/>
        <n v="1502169"/>
        <n v="1502643"/>
        <n v="1502715"/>
        <n v="1504098"/>
        <n v="1504328"/>
        <n v="1580227"/>
        <n v="1580449"/>
        <n v="1580642"/>
        <n v="1580691"/>
        <n v="1580726"/>
        <n v="1581097"/>
        <n v="1581101"/>
        <n v="1581277"/>
        <n v="1581278"/>
        <n v="1581537"/>
        <n v="1581542"/>
        <n v="1581605"/>
        <n v="1581689"/>
        <n v="1581690"/>
        <n v="1581691"/>
        <n v="1581837"/>
        <n v="1581883"/>
        <n v="1581884"/>
        <n v="1581885"/>
        <n v="1582053"/>
        <n v="1582147"/>
        <n v="1582211"/>
        <n v="1582260"/>
        <n v="1582264"/>
        <n v="1582475"/>
        <n v="1582883"/>
        <n v="1582921"/>
        <n v="1583019"/>
        <n v="1583041"/>
        <n v="1583273"/>
        <n v="1583541"/>
        <n v="1584178"/>
        <n v="1584179"/>
        <n v="1584181"/>
        <n v="1584220"/>
        <n v="1584744"/>
        <n v="1584807"/>
        <n v="1584838"/>
        <n v="1584957"/>
        <n v="1585119"/>
        <n v="1585159"/>
        <n v="1585198"/>
        <n v="1585277"/>
        <n v="1585278"/>
        <n v="1585279"/>
        <n v="1585280"/>
        <n v="1585281"/>
        <n v="1585364"/>
        <n v="1585512"/>
        <n v="1585578"/>
        <n v="1585579"/>
        <n v="1585584"/>
        <n v="1585608"/>
        <n v="1585643"/>
        <n v="1585757"/>
        <n v="1585876"/>
        <n v="1585891"/>
        <n v="1585895"/>
        <n v="1585898"/>
        <n v="1585908"/>
        <n v="1585909"/>
        <n v="1585916"/>
        <n v="1585951"/>
        <n v="1585953"/>
        <n v="1585960"/>
        <n v="1586051"/>
        <n v="1586111"/>
        <n v="1586135"/>
        <n v="1586136"/>
        <n v="1586155"/>
        <n v="1586156"/>
        <n v="1586157"/>
        <n v="1586164"/>
        <n v="1586182"/>
        <n v="1586183"/>
        <n v="1586184"/>
        <n v="1586185"/>
        <n v="1586193"/>
        <n v="1586218"/>
        <n v="1586255"/>
        <n v="1586258"/>
        <n v="1586260"/>
        <n v="1586293"/>
        <n v="1586295"/>
        <n v="1586298"/>
        <n v="1586299"/>
        <n v="1586328"/>
        <n v="1586395"/>
        <n v="1586423"/>
        <n v="1586428"/>
        <n v="1586429"/>
        <n v="1586430"/>
        <n v="1586437"/>
        <n v="1586439"/>
        <n v="1586515"/>
        <n v="1586516"/>
        <n v="1586517"/>
        <n v="1586528"/>
        <n v="1586532"/>
        <n v="1586553"/>
        <n v="1586571"/>
        <n v="1586585"/>
        <n v="1586617"/>
        <n v="1586652"/>
        <n v="1586655"/>
        <n v="1586656"/>
        <n v="1586701"/>
        <n v="1586730"/>
        <n v="1586774"/>
        <n v="1586775"/>
        <n v="1586792"/>
        <n v="1586858"/>
        <n v="1586955"/>
        <n v="1586962"/>
        <n v="1586966"/>
        <n v="1586977"/>
        <n v="1587003"/>
        <n v="1587011"/>
        <n v="1587124"/>
        <n v="1587131"/>
        <n v="1587157"/>
        <n v="1587170"/>
        <n v="1700394"/>
        <n v="1701019"/>
        <n v="1701063"/>
        <n v="1701148"/>
        <n v="1701168"/>
        <n v="1701207"/>
        <n v="1701353"/>
        <n v="1701354"/>
        <n v="1701410"/>
        <n v="1701477"/>
        <n v="1701680"/>
        <n v="1701681"/>
        <n v="1701704"/>
        <n v="1701797"/>
        <n v="1701842"/>
        <n v="1702011"/>
        <n v="1702012"/>
        <n v="1702182"/>
        <n v="1702191"/>
        <n v="1702276"/>
        <n v="1702283"/>
        <n v="1702404"/>
        <n v="1702478"/>
        <n v="1702486"/>
        <n v="1702487"/>
        <n v="1702511"/>
        <n v="1702512"/>
        <n v="1702545"/>
        <n v="1702679"/>
        <n v="1702738"/>
        <n v="1702743"/>
        <n v="1702744"/>
        <n v="1702803"/>
        <n v="1702925"/>
        <n v="1702935"/>
        <n v="1702942"/>
        <n v="1702962"/>
        <n v="1703013"/>
        <n v="1703100"/>
        <n v="1703130"/>
        <n v="1703176"/>
        <n v="1703263"/>
        <n v="1703313"/>
        <n v="1703314"/>
        <n v="2371115"/>
        <n v="2375659"/>
        <n v="2400308"/>
        <n v="3010022"/>
        <n v="3010031"/>
        <n v="3010063"/>
        <n v="3010135"/>
        <n v="3010159"/>
        <n v="3010223"/>
        <n v="3146459"/>
        <n v="3602600"/>
        <n v="3602627"/>
        <n v="3603018"/>
        <n v="4000005"/>
        <n v="4000012"/>
        <n v="4000017"/>
        <n v="4000025"/>
        <n v="4000026"/>
        <n v="4000031"/>
        <n v="4000032"/>
        <n v="4000044"/>
        <n v="4000048"/>
        <n v="4000049"/>
        <n v="4000053"/>
        <n v="4000059"/>
        <n v="4000065"/>
        <n v="4000066"/>
        <n v="4000070"/>
        <n v="4000077"/>
        <n v="4000089"/>
        <n v="4000096"/>
        <n v="4000104"/>
        <n v="4000107"/>
        <n v="4000112"/>
        <n v="4000115"/>
        <n v="4000118"/>
        <n v="4000120"/>
        <n v="4000121"/>
        <n v="4000122"/>
        <n v="4000134"/>
        <n v="4000137"/>
        <n v="4000144"/>
        <n v="4000145"/>
        <n v="4000147"/>
        <n v="4000155"/>
        <n v="4000157"/>
        <n v="4000175"/>
        <n v="4000186"/>
        <n v="4000187"/>
        <n v="4000189"/>
        <n v="4000194"/>
        <n v="4000202"/>
        <n v="4000204"/>
        <n v="4000206"/>
        <n v="4000207"/>
        <n v="4000209"/>
        <n v="4000210"/>
        <n v="4000213"/>
        <n v="4000214"/>
        <n v="4000242"/>
        <n v="4000243"/>
        <n v="4000257"/>
        <n v="4000267"/>
        <n v="4000282"/>
        <n v="4000283"/>
        <n v="4000287"/>
        <n v="4000294"/>
        <n v="4000295"/>
        <n v="4000297"/>
        <n v="4000299"/>
        <n v="4000304"/>
        <n v="4000352"/>
        <n v="4000373"/>
        <n v="4000497"/>
        <n v="4000498"/>
        <n v="4000672"/>
        <n v="4000685"/>
        <n v="4000731"/>
        <n v="4000735"/>
        <n v="4000847"/>
        <n v="4001009"/>
        <n v="4001010"/>
        <n v="4001011"/>
        <n v="4001020"/>
        <n v="4001077"/>
        <n v="4001092"/>
        <n v="4001106"/>
        <n v="4001189"/>
        <n v="4001215"/>
        <n v="4001239"/>
        <n v="4001299"/>
        <n v="4001326"/>
        <n v="4001474"/>
        <n v="4001522"/>
        <n v="4001539"/>
        <n v="4001588"/>
        <n v="4001591"/>
        <n v="4001652"/>
        <n v="4001675"/>
        <n v="4001676"/>
        <n v="4001708"/>
        <n v="4001709"/>
        <n v="4001733"/>
        <n v="4001748"/>
        <n v="4001789"/>
        <n v="4001825"/>
        <n v="4001865"/>
        <n v="4001884"/>
        <n v="4001919"/>
        <n v="4001922"/>
        <n v="4001928"/>
        <n v="4001945"/>
        <n v="4002032"/>
        <n v="4002116"/>
        <n v="4002133"/>
        <n v="4002182"/>
        <n v="4002183"/>
        <n v="4002184"/>
        <n v="4002244"/>
        <n v="4002245"/>
        <n v="4002246"/>
        <n v="4002248"/>
        <n v="4002250"/>
        <n v="4002253"/>
        <n v="4002254"/>
        <n v="4002255"/>
        <n v="4002257"/>
        <n v="4002258"/>
        <n v="4002260"/>
        <n v="4002261"/>
        <n v="4002263"/>
        <n v="4002264"/>
        <n v="4002265"/>
        <n v="4002266"/>
        <n v="4002267"/>
        <n v="4002268"/>
        <n v="4002269"/>
        <n v="4002270"/>
        <n v="4002271"/>
        <n v="4002272"/>
        <n v="4002273"/>
        <n v="4002274"/>
        <n v="4002275"/>
        <n v="4002276"/>
        <n v="4002277"/>
        <n v="4002278"/>
        <n v="4002279"/>
        <n v="4002280"/>
        <n v="4002281"/>
        <n v="4002282"/>
        <n v="4002283"/>
        <n v="4002284"/>
        <n v="4002285"/>
        <n v="4002286"/>
        <n v="4002287"/>
        <n v="4002288"/>
        <n v="4002289"/>
        <n v="4002290"/>
        <n v="4002291"/>
        <n v="4002300"/>
        <n v="4002308"/>
        <n v="4002320"/>
        <n v="4002321"/>
        <n v="4002460"/>
        <n v="4002518"/>
        <n v="4002543"/>
        <n v="4002547"/>
        <n v="4002576"/>
        <n v="4002583"/>
        <n v="4002673"/>
        <n v="4102188"/>
        <n v="4146733"/>
        <n v="6600510"/>
        <n v="6602010"/>
        <n v="6602040"/>
        <n v="6602540"/>
        <n v="6603040"/>
        <n v="6604010"/>
        <n v="6604040"/>
        <n v="6605040"/>
        <n v="6606040"/>
        <n v="6608000"/>
        <n v="6608010"/>
        <n v="6608040"/>
        <n v="6610000"/>
        <n v="6610030"/>
        <n v="6610040"/>
        <n v="6612010"/>
        <n v="6612040"/>
        <n v="6612740"/>
        <n v="6614000"/>
        <n v="6614010"/>
        <n v="93026130"/>
        <n v="93028300"/>
        <n v="93600270"/>
        <n v="93600600"/>
        <n v="93601030"/>
        <n v="93601280"/>
        <n v="95005480"/>
        <n v="95007460"/>
        <n v="95106680"/>
        <n v="95107160"/>
        <n v="302004319"/>
        <n v="302041489"/>
        <n v="800000559"/>
        <n v="800000727"/>
        <n v="800000790"/>
        <n v="800000932"/>
        <n v="800000934"/>
        <n v="800000935"/>
        <n v="800001030"/>
        <n v="800001130"/>
        <n v="800001214"/>
        <n v="800001231"/>
        <n v="800001268"/>
        <n v="800001269"/>
        <n v="800001282"/>
        <n v="800001341"/>
        <n v="800001413"/>
        <n v="800001477"/>
        <n v="800001501"/>
        <n v="800001502"/>
        <n v="800001529"/>
        <n v="800001607"/>
        <n v="800001627"/>
        <n v="800001689"/>
        <n v="800001690"/>
        <n v="800001691"/>
        <n v="800001693"/>
        <n v="800001694"/>
        <n v="800001695"/>
        <n v="800001697"/>
        <n v="800001698"/>
        <n v="800001702"/>
        <n v="800001704"/>
        <n v="800001707"/>
        <n v="800001708"/>
        <n v="800001709"/>
        <n v="800001727"/>
        <n v="800001729"/>
        <n v="800001745"/>
        <n v="800001746"/>
        <n v="800001756"/>
        <n v="800001777"/>
        <n v="800001779"/>
        <n v="800001786"/>
        <n v="800001887"/>
        <n v="800001904"/>
        <n v="800001905"/>
        <n v="800001906"/>
        <n v="800001907"/>
        <n v="800001908"/>
        <n v="800001909"/>
        <n v="800001910"/>
        <n v="800001911"/>
        <n v="800001912"/>
        <n v="800001913"/>
        <n v="800001915"/>
        <n v="800001916"/>
        <n v="800001917"/>
        <n v="800001919"/>
        <n v="800001942"/>
        <n v="800001971"/>
        <n v="800002014"/>
        <n v="800002052"/>
        <n v="800002224"/>
        <n v="800002247"/>
        <n v="800002248"/>
        <n v="800002279"/>
        <n v="800002303"/>
        <n v="800002454"/>
        <n v="800002713"/>
        <n v="800002774"/>
        <n v="800002832"/>
        <n v="800003234"/>
        <n v="800003259"/>
        <n v="800003261"/>
        <n v="800003537"/>
        <n v="800003538"/>
        <n v="800003598"/>
        <n v="800003621"/>
        <n v="800003622"/>
        <n v="800003623"/>
        <n v="800003667"/>
        <n v="800003668"/>
        <n v="800003746"/>
        <n v="800003932"/>
        <n v="800004052"/>
        <n v="800004053"/>
        <n v="800004054"/>
        <n v="800004071"/>
        <n v="800004269"/>
        <n v="800004368"/>
        <n v="800004917"/>
        <n v="800005071"/>
        <n v="800005072"/>
        <n v="800005113"/>
        <n v="800005121"/>
        <n v="800005342"/>
        <n v="800005343"/>
        <n v="6501001608"/>
        <n v="6501600404"/>
        <n v="6502000304"/>
        <n v="6502000401"/>
        <n v="6502000403"/>
        <n v="6502000499"/>
        <n v="6502000504"/>
        <n v="6502000604"/>
        <n v="6502000808"/>
        <n v="6502500404"/>
        <n v="6502500503"/>
        <n v="6502501008"/>
        <n v="6503000503"/>
        <n v="6503000508"/>
        <n v="6503000599"/>
        <n v="6503000604"/>
        <n v="6503000608"/>
        <n v="6503000693"/>
        <n v="6503000808"/>
        <n v="6503001001"/>
        <n v="6503001003"/>
        <n v="6503001009"/>
        <n v="6503001099"/>
        <n v="6503001209"/>
        <n v="6503001299"/>
        <n v="6503001408"/>
        <n v="6503001603"/>
        <n v="6503001608"/>
        <n v="6503002008"/>
        <n v="6503002504"/>
        <n v="6503002508"/>
        <n v="6503003001"/>
        <n v="6503004001"/>
        <n v="6504000603"/>
        <n v="6504000604"/>
        <n v="6504001001"/>
        <n v="6504001003"/>
        <n v="6504001403"/>
        <n v="6504001409"/>
        <n v="6504001603"/>
        <n v="6504001699"/>
        <n v="6504003008"/>
        <n v="6504004501"/>
        <n v="6505000804"/>
        <n v="6505000809"/>
        <n v="6505001209"/>
        <n v="6505001508"/>
        <n v="6505001603"/>
        <n v="6505001803"/>
        <n v="6505002208"/>
        <n v="6505003001"/>
        <n v="6505003008"/>
        <n v="6506001209"/>
        <n v="6506001403"/>
        <n v="6506001809"/>
        <n v="6506002509"/>
        <n v="6506003009"/>
        <n v="6506003508"/>
        <n v="6506004008"/>
        <n v="6506004508"/>
        <n v="6506005008"/>
        <n v="6508001603"/>
        <n v="6508001609"/>
        <n v="6508002503"/>
        <n v="6508004008"/>
        <n v="6510001607"/>
        <n v="6510002003"/>
        <n v="6510002508"/>
        <n v="6510005008"/>
        <n v="6510008008"/>
        <n v="6512002007"/>
        <n v="6512002507"/>
        <n v="6512003007"/>
        <n v="6512003507"/>
        <n v="6512004007"/>
        <n v="6512004008"/>
        <n v="6512005007"/>
        <n v="6706320001"/>
        <n v="6714200001"/>
        <n v="6804401404"/>
        <n v="6804403804"/>
        <n v="6806321008"/>
        <n v="6806321201"/>
        <n v="6806321408"/>
        <n v="6806323808"/>
        <n v="6806323809"/>
        <n v="6808321008"/>
        <n v="6808321201"/>
        <n v="6808323208"/>
        <n v="6808323609"/>
        <n v="6808323808"/>
        <n v="6808325808"/>
        <n v="6810321208"/>
        <n v="6810321404"/>
        <n v="6810321408"/>
        <n v="6810323804"/>
        <n v="6810325608"/>
        <n v="6814201208"/>
        <n v="6814203804"/>
        <n v="8000000644"/>
        <n v="8000008251"/>
        <s v="***40019853"/>
        <s v="BASG202350"/>
        <s v="05.9000.0164"/>
        <n v="1121010"/>
        <s v="80.0000.9638"/>
        <n v="1121176"/>
        <n v="1121018"/>
        <n v="1130174"/>
        <n v="1492021"/>
        <n v="1145419"/>
        <n v="1146243"/>
        <n v="1145420"/>
        <n v="1146295"/>
        <n v="1145623"/>
        <n v="6506001203"/>
        <n v="1146171"/>
        <n v="1147092"/>
        <n v="1146239"/>
        <n v="6503001008"/>
        <n v="1146241"/>
        <n v="1130474"/>
        <n v="1146280"/>
        <n v="1145411"/>
        <n v="1146286"/>
        <n v="6503001208"/>
        <n v="1146542"/>
        <n v="1146633"/>
        <n v="1146575"/>
        <n v="1145570"/>
        <n v="1146764"/>
        <n v="1586431"/>
        <n v="1147086"/>
        <n v="1145554"/>
        <n v="6503000603"/>
        <n v="1155211"/>
        <n v="1152137"/>
        <n v="1502111"/>
        <n v="1118052"/>
        <n v="1585892"/>
        <s v="80.0001.2608"/>
        <n v="1586087"/>
        <s v="80.0000.0679"/>
        <n v="1586435"/>
        <s v="80.0000.8654"/>
        <n v="1586614"/>
        <n v="4000198"/>
        <n v="1586748"/>
        <n v="1118028"/>
        <n v="1700909"/>
        <n v="4000197"/>
        <n v="1700910"/>
        <n v="4000286"/>
        <n v="1700918"/>
        <s v=" T1120213"/>
        <n v="1701046"/>
        <n v="1118111"/>
        <n v="1701062"/>
        <s v="A0000011339"/>
        <n v="4000062"/>
        <n v="1120108"/>
        <n v="1701065"/>
        <s v="A0000011340"/>
        <n v="800001753"/>
        <n v="1120114"/>
        <n v="1701067"/>
        <n v="1702968"/>
        <n v="1701164"/>
        <n v="4000110"/>
        <n v="1701165"/>
        <s v="T1120231"/>
        <n v="1701721"/>
        <n v="1140004"/>
        <n v="1701805"/>
        <n v="1146040"/>
        <n v="1702386"/>
        <n v="4000146"/>
        <n v="1703055"/>
        <n v="1131159"/>
        <n v="1749005"/>
        <s v="20-60517-1"/>
        <n v="1146666"/>
        <n v="4000080"/>
        <n v="800011638"/>
        <n v="4000095"/>
        <s v="T1120042"/>
        <n v="4000249"/>
        <s v="T1120199"/>
        <n v="4002249"/>
        <n v="1135655"/>
        <n v="4002251"/>
        <n v="800001736"/>
        <n v="4002252"/>
        <n v="800001737"/>
        <n v="4002256"/>
        <n v="800001738"/>
        <n v="4002259"/>
        <n v="800001714"/>
        <n v="4002262"/>
        <n v="800001735"/>
        <n v="4002517"/>
        <s v="80.0000.0223"/>
        <n v="4040304"/>
        <s v="T1120114"/>
        <n v="6502000601"/>
        <n v="800001876"/>
        <n v="6502000801"/>
        <n v="800001914"/>
        <n v="6502001008"/>
        <n v="1145404"/>
        <n v="6502500408"/>
        <n v="1145406"/>
        <n v="6503000509"/>
        <n v="1131536"/>
        <n v="6503000601"/>
        <n v="800001699"/>
        <n v="6503000801"/>
        <n v="800001700"/>
        <n v="6503000803"/>
        <n v="1146959"/>
        <n v="6503000809"/>
        <n v="1146538"/>
        <n v="6503001203"/>
        <n v="1146153"/>
        <n v="6504000608"/>
        <n v="1146301"/>
        <n v="6504000609"/>
        <n v="1146653"/>
        <n v="6504000803"/>
        <n v="1147091"/>
        <n v="6504000808"/>
        <n v="1146302"/>
        <n v="6504001009"/>
        <n v="1146509"/>
        <n v="6504001203"/>
        <n v="1147075"/>
        <n v="6504001208"/>
        <n v="1146306"/>
        <n v="6504001209"/>
        <n v="1146510"/>
        <n v="6504001408"/>
        <n v="1146307"/>
        <n v="6504001608"/>
        <n v="1146308"/>
        <n v="1146325"/>
        <n v="6504001609"/>
        <n v="1130675"/>
        <n v="6504001808"/>
        <n v="1146309"/>
        <n v="6504002008"/>
        <n v="1146310"/>
        <n v="6504002009"/>
        <n v="1146654"/>
        <n v="6504002208"/>
        <n v="1146327"/>
        <n v="6504002508"/>
        <n v="1146397"/>
        <n v="6504003508"/>
        <n v="1146269"/>
        <n v="6504004008"/>
        <n v="1146399"/>
        <n v="6504004508"/>
        <n v="1146317"/>
        <n v="6505000608"/>
        <n v="1146330"/>
        <n v="6505000609"/>
        <n v="4002247"/>
        <n v="6505000808"/>
        <n v="1146331"/>
        <n v="6505001008"/>
        <n v="1146424"/>
        <n v="6505001009"/>
        <n v="1146656"/>
        <n v="6505001203"/>
        <n v="1146092"/>
        <n v="6505001208"/>
        <n v="1146356"/>
        <n v="6505001408"/>
        <n v="1146335"/>
        <n v="6505001608"/>
        <n v="1146425"/>
        <n v="6505001609"/>
        <n v="1130676"/>
        <n v="6505001808"/>
        <n v="1146337"/>
        <n v="6505002008"/>
        <n v="1146338"/>
        <n v="6505002009"/>
        <n v="1146657"/>
        <n v="6505002508"/>
        <n v="1146427"/>
        <n v="6505003508"/>
        <n v="1146341"/>
        <n v="6505004008"/>
        <n v="1146429"/>
        <n v="6505006008"/>
        <n v="1146347"/>
        <n v="6506001008"/>
        <n v="1146464"/>
        <n v="6506001009"/>
        <n v="1146660"/>
        <n v="6506001208"/>
        <n v="1146594"/>
        <n v="6506001608"/>
        <n v="1146468"/>
        <n v="6506001609"/>
        <n v="1130677"/>
        <n v="6506001808"/>
        <n v="4000021"/>
        <n v="6506002008"/>
        <n v="1146465"/>
        <n v="6506002208"/>
        <n v="4000022"/>
        <n v="6506002507"/>
        <n v="1130397"/>
        <n v="6506002508"/>
        <n v="4000023"/>
        <n v="6506003008"/>
        <n v="1146466"/>
        <n v="6508001208"/>
        <n v="4000030"/>
        <n v="6508002008"/>
        <n v="4000034"/>
        <n v="6508002508"/>
        <n v="4000109"/>
        <n v="6508003008"/>
        <n v="4000268"/>
        <n v="6508003508"/>
        <s v="80.0000.0077"/>
        <s v="80.0000.0106"/>
        <s v="80.0000.0175"/>
        <s v="80.0000.0218"/>
        <s v="80.0000.0224"/>
        <s v="80.0000.0225"/>
        <n v="4000036"/>
        <s v="80.0000.0234"/>
        <s v="80.0000.0483"/>
        <s v="80.0000.0516"/>
        <s v="80.0000.0633"/>
        <s v="80.0000.0727"/>
        <s v="80.0000.0870"/>
        <s v="80.0000.2015"/>
        <s v="80.0000.2557"/>
        <s v="80.0000.2562"/>
        <s v="80.0000.2563"/>
        <s v="80.0000.2568"/>
        <s v="80.0000.2576"/>
        <s v="80.0000.2653"/>
        <s v="80.0000.3022"/>
        <s v="80.0000.3603"/>
        <s v="80.0000.3993"/>
        <n v="1147033"/>
        <s v="80.0000.8172"/>
        <s v="80.0000.8173"/>
        <s v="80.0000.8190"/>
        <s v="80.0000.8213"/>
        <s v="80.0000.8217"/>
        <s v="80.0000.8309"/>
        <s v="80.0000.8313"/>
        <s v="80.0000.8316"/>
        <s v="80.0000.8319"/>
        <s v="80.0000.8322"/>
        <s v="80.0000.8324"/>
        <s v="80.0000.8325"/>
        <s v="80.0000.8355"/>
        <s v="80.0000.8379"/>
        <s v="80.0000.8380"/>
        <s v="80.0000.8381"/>
        <s v="80.0000.8385"/>
        <s v="80.0000.8386"/>
        <s v="80.0000.8387"/>
        <s v="80.0000.8405"/>
        <s v="80.0000.8416"/>
        <s v="80.0000.8417"/>
        <s v="80.0000.8430"/>
        <s v="80.0000.8431"/>
        <n v="1586523"/>
        <s v="80.0000.8437 "/>
        <s v="80.0000.8439"/>
        <s v="80.0000.8461"/>
        <s v="80.0000.8529"/>
        <s v="80.0000.8568"/>
        <s v="80.0000.8593"/>
        <s v="80.0000.8596"/>
        <s v=" MVG.254"/>
        <s v="80.0000.8598"/>
        <s v="80.0000.8599"/>
        <n v="1586520"/>
        <s v="80.0000.8600"/>
        <s v="80.0000.8602"/>
        <s v="80.0000.8603"/>
        <s v="80.0000.8610"/>
        <s v="80.0000.8611"/>
        <s v="80.0000.8612"/>
        <s v="80.0000.8619"/>
        <s v="80.0000.8634"/>
        <s v="80.0000.8646"/>
        <s v="80.0000.8647"/>
        <s v="80.0000.8648"/>
        <s v="80.0000.8665"/>
        <s v="80.0000.8692"/>
        <s v="80.0000.8742"/>
        <s v="80.0000.8743"/>
        <s v="80.0000.9004"/>
        <n v="1586433"/>
        <s v="80.0000.9006 "/>
        <s v="80.0000.9020"/>
        <s v="80.0000.9021"/>
        <s v="80.0000.9136"/>
        <s v="80.0000.9326"/>
        <n v="1147015"/>
        <s v="80.0000.9473 "/>
        <s v="80.0000.9503"/>
        <s v="80.0000.9513"/>
        <s v="80.0000.9519"/>
        <s v="80.0000.9567"/>
        <n v="1585877"/>
        <s v="80.0000.9609 "/>
        <s v="80.0001.0156"/>
        <s v="80.0001.0294"/>
        <s v="80.0001.0463"/>
        <s v="80.0001.0957"/>
        <s v="80.0001.1040"/>
        <s v="80.0001.1041"/>
        <s v="80.0001.1047"/>
        <s v="80.0001.1050"/>
        <s v="80.0001.1055"/>
        <s v="80.0001.1092"/>
        <s v="80.0001.1246"/>
        <s v="80.0001.1305"/>
        <s v="80.0001.1388"/>
        <s v="80.0001.1423"/>
        <s v="80.0001.1449"/>
        <s v="80.0001.1462"/>
        <s v="80.0001.1497"/>
        <s v="80.0001.1510"/>
        <s v="80.0001.1528"/>
        <s v="80.0001.1531"/>
        <s v="80.0001.1957"/>
        <s v="80.0001.1973"/>
        <s v="80.0001.1990"/>
        <s v="80.0001.1999"/>
        <s v="80.0001.2415"/>
        <s v="80.0001.2484"/>
        <s v="80.0001.2525"/>
        <s v="80.0001.2563"/>
        <s v="80.0001.2681"/>
        <n v="4001561"/>
        <n v="800001544"/>
        <n v="800003418"/>
        <n v="800001747"/>
        <s v="A0000010145"/>
        <s v="A0000010655"/>
        <n v="1701130"/>
        <s v="A0000011331 "/>
        <s v="A0000011345"/>
        <s v="A0000011531"/>
        <s v="A0000012410"/>
        <s v="MBG.061"/>
        <s v="MVD6325.047"/>
        <s v="MVD6325.050"/>
        <s v="MVD6325.088"/>
        <s v="MVD6799.001"/>
        <s v="MVD912.052"/>
        <s v="MVD915.010"/>
        <s v="MVD965.015"/>
        <s v="MVD965.016"/>
        <s v="MVG.131"/>
        <s v="MVP.198"/>
        <s v="MVP.199"/>
        <s v="T1104002"/>
        <s v="T1120007"/>
        <s v="T1120017"/>
        <s v="T1120018"/>
        <s v="T1120020"/>
        <s v="T1120023"/>
        <s v="T1120039"/>
        <s v="T1120040"/>
        <s v="T1120041"/>
        <s v="T1120043"/>
        <s v="T1120045"/>
        <s v="T1120046"/>
        <s v="T1120047"/>
        <s v="T1120050"/>
        <s v="T1120051"/>
        <s v="T1120052"/>
        <s v="T1120053"/>
        <s v="T1120055"/>
        <s v="T1120056"/>
        <s v="T1120059"/>
        <s v="T1120060"/>
        <s v="T1120065"/>
        <s v="T1120070"/>
        <n v="6504000809"/>
        <s v="T1120071"/>
        <s v="T1120072"/>
        <s v="T1120073"/>
        <s v="T1120074"/>
        <s v="T1120080"/>
        <s v="T1120082"/>
        <s v="T1120083"/>
        <s v="T1120084"/>
        <s v="T1120085"/>
        <s v="T1120086"/>
        <s v="T1120087"/>
        <s v="T1120089"/>
        <s v="T1120093"/>
        <s v="T1120095"/>
        <s v="T1120097"/>
        <s v="T1120098"/>
        <s v="T1120099"/>
        <s v="T1120101"/>
        <s v="T1120102"/>
        <s v="T1120103"/>
        <s v="T1120105"/>
        <s v="T1120106"/>
        <s v="T1120108"/>
        <s v="T1120110"/>
        <s v="T1120111"/>
        <s v="T1120112"/>
        <s v="T1120113"/>
        <s v="T1120116"/>
        <s v="T1120117"/>
        <s v="T1120122"/>
        <s v="T1120125"/>
        <s v="T1120126"/>
        <s v="T1120129"/>
        <s v="T1120130"/>
        <s v="T1120131"/>
        <n v="1135772"/>
        <s v="T1120133"/>
        <s v="T1120134"/>
        <n v="4000254"/>
        <s v="T1120135"/>
        <n v="4000152"/>
        <s v="T1120143"/>
        <s v="T1120145"/>
        <s v="T1120147"/>
        <s v="T1120154"/>
        <s v="T1120175"/>
        <s v="T1120181"/>
        <s v="T1120182"/>
        <s v="T1120184"/>
        <s v="T1120185"/>
        <s v="T1120195"/>
        <s v="T1120205"/>
        <s v="T1120217"/>
        <s v="T1120224"/>
        <s v="T1120226"/>
        <s v="T1120228"/>
        <s v="T1120232"/>
        <n v="800003759"/>
        <n v="1800655"/>
        <n v="1800656"/>
        <n v="1585184"/>
        <s v="80.0001.0958"/>
        <n v="3603382"/>
        <n v="3604377"/>
        <n v="3604279"/>
        <n v="3602140"/>
        <n v="3604695"/>
        <n v="3604694"/>
        <s v="80.0001.0415"/>
        <n v="4020028"/>
        <n v="3604696"/>
        <s v="80.0000.8589"/>
        <s v="80.0000.0899"/>
        <n v="1360147"/>
        <s v="80.0001.1277"/>
        <s v="80.0000.6040"/>
        <s v="80.0000.9941"/>
        <n v="4001236"/>
        <s v="80.0001.1371"/>
        <s v="80.0000.7507"/>
        <n v="3602655"/>
        <s v="80.0000.0763"/>
        <n v="1360694"/>
        <n v="4020029"/>
        <n v="800004641"/>
        <n v="1587039"/>
        <n v="3602644"/>
        <n v="3602656"/>
        <n v="1800561"/>
        <n v="1360962"/>
        <n v="1360862"/>
        <s v="MPS.560"/>
        <s v="80.0001.0312"/>
        <s v="80.0001.1174"/>
        <s v="80.0001.1545"/>
        <s v="MPV.559"/>
        <s v="80.0001.0851"/>
        <s v="80.0000.7506"/>
        <n v="1587041"/>
        <n v="3601394"/>
        <n v="3601768"/>
        <n v="3602841"/>
        <s v="MPG.048"/>
        <s v="MPG.095"/>
        <s v="80.0000.7503"/>
        <s v="MPG.301(New)"/>
        <n v="3603780"/>
        <s v="A0000016451"/>
        <n v="1313018"/>
        <n v="1313015"/>
        <n v="3604203"/>
        <n v="1360738"/>
        <s v="MPV.194"/>
        <s v="80.0000.7963"/>
        <n v="1800392"/>
        <n v="1322039"/>
        <n v="1322034"/>
        <n v="4001166"/>
        <n v="3603996"/>
        <n v="3602840"/>
        <n v="4020030"/>
        <n v="4001275"/>
        <n v="3604583"/>
        <n v="800004637"/>
        <s v="80.0000.1723"/>
        <s v="80.0001.0980"/>
        <n v="3602747"/>
        <n v="3602676"/>
        <n v="3604249"/>
        <s v="80.0000.1720"/>
        <n v="3602658"/>
        <s v="80.0000.1721"/>
        <n v="4002666"/>
        <n v="3604280"/>
        <n v="800000313"/>
        <n v="3604106"/>
        <n v="3604206"/>
        <n v="1585959"/>
        <n v="800001869"/>
        <s v="80.0000.1898"/>
        <n v="3602682"/>
        <n v="4001534"/>
        <n v="800003407"/>
        <n v="1586699"/>
        <s v="80.0001.1985"/>
        <s v="80.0001.1374"/>
        <s v="MPS.801"/>
        <s v="80.0001.1023"/>
        <s v="80.0001.1024"/>
        <s v="80.0001.1036"/>
        <s v="80.0001.1349"/>
        <s v="80.0001.1410"/>
        <n v="1800640"/>
        <s v="MPS.135"/>
        <s v="80.0001.1021"/>
        <s v="80.0001.1022"/>
        <s v="80.0001.1983"/>
        <s v="80.0001.0943"/>
        <n v="1316027"/>
        <n v="3603760"/>
        <n v="1361157"/>
        <s v="80.0001.1551"/>
        <s v="80.0001.1330"/>
        <s v=" 80.0001.1331"/>
        <s v="80.0001.1348"/>
        <s v="80.0001.0293"/>
        <s v="80.0001.2440"/>
        <n v="1361024"/>
        <n v="800003669"/>
        <s v="80.0000.3773"/>
        <n v="1361170"/>
        <n v="800003472"/>
        <s v="MPV.489"/>
        <s v="80.0001.1020"/>
        <s v="80.0000.0347"/>
        <n v="1316022"/>
        <n v="3603420"/>
        <s v="80.0001.0295"/>
        <s v="80.0001.0966"/>
        <n v="1586367"/>
        <n v="1586360"/>
        <s v="80.0001.0011"/>
        <s v="80.0000.0312"/>
        <n v="1360368"/>
        <s v="80.0001.0199"/>
        <n v="1586400"/>
        <n v="1586371"/>
        <s v="A0000016187"/>
        <n v="4020080"/>
        <s v="80.0001.2055"/>
        <n v="1800641"/>
        <n v="1800607"/>
        <s v="MPS.707"/>
        <n v="2101362"/>
        <n v="91005340"/>
        <n v="1316037"/>
        <n v="1316016"/>
        <s v="80.0000.3995"/>
        <n v="1360592"/>
        <n v="1316017"/>
        <s v="MPS.470"/>
        <n v="3603991"/>
        <n v="2101163"/>
        <s v="80.0001.1961"/>
        <s v="80.0001.1962"/>
        <n v="800002289"/>
        <s v="80.0001.1442"/>
        <n v="3601443"/>
        <s v="MPS.1021"/>
        <s v="MPV.059"/>
        <n v="1361116"/>
        <n v="1301051"/>
        <s v="MPG.505"/>
        <s v="80.0000.0349"/>
        <n v="3603046"/>
        <s v="80.0000.0341"/>
        <n v="1321027"/>
        <n v="3602645"/>
        <s v="80.0000.9317"/>
        <n v="2002225"/>
        <s v="80.0001.0854"/>
        <s v="80.0001.1091"/>
        <s v="A0000017636"/>
        <n v="1325001"/>
        <n v="4020045"/>
        <s v="A0000017186"/>
        <s v="80.0000.0765"/>
        <s v="80.0000.8699"/>
        <s v="80.0000.0362"/>
        <s v="80.0000.8803"/>
        <n v="1411641"/>
        <s v="80.0001.2483"/>
        <n v="1250080"/>
        <n v="3604577"/>
        <n v="800002697"/>
        <n v="4001174"/>
        <n v="4001351"/>
        <n v="4001352"/>
        <n v="1308011"/>
        <s v="80.0000.1129"/>
        <s v="80.0000.0406"/>
        <n v="1202206"/>
        <s v="MPZ.213"/>
        <n v="1130292"/>
        <s v="MPZ.387"/>
        <s v="80.0000.9365"/>
        <s v="80.0000.0367"/>
        <n v="1261752"/>
        <s v="80.0000.0337"/>
        <s v="80.0000.8709"/>
        <n v="1586341"/>
        <n v="1586284"/>
        <s v="80.0000.7139"/>
        <s v="80.0000.7990"/>
        <n v="1202694"/>
        <s v="80.0000.0376"/>
        <s v="80.0001.0266"/>
        <s v="MPZ.273"/>
        <n v="1260262"/>
        <s v="80.0000.2639"/>
        <s v="80.0000.0374"/>
        <s v="80.0000.2640"/>
        <s v="80.0000.0369"/>
        <s v="80.0000.7897"/>
        <s v="80.0000.8802"/>
        <s v="80.0000.8804"/>
        <s v="80.0001.2166"/>
        <s v="80.0000.0882"/>
        <n v="1202634"/>
        <n v="800002201"/>
        <n v="800002278"/>
        <n v="1202596"/>
        <n v="1260783"/>
        <n v="1202220"/>
        <s v="80.0000.0087"/>
        <n v="1202223"/>
        <n v="1202268"/>
        <n v="1261735"/>
        <n v="1360058"/>
        <n v="1262187"/>
        <n v="91010000"/>
        <s v="MPZ.375"/>
        <n v="1587142"/>
        <n v="4001167"/>
        <s v="80.0000.8700"/>
        <n v="4001169"/>
        <n v="4001242"/>
        <n v="4020082"/>
        <s v="MPZ.385"/>
        <n v="4001820"/>
        <n v="4002160"/>
        <n v="4001322"/>
        <n v="1203001"/>
        <n v="4001323"/>
        <n v="1202516"/>
        <n v="4001095"/>
        <n v="800002226"/>
        <n v="3604578"/>
        <n v="800000567"/>
        <n v="3604411"/>
        <n v="3604617"/>
        <s v="80.0000.0714"/>
        <n v="1260480"/>
        <n v="1202238"/>
        <n v="4001929"/>
        <n v="1202219"/>
        <n v="1202321"/>
        <n v="1261747"/>
        <n v="800001297"/>
        <s v="MPZ.436"/>
        <n v="1202240"/>
        <n v="1262177"/>
        <n v="1202339"/>
        <n v="91300430"/>
        <n v="800002712"/>
        <s v="80.0000.0260"/>
        <n v="1260705"/>
        <n v="1202266"/>
        <n v="1202239"/>
        <n v="1202463"/>
        <n v="4001276"/>
        <n v="4001930"/>
        <s v="MPZ.301"/>
        <n v="3604576"/>
        <n v="1586784"/>
        <n v="1262066"/>
        <s v="80.0001.0141"/>
        <s v="80.0001.0562"/>
        <s v="80.0000.0203"/>
        <s v="80.0001.1572"/>
        <s v="80.0001.0459"/>
        <s v="80.0000.7931"/>
        <s v="MPZ.105"/>
        <s v="80.0001.0181"/>
        <n v="3010032"/>
        <s v="80.0001.0519"/>
        <s v="80.0000.9469"/>
        <s v="80.0000.0642"/>
        <s v="80.0000.0641"/>
        <n v="3604164"/>
        <n v="800001419"/>
        <n v="4001172"/>
        <s v="80.0000.0084"/>
        <s v="80.0001.1398"/>
        <n v="800002161"/>
        <n v="3602488"/>
        <n v="91302340"/>
        <n v="1202531"/>
        <n v="4002060"/>
        <n v="1586971"/>
        <n v="4002088"/>
        <n v="7025935"/>
        <s v="MPZ.106"/>
        <n v="800000478"/>
        <n v="800000209"/>
        <s v="80.0000.0088"/>
        <s v="80.0000.6805"/>
        <s v="MPZ.267"/>
        <n v="3604643"/>
        <n v="91011300"/>
        <n v="3603138"/>
        <s v="MPZ.299"/>
        <n v="4020127"/>
        <s v="80.0001.0289"/>
        <s v="MPZ.275"/>
        <s v="80.0001.1448"/>
        <s v="80.0001.0288"/>
        <n v="1202255"/>
        <s v="80.0000.8346"/>
        <n v="1202256"/>
        <n v="4000651"/>
        <n v="4000652"/>
        <n v="3604147"/>
        <n v="1202254"/>
        <s v="80.0000.9454"/>
        <s v="MPZ.365"/>
        <n v="1261068"/>
        <s v="80.0000.1025"/>
        <s v="80.0000.0578"/>
        <n v="4001422"/>
        <s v="80.0001.0624"/>
        <s v="80.0000.0629"/>
        <s v="80.0000.0636"/>
        <n v="3604402"/>
        <s v="80.0000.7110"/>
        <n v="3010073"/>
        <s v="80.0000.0112"/>
        <s v="80.0000.7925"/>
        <s v="MPZ.379"/>
        <s v="80.0000.0161"/>
        <n v="1261767"/>
        <s v="80.0000.8353"/>
        <s v="MPZ.380"/>
        <n v="800001741"/>
        <s v="80.0000.0160"/>
        <s v="80.0000.7965"/>
        <s v="80.0000.0540"/>
        <n v="800000677"/>
        <n v="3603233"/>
        <n v="1202602"/>
        <s v="80.0000.0080"/>
        <n v="1202242"/>
        <n v="1202383"/>
        <n v="800000378"/>
        <s v="80.0001.0516"/>
        <s v="A0000012517"/>
        <s v="80.0000.9470"/>
        <s v="80.0001.0010"/>
        <n v="3604521"/>
        <n v="3603869"/>
        <n v="3604269"/>
        <n v="4001237"/>
        <s v="MPZ.381"/>
        <n v="4001143"/>
        <n v="4001170"/>
        <n v="4001511"/>
        <n v="1261842"/>
        <n v="4001171"/>
        <s v="80.0001.0347"/>
        <s v="80.0001.0166"/>
        <n v="3603337"/>
        <n v="3603181"/>
        <s v="80.0000.1070"/>
        <s v="MPZ.082"/>
        <n v="4001310"/>
        <n v="4000687"/>
        <n v="4001168"/>
        <n v="1202782"/>
        <n v="4001360"/>
        <n v="1202663"/>
        <s v="MPZ.077"/>
        <n v="1261853"/>
        <n v="1262162"/>
        <s v="MPZ.305"/>
        <s v="MPZ.437"/>
        <n v="1202262"/>
        <s v="80.0000.0370"/>
        <s v="80.0000.0536"/>
        <n v="1202088"/>
        <s v="MPZ.160"/>
        <s v="MPZ.321"/>
        <n v="1202537"/>
        <s v="80.0001.0871"/>
        <n v="3604430"/>
        <s v="MPZ.420"/>
        <n v="1260506"/>
        <n v="1202681"/>
        <n v="3604501"/>
        <s v="A0000017240"/>
        <s v="80.0000.3997"/>
        <s v="80.0000.0271"/>
        <n v="1261751"/>
        <s v="80.0000.3998"/>
        <s v="MPZ.251"/>
        <s v="MPZ.425"/>
        <s v="80.0001.1594"/>
        <s v="80.0000.0621"/>
        <n v="1202028"/>
        <n v="4002057"/>
        <s v="MPZ.210"/>
        <n v="4002058"/>
        <n v="1202511"/>
        <n v="1202032"/>
        <s v="MPZ.358"/>
        <n v="800003670"/>
        <n v="1703505"/>
        <n v="3604725"/>
        <n v="800002227"/>
        <s v="80.0001.0136"/>
        <n v="3603099"/>
        <s v="80.0000.8270"/>
        <s v="80.0001.0307"/>
        <n v="3603468"/>
        <s v="80.0000.0378"/>
        <s v="80.0001.0586"/>
        <s v="80.0000.9968"/>
        <s v="80.0001.0254"/>
        <s v="80.0001.0128"/>
        <s v="80.0001.0784"/>
        <s v="80.0000.4003"/>
        <n v="3603202"/>
        <s v="80.0000.0070"/>
        <s v="80.0000.0544"/>
        <s v="80.0000.0155"/>
        <s v="80.0001.0151"/>
        <s v="80.0000.0481"/>
        <s v="80.0000.9677"/>
        <s v="80.0001.0133"/>
        <s v="80.0000.9436"/>
        <s v="80.0000.8613"/>
        <s v="80.0000.0132"/>
        <n v="3603064"/>
        <s v="80.0000.0685"/>
        <n v="4001570"/>
        <s v="80.0000.1012"/>
        <s v="80.0001.0290"/>
        <n v="800003723"/>
        <s v="80.0000.1020"/>
        <n v="3603231"/>
        <n v="800000048"/>
        <n v="1262123"/>
        <n v="4001703"/>
        <n v="800002200"/>
        <n v="1250353"/>
        <n v="4001778"/>
        <n v="1250326"/>
        <n v="1250258"/>
        <n v="1260550"/>
        <n v="1250324"/>
        <n v="1260560"/>
        <n v="1250363"/>
        <s v="80.0000.4020"/>
        <n v="3603268"/>
        <n v="4001284"/>
        <s v="80.0000.8296"/>
        <n v="1440060"/>
        <n v="4002109"/>
        <s v="80.0000.0164"/>
        <n v="4000689"/>
        <s v="MPG.281"/>
        <n v="4001190"/>
        <s v="A0000014139"/>
        <n v="1439104"/>
        <n v="1411142"/>
        <s v="80.0000.7924"/>
        <n v="1411717"/>
        <s v="MPS.718"/>
        <n v="4001806"/>
        <n v="4001847"/>
        <s v="80.0000.0109"/>
        <n v="1585508"/>
        <n v="1410047"/>
        <n v="1439102"/>
        <n v="3601495"/>
        <n v="4001324"/>
        <n v="4001779"/>
        <n v="4002553"/>
        <s v="MPG.219"/>
        <n v="4001548"/>
        <n v="1439123"/>
        <s v="EBB.9713"/>
        <s v="80.0000.6821"/>
        <n v="1202532"/>
        <n v="1202533"/>
        <s v="MPS.539"/>
        <s v="MPS.540"/>
        <s v="80.0001.0813"/>
        <s v="80.0001.2173"/>
        <n v="1317040"/>
        <s v="80.0000.8423"/>
        <s v="80.0001.0009"/>
        <n v="1348003"/>
        <n v="1439098"/>
        <n v="1439018"/>
        <n v="1439029"/>
        <n v="1439221"/>
        <n v="1361047"/>
        <n v="4001218"/>
        <n v="1260696"/>
        <n v="1360639"/>
        <n v="1202373"/>
        <n v="1202740"/>
        <s v="80.0000.0368"/>
        <n v="1301062"/>
        <n v="1360677"/>
        <s v="80.0000.8412"/>
        <s v="80.0000.7689"/>
        <s v="80.0001.0008"/>
        <n v="1360638"/>
        <n v="1328004"/>
        <n v="1328013"/>
        <n v="1328003"/>
        <n v="1328011"/>
        <n v="4001713"/>
        <n v="3601808"/>
        <n v="1324002"/>
        <s v="MPG.504"/>
        <n v="3603581"/>
        <n v="800004636"/>
        <n v="3604571"/>
        <n v="800000602"/>
        <n v="4020154"/>
        <n v="3604570"/>
        <n v="800001850"/>
        <s v="80.0000.0343"/>
        <s v="80.0000.0344"/>
        <s v="80.0000.0815"/>
        <n v="4001255"/>
        <n v="3603280"/>
        <s v="MPG.283"/>
        <n v="3603904"/>
        <n v="3603123"/>
        <n v="3602824"/>
        <n v="1360681"/>
        <s v="80.0000.8393"/>
        <n v="3604086"/>
        <n v="4020031"/>
        <n v="3603311"/>
        <n v="3603312"/>
        <s v="80.0001.0887"/>
        <s v="38430492-000"/>
        <n v="1585926"/>
        <n v="4001678"/>
        <n v="1361169"/>
        <n v="3603737"/>
        <n v="1326016"/>
        <n v="1001355"/>
        <s v="80.0000.8399"/>
        <s v="80.0001.0563"/>
        <n v="1361119"/>
        <n v="4001395"/>
        <s v="80.0001.2763"/>
        <n v="3603835"/>
        <n v="1360016"/>
        <s v="80.0000.0061"/>
        <n v="3603662"/>
        <s v="EBB.9665"/>
        <n v="1360867"/>
        <n v="3010232"/>
        <n v="2101158"/>
        <n v="3604391"/>
        <n v="3603002"/>
        <s v="80.0000.2039"/>
        <n v="3603775"/>
        <n v="3604276"/>
        <s v="MPZ.076"/>
        <s v="MPZ.422"/>
        <s v="MPZ.157"/>
        <s v="MPZ.421"/>
        <n v="3603968"/>
        <s v="MPG.177"/>
        <s v="80.0000.7841"/>
        <n v="3601332"/>
        <n v="1324016"/>
        <n v="1324013"/>
        <n v="2001682"/>
        <s v="80.0000.0262"/>
        <s v="80.0000.0263"/>
        <s v="80.0000.2804"/>
        <s v="80.0001.1579"/>
        <n v="800002183"/>
        <s v="80.0001.2138"/>
        <n v="800002763"/>
        <s v="80.0001.1580"/>
        <n v="800002156"/>
        <s v="80.0001.1581"/>
        <s v="80.0000.2800"/>
        <s v="80.0000.2801"/>
        <s v="80.0000.2803"/>
        <n v="1305306"/>
        <s v="80.0000.7532"/>
        <n v="3603414"/>
        <n v="2000728"/>
        <n v="1305206"/>
        <n v="3604065"/>
        <n v="3602648"/>
        <n v="3603143"/>
        <n v="1361154"/>
        <s v="80.0000.8732"/>
        <s v="80.0000.1053"/>
        <s v="655-611"/>
        <n v="4001756"/>
        <s v="80.0000.2984"/>
        <s v="80.0000.6109"/>
        <s v="80.0000.2983"/>
        <s v="80.0000.2985"/>
        <n v="4001752"/>
        <n v="4001753"/>
        <n v="1360747"/>
        <n v="1585325"/>
        <n v="1585326"/>
        <n v="800004717"/>
        <n v="1360746"/>
        <n v="1360755"/>
        <n v="800004718"/>
        <n v="1585573"/>
        <n v="1585323"/>
        <n v="3200189"/>
        <n v="1360754"/>
        <n v="800004719"/>
        <n v="3602618"/>
        <n v="3602619"/>
        <s v="80.0001.1445"/>
        <s v="A0000015328"/>
        <n v="1304152"/>
        <n v="3601801"/>
        <n v="3601335"/>
        <n v="1360412"/>
        <n v="1130606"/>
        <n v="1504822"/>
        <n v="1504718"/>
        <s v="A0000017156"/>
        <s v="MPS.1043"/>
        <s v="80.0000.1812"/>
        <n v="2001662"/>
        <n v="3602450"/>
        <n v="3603694"/>
        <n v="1305155"/>
        <s v="80.0000.0110"/>
        <n v="91009940"/>
        <n v="1361150"/>
        <n v="3603612"/>
        <n v="3602623"/>
        <s v="80.0001.0003"/>
        <s v="80.0000.1813"/>
        <s v="80.0000.9309"/>
        <s v="80.0000.6016"/>
        <n v="4001357"/>
        <s v="80.0001.1125"/>
        <s v="80.0001.1137"/>
        <n v="4001655"/>
        <s v="80.0000.6056"/>
        <n v="1586552"/>
        <n v="3601329"/>
        <n v="1305171"/>
        <s v="A0000016196"/>
        <n v="3604343"/>
        <s v="80.0000.0351"/>
        <s v="MPS.3075"/>
        <s v="MPS.3137"/>
        <n v="1305204"/>
        <n v="4000627"/>
        <s v="MPS.3077"/>
        <s v="MPS.3079"/>
        <s v="A0000016197"/>
        <n v="4001332"/>
        <s v="MPS.826"/>
        <n v="1305203"/>
        <s v="80.0001.0304"/>
        <n v="800000253"/>
        <n v="3601313"/>
        <n v="3604307"/>
        <s v="655-530"/>
        <n v="3601888"/>
        <n v="3602210"/>
        <s v="A0000016211"/>
        <s v="A0000016201"/>
        <s v="A0000016203"/>
        <n v="1305190"/>
        <n v="3604488"/>
        <s v="80.0000.9306"/>
        <s v="MPS.3082"/>
        <n v="3604344"/>
        <n v="3604480"/>
        <n v="3603300"/>
        <n v="1131347"/>
        <s v="80.0001.2108"/>
        <n v="4001108"/>
        <n v="3601364"/>
        <n v="3604284"/>
        <n v="3603600"/>
        <n v="800002708"/>
        <s v="MPS.580"/>
        <s v="80.0000.6058"/>
        <n v="1361015"/>
        <n v="4001751"/>
        <s v="80.0001.2213"/>
        <s v="80.0001.0967"/>
        <n v="1361153"/>
        <s v="80.0001.0123"/>
        <s v="80.0001.0144"/>
        <s v="80.0001.0014"/>
        <s v="80.0000.1042"/>
        <s v="MPS.788"/>
        <n v="3604155"/>
        <s v="80.0000.0733"/>
        <n v="800001868"/>
        <n v="3601877"/>
        <n v="3602783"/>
        <n v="4000964"/>
        <n v="1361140"/>
        <n v="3603794"/>
        <n v="3601835"/>
        <n v="3601240"/>
        <n v="800000276"/>
        <n v="3604350"/>
        <n v="3601237"/>
        <n v="3601520"/>
        <s v="80.0000.0501"/>
        <n v="4020049"/>
        <n v="3603793"/>
        <s v="80.0000.7691"/>
        <s v="80.0000.0059"/>
        <s v="MPS.655"/>
        <s v="MPS.3095"/>
        <s v="MPS.3096"/>
        <s v="80.0001.0140"/>
        <s v="MPS.3148"/>
        <n v="1305208"/>
        <s v="80.0000.8402"/>
        <s v="A0000016233"/>
        <s v="MPS.1009"/>
        <n v="800003268"/>
        <s v="MPS.3097"/>
        <s v="80.0000.1055"/>
        <s v="MPS.827"/>
        <n v="1305207"/>
        <s v="80.0001.1318"/>
        <n v="800003313"/>
        <n v="3604486"/>
        <n v="3602664"/>
        <n v="3601971"/>
        <n v="3601397"/>
        <s v="80.0000.8401"/>
        <n v="1305223"/>
        <s v="80.0001.1543"/>
        <s v="A0000016086"/>
        <s v="MPS.3169"/>
        <n v="800000984"/>
        <n v="3603852"/>
        <n v="800000985"/>
        <n v="3602031"/>
        <n v="3603812"/>
        <n v="3603395"/>
        <s v="80.0001.1124"/>
        <s v="A0000016239"/>
        <n v="4000816"/>
        <s v="A0000016240"/>
        <n v="3603396"/>
        <s v="80.0000.2182"/>
        <n v="3604485"/>
        <s v="A0000017286"/>
        <n v="3604481"/>
        <n v="3601500"/>
        <s v="MPS.3151"/>
        <s v="80.0001.2243"/>
        <n v="3604317"/>
        <n v="3602209"/>
        <s v="80.0000.6057"/>
        <n v="4002459"/>
        <s v="80.0001.0416"/>
        <s v="80.0000.0116"/>
        <s v="80.0001.0013"/>
        <n v="3603232"/>
        <s v="80.0000.8749"/>
        <n v="3603469"/>
        <s v="A0000016617"/>
        <s v="80.0000.1900"/>
        <n v="1361123"/>
        <n v="1305237"/>
        <n v="800001623"/>
        <s v="80.0000.0496"/>
        <n v="1360133"/>
        <n v="3603927"/>
        <s v="80.0001.2111"/>
        <s v="80.0000.6345"/>
        <s v="80.0001.2110"/>
        <s v="80.0000.7508"/>
        <n v="3602032"/>
        <s v="A0000014902"/>
        <s v="80.0001.1566"/>
        <n v="7025554"/>
        <s v="80.0001.0124"/>
        <n v="3604363"/>
        <n v="1360702"/>
        <s v="A0000017085"/>
        <s v="A0000016216"/>
        <s v="A0000016446"/>
        <n v="3601346"/>
        <s v="A0000015331"/>
        <s v="A0000016218"/>
        <s v="80.0001.1452"/>
        <s v="80.0001.0126"/>
        <n v="1305165"/>
        <n v="1305184"/>
        <s v="MPS.3053"/>
        <n v="1360319"/>
        <n v="1120204"/>
        <n v="1305157"/>
        <n v="1504497"/>
        <n v="1305138"/>
        <n v="3603606"/>
        <n v="1360320"/>
        <s v="A0000015322"/>
        <n v="3604172"/>
        <n v="1305166"/>
        <n v="2001770"/>
        <n v="1305219"/>
        <s v="80.0000.8702"/>
        <n v="1305159"/>
        <n v="800001168"/>
        <n v="800001169"/>
        <n v="3603988"/>
        <n v="1361144"/>
        <n v="3604622"/>
        <n v="4000570"/>
        <s v="A0000016219"/>
        <s v="MPS.659"/>
        <n v="3603607"/>
        <s v="MPS.1065"/>
        <s v="A0000015982"/>
        <s v="MPS.1061"/>
        <n v="3603939"/>
        <n v="3603520"/>
        <n v="3601243"/>
        <n v="3602768"/>
        <n v="3602194"/>
        <n v="1135624"/>
        <n v="3603531"/>
        <n v="3604455"/>
        <n v="1585950"/>
        <n v="3601345"/>
        <s v="A0000015983"/>
        <n v="4001216"/>
        <s v="80.0000.0829"/>
        <s v="80.0001.2695"/>
        <s v="80.0001.1110"/>
        <s v="80.0001.1523"/>
        <s v="80.0000.6028"/>
        <n v="4002652"/>
        <n v="3601572"/>
        <s v="A0000016126"/>
        <n v="3603142"/>
        <n v="1410826"/>
        <n v="800003630"/>
        <n v="1305215"/>
        <s v="MPS.3158"/>
        <n v="3603749"/>
        <n v="3603465"/>
        <n v="3601514"/>
        <n v="3602843"/>
        <n v="3602748"/>
        <n v="1305123"/>
        <n v="3603853"/>
        <n v="3604612"/>
        <n v="3604489"/>
        <n v="3604195"/>
        <n v="3603989"/>
        <s v="80.0001.0179"/>
        <s v="80.0001.0208"/>
        <s v="80.0000.2032"/>
        <s v="MPS.3016"/>
        <n v="800003301"/>
        <n v="1305133"/>
        <s v="80.0000.0500"/>
        <s v="80.0000.6015"/>
        <s v="80.0000.7504"/>
        <s v="80.0001.2109"/>
        <s v="80.0000.0192"/>
        <n v="3603675"/>
        <n v="3604301"/>
        <s v="80.0001.1301"/>
        <s v="80.0000.8703"/>
        <n v="3603877"/>
        <s v="80.0000.0503"/>
        <n v="4001224"/>
        <n v="1305211"/>
        <s v="A0000014747"/>
        <n v="3603666"/>
        <n v="800001846"/>
        <n v="1305213"/>
        <n v="1586140"/>
        <s v="80.0000.0744"/>
        <s v="80.0000.2181"/>
        <n v="800003154"/>
        <s v="A0000016139"/>
        <n v="3604345"/>
        <n v="1305181"/>
        <s v="80.0000.3611"/>
        <n v="4002070"/>
        <n v="800003629"/>
        <n v="3603399"/>
        <s v="80.0001.1444"/>
        <n v="3604318"/>
        <n v="3603419"/>
        <n v="3604181"/>
        <s v="80.0000.1977"/>
        <s v="80.0000.7505"/>
        <n v="800002810"/>
        <s v="80.0000.9991"/>
        <n v="800003176"/>
        <n v="800003177"/>
        <s v="80.0000.2037"/>
        <n v="800001381"/>
        <s v="MPS.1017"/>
        <n v="800001379"/>
        <n v="800001380"/>
        <s v="80.0001.1981"/>
        <s v="80.0001.1635"/>
        <s v="80.0001.1578"/>
        <n v="800001960"/>
        <s v="80.0001.1602"/>
        <s v="80.0001.1571"/>
        <s v="80.0000.0688"/>
        <n v="800001888"/>
        <n v="3604503"/>
        <s v="80.0001.1538"/>
        <n v="800002843"/>
        <s v="80.0001.1947"/>
        <n v="3601287"/>
        <s v="A0000014424"/>
        <s v="80.0000.8403"/>
        <n v="3601958"/>
        <s v="A0000015324"/>
        <n v="3601569"/>
        <n v="3603992"/>
        <n v="3601244"/>
        <s v="A0000016107"/>
        <n v="3601342"/>
        <s v="A0000012611"/>
        <n v="3601527"/>
        <s v="A0000015985"/>
        <n v="1305134"/>
        <s v="80.0000.7502"/>
        <s v="MPS.588"/>
        <n v="1305196"/>
        <n v="3603011"/>
        <s v="MPS.543"/>
        <n v="1305199"/>
        <s v="80.0001.0905"/>
        <s v="80.0001.1634"/>
        <s v="80.0001.1435"/>
        <n v="4000967"/>
        <s v="80.0000.2168"/>
        <s v="80.0000.1034"/>
        <s v="80.0001.0195"/>
        <n v="1361168"/>
        <n v="1702278"/>
        <n v="1585334"/>
        <s v="80.0000.1023"/>
        <s v="80.0000.0348"/>
        <s v="MPS.429"/>
        <s v="MPS.461"/>
        <n v="3603454"/>
        <s v="80.0001.0196"/>
        <s v="80.0001.0187"/>
        <n v="3602060"/>
        <s v="80.0000.1897"/>
        <s v="80.0000.1815"/>
        <s v="80.0000.9662"/>
        <s v="80.0001.1405"/>
        <n v="1360166"/>
        <s v="MPS.1734"/>
        <s v="80.0000.2965"/>
        <n v="1361156"/>
        <s v="MPZ.229"/>
        <n v="4001817"/>
        <s v="80.0001.0919"/>
        <n v="4001367"/>
        <s v="80.0000.9439"/>
        <s v="80.0001.1546"/>
        <s v="80.0001.0968"/>
        <n v="91300870"/>
        <n v="4001550"/>
        <n v="800004258"/>
        <n v="1262075"/>
        <n v="4001549"/>
        <n v="1260617"/>
        <n v="4001547"/>
        <n v="1262143"/>
        <s v="MPZ.361"/>
        <s v="MPZ.3611"/>
        <n v="1262087"/>
        <n v="4001551"/>
        <n v="4001359"/>
        <n v="4001552"/>
        <n v="1260654"/>
        <n v="4001188"/>
        <n v="800002341"/>
        <n v="4001336"/>
        <s v="80.0000.8730"/>
        <n v="1360663"/>
        <n v="1360181"/>
        <n v="800002696"/>
        <n v="1260311"/>
        <n v="800004123"/>
        <n v="1360748"/>
        <n v="7025960"/>
        <n v="1260549"/>
        <s v="MPZ.424"/>
        <n v="4001635"/>
        <n v="1262110"/>
        <n v="1586058"/>
        <n v="3604293"/>
        <n v="1202795"/>
        <s v="80.0001.1035"/>
        <n v="4002552"/>
        <n v="1585509"/>
        <n v="800002823"/>
        <n v="1900204"/>
        <n v="91303510"/>
        <s v="80.0001.0695"/>
        <s v="80.0000.8354"/>
        <s v="80.0001.0594"/>
        <s v="80.0001.0176"/>
        <n v="3601922"/>
        <n v="800001891"/>
        <n v="91303060"/>
        <n v="1586970"/>
        <n v="1210004"/>
        <n v="1210005"/>
        <s v="80.0000.8292"/>
        <s v="80.0000.8294"/>
        <s v="80.0000.8293"/>
        <s v="80.0000.8295"/>
        <n v="7025654"/>
        <n v="1127407"/>
        <n v="1127209"/>
        <n v="3602731"/>
        <n v="1127410"/>
        <n v="1127403"/>
        <n v="1127404"/>
        <n v="1261970"/>
        <s v="80.0001.0520"/>
        <s v="80.0000.8290"/>
        <n v="1127405"/>
        <n v="1127406"/>
        <s v="80.0000.8291"/>
        <n v="1586803"/>
        <n v="1127349"/>
        <n v="1127363"/>
        <n v="1127420"/>
        <n v="1127421"/>
        <n v="1127433"/>
        <n v="1127429"/>
        <n v="1127424"/>
        <n v="1130399"/>
        <n v="1360005"/>
        <s v="MPZ.362"/>
        <s v="80.0000.8466"/>
        <n v="4001267"/>
        <n v="4001173"/>
        <n v="3602574"/>
        <n v="3601809"/>
        <s v="A0000014016"/>
        <n v="3603130"/>
        <n v="3603756"/>
        <n v="3603131"/>
        <n v="3603745"/>
        <n v="3603132"/>
        <n v="4001780"/>
        <n v="3602936"/>
        <n v="3602866"/>
        <n v="3602306"/>
        <n v="3603815"/>
        <n v="3602776"/>
        <n v="3604002"/>
        <n v="3602430"/>
        <n v="3200184"/>
        <n v="2000952"/>
        <n v="3200039"/>
        <n v="3200162"/>
        <n v="3200190"/>
        <n v="3603101"/>
        <n v="91001180"/>
        <s v="68738988-000"/>
        <s v="68739226-000"/>
        <n v="1504708"/>
        <s v="EK.9959"/>
        <s v="80.0000.8398"/>
        <n v="4001069"/>
        <n v="1360614"/>
        <s v="80.0001.1644"/>
        <s v="80.0000.8591"/>
        <s v="80.0001.2040"/>
        <s v="80.0000.2121"/>
        <n v="1584901"/>
        <n v="800003628"/>
        <n v="800001367"/>
        <n v="4001692"/>
        <n v="3010080"/>
        <n v="1585317"/>
        <n v="4001147"/>
        <n v="1411277"/>
        <n v="1410960"/>
        <n v="800002513"/>
        <s v="80.0000.0844"/>
        <n v="1584965"/>
        <n v="1584964"/>
        <s v="PK10.01.00.03"/>
        <s v="PK10.43.00.03"/>
        <n v="800003900"/>
        <n v="4020155"/>
        <n v="4001125"/>
        <n v="4001126"/>
        <s v="MPG.529"/>
        <s v="MPG.541"/>
        <s v="MPZ.212"/>
        <s v="80.0000.0409"/>
        <s v="80.0001.2410"/>
        <n v="1581591"/>
        <n v="1586375"/>
        <n v="3603009"/>
        <n v="800002798"/>
        <s v="80.0001.2411"/>
        <n v="1586376"/>
        <n v="1582366"/>
        <n v="1581589"/>
        <s v="MFG.075"/>
        <s v="MFG.077"/>
        <n v="7025918"/>
        <n v="1131465"/>
        <n v="1210205"/>
        <s v="MFG.084"/>
        <s v="MFG.074"/>
        <s v="MFG.085"/>
        <n v="800001784"/>
        <n v="3603704"/>
        <n v="1361143"/>
        <n v="2002226"/>
        <n v="1800579"/>
        <n v="1800525"/>
        <n v="1800589"/>
        <n v="1800527"/>
        <n v="4102405"/>
        <n v="1361142"/>
        <n v="1361125"/>
        <s v="80.0000.0759"/>
        <s v="80.0000.8505"/>
        <n v="1502230"/>
        <n v="1800567"/>
        <n v="3603705"/>
        <s v="80.0001.0533"/>
        <n v="4001693"/>
        <n v="4000665"/>
        <n v="1584225"/>
        <n v="1584224"/>
        <s v="80.0001.0886"/>
        <n v="1301204"/>
        <n v="1301205"/>
        <n v="1301206"/>
        <n v="1301207"/>
        <n v="1302058"/>
        <n v="1360003"/>
        <s v="80.0000.7518"/>
        <s v="80.0000.8724"/>
        <n v="4001164"/>
        <n v="3604243"/>
        <n v="1360297"/>
        <n v="1360696"/>
        <n v="4001050"/>
        <n v="4001777"/>
        <n v="1301250"/>
        <n v="1301254"/>
        <n v="1301263"/>
        <n v="4001040"/>
        <s v="A0000017022"/>
        <n v="1360387"/>
        <n v="1304070"/>
        <n v="1301258"/>
        <n v="1301259"/>
        <n v="4001304"/>
        <n v="1304078"/>
        <n v="1304080"/>
        <n v="1304081"/>
        <n v="1585146"/>
        <n v="1348029"/>
        <s v="MPV.283"/>
        <s v="80.0001.0236"/>
        <n v="4001163"/>
        <n v="1503883"/>
        <n v="1503884"/>
        <n v="1503716"/>
        <n v="1800647"/>
        <n v="1800496"/>
        <n v="4001165"/>
        <n v="4001653"/>
        <n v="1304067"/>
        <s v="MPV.282"/>
        <s v="80.0001.1595"/>
        <n v="1800541"/>
        <n v="1304068"/>
        <n v="2001974"/>
        <s v="MPV.501"/>
        <n v="1800605"/>
        <n v="1360923"/>
        <n v="800003898"/>
        <n v="800003899"/>
        <n v="4001263"/>
        <n v="1301249"/>
        <n v="1301256"/>
        <n v="1301202"/>
        <n v="1301203"/>
        <n v="1304056"/>
        <n v="1301200"/>
        <s v="80.0001.0865"/>
        <n v="1304076"/>
        <n v="4001776"/>
        <n v="1304077"/>
        <s v="80.0001.1084"/>
        <n v="1800554"/>
        <s v="MPV.575"/>
        <s v="80.0000.2805"/>
        <s v="80.0001.1640"/>
        <n v="1361012"/>
        <n v="4001506"/>
        <s v="MPS.521"/>
        <s v="MPS.986"/>
        <s v="MPS.681"/>
        <n v="4002170"/>
        <n v="4002455"/>
        <n v="4002055"/>
        <n v="3604720"/>
        <s v="80.0000.6352"/>
        <n v="3010148"/>
        <s v="80.0000.7215"/>
        <n v="1504395"/>
        <s v="80.0001.1972"/>
        <n v="1360869"/>
        <n v="1260659"/>
        <s v="80.0000.0118"/>
        <s v="80.0000.7162"/>
        <n v="1502082"/>
        <n v="1502125"/>
        <n v="1502081"/>
        <n v="1502064"/>
        <n v="1502277"/>
        <n v="3010194"/>
        <n v="3603632"/>
        <n v="1502083"/>
        <s v="80.0000.1417"/>
        <n v="1411285"/>
        <s v="MPG.436"/>
        <n v="1503293"/>
        <s v="80.0001.2237"/>
        <n v="1586425"/>
        <n v="1502425"/>
        <n v="1503741"/>
        <n v="1350006"/>
        <n v="1360159"/>
        <s v="A0000016978"/>
        <s v="A0000017138"/>
        <n v="3603401"/>
        <s v="A0000015325"/>
        <n v="1503596"/>
        <n v="1504100"/>
        <s v="80.0000.6063"/>
        <n v="1504095"/>
        <s v="80.0000.7529"/>
        <n v="1504397"/>
        <s v="68710425-000"/>
        <n v="1503888"/>
        <n v="1503885"/>
        <s v="80.0000.7530"/>
        <n v="1503887"/>
        <n v="1503886"/>
        <s v="68702869-000"/>
        <s v="MPS.4006"/>
        <s v="MPS.4008"/>
        <n v="1800382"/>
        <n v="3602680"/>
        <n v="1800379"/>
        <s v="MPV.595"/>
        <n v="800003134"/>
        <n v="3604083"/>
        <s v="80.0001.0850"/>
        <s v="80.0001.0764"/>
        <n v="800003256"/>
        <s v="80.0001.1521"/>
        <n v="800001314"/>
        <s v="80.0001.2041"/>
        <n v="4020137"/>
        <n v="1800642"/>
        <n v="1800555"/>
        <n v="4001256"/>
        <n v="1800599"/>
        <n v="1304154"/>
        <s v="80.0000.6999"/>
        <n v="800004638"/>
        <n v="2000621"/>
        <s v="68745348-000"/>
        <n v="1301081"/>
        <s v="MPV.227"/>
        <s v="MPV.197"/>
        <n v="1301093"/>
        <n v="4002349"/>
        <s v="ES.0806"/>
        <n v="3601357"/>
        <n v="3010147"/>
        <n v="3010167"/>
        <n v="3010154"/>
        <n v="800002921"/>
        <n v="800001315"/>
        <n v="200923"/>
        <s v="80.0000.0700"/>
        <n v="1800621"/>
        <n v="1360704"/>
        <n v="1586700"/>
        <s v="80.0000.0701"/>
        <s v="80.0000.2829"/>
        <s v="80.0000.0356"/>
        <s v="80.0000.0539"/>
        <s v="80.0000.1253"/>
        <s v="80.0000.0537"/>
        <s v="80.0001.1093"/>
        <s v="80.0001.0902"/>
        <s v="80.0001.1094"/>
        <s v="80.0001.0137"/>
        <s v="80.0001.0132"/>
        <s v="80.0001.0582"/>
        <s v="80.0001.0822"/>
        <s v="80.0001.1066"/>
        <s v="80.0000.9448"/>
        <s v="80.0001.1257"/>
        <s v="80.0001.1259"/>
        <s v="80.0001.1258"/>
        <s v="80.0000.7840"/>
        <n v="1800553"/>
        <n v="1800670"/>
        <s v="80.0000.1041"/>
        <n v="1587028"/>
        <n v="1360617"/>
        <n v="800001329"/>
        <n v="1361104"/>
        <n v="1361113"/>
        <s v="80.0000.1054"/>
        <n v="2002149"/>
        <n v="800000992"/>
        <n v="800000399"/>
        <n v="1800671"/>
        <n v="1800631"/>
        <s v="650-413"/>
        <n v="1800626"/>
        <n v="800000069"/>
        <n v="1800623"/>
        <n v="1800524"/>
        <n v="1800538"/>
        <n v="4002316"/>
        <n v="800000327"/>
        <n v="800002090"/>
        <n v="1800634"/>
        <n v="3604150"/>
        <n v="1800614"/>
        <n v="800004212"/>
        <n v="800000991"/>
        <n v="1800606"/>
        <n v="1800604"/>
        <s v="80.0001.0964"/>
        <n v="1800588"/>
        <s v="80.0001.0174"/>
        <s v="80.0000.0355"/>
        <n v="4020046"/>
        <n v="800000693"/>
        <s v="MPV.596"/>
        <n v="3604169"/>
        <n v="3604292"/>
        <n v="3603038"/>
        <n v="3603262"/>
        <n v="3604173"/>
        <n v="2101296"/>
        <n v="3604721"/>
        <n v="4001269"/>
        <n v="1361105"/>
        <n v="1361114"/>
        <s v="80.0000.4111"/>
        <s v="80.0000.4107"/>
        <s v="80.0000.8305"/>
        <s v="80.0000.4100"/>
        <s v="80.0000.4119"/>
        <s v="MPV.331"/>
        <s v="80.0000.4113"/>
        <s v="80.0000.4109"/>
        <s v="80.0000.4103"/>
        <s v="80.0000.4104"/>
        <s v="80.0000.4102"/>
        <s v="80.0000.4112"/>
        <s v="80.0000.4101"/>
        <n v="3604267"/>
        <n v="3604406"/>
        <n v="3602759"/>
        <s v="A0000014022"/>
        <s v="80.0001.1245"/>
        <s v="80.0001.0975"/>
        <s v="80.0001.0994"/>
        <n v="3602760"/>
        <s v="MPV.308"/>
        <n v="3602761"/>
        <s v="80.0001.1921"/>
        <n v="2002234"/>
        <n v="1361103"/>
        <n v="800000705"/>
        <s v="650-433"/>
        <s v="80.0000.2657"/>
        <n v="1361120"/>
        <n v="1800639"/>
        <n v="1301014"/>
        <n v="1301015"/>
        <n v="1301052"/>
        <n v="1301107"/>
        <n v="1348011"/>
        <n v="800004642"/>
        <n v="800004643"/>
        <n v="1325015"/>
        <n v="1325030"/>
        <n v="1325009"/>
        <n v="4100887"/>
        <n v="1360022"/>
        <n v="3603293"/>
        <s v="MPS.851"/>
        <s v="MPS.8631"/>
        <n v="1260511"/>
        <n v="1361040"/>
        <n v="1360608"/>
        <n v="4002140"/>
        <n v="3603281"/>
        <n v="4002535"/>
        <n v="3010196"/>
        <n v="800001662"/>
        <n v="1262129"/>
        <n v="1586421"/>
        <s v="80.0000.2287"/>
        <s v="80.0001.0372"/>
        <n v="800002646"/>
        <s v="80.0001.0607"/>
        <s v="80.0001.2633"/>
        <n v="800004339"/>
        <s v="80.0001.1278"/>
        <n v="4001501"/>
        <n v="1586302"/>
        <s v="80.0000.3992"/>
        <n v="1586975"/>
        <s v="80.0001.2009"/>
        <n v="1586463"/>
        <n v="800001665"/>
        <s v="80.0001.1606"/>
        <n v="1360739"/>
        <n v="800004099"/>
        <n v="1361163"/>
        <s v="80.0001.2183"/>
        <s v="68731421-000"/>
        <s v="68751205-000"/>
        <n v="3601531"/>
        <n v="3601532"/>
        <n v="3601533"/>
        <n v="3601534"/>
        <s v="MFR.366"/>
        <n v="4001572"/>
        <n v="1585534"/>
        <n v="3603120"/>
        <n v="3603121"/>
        <n v="3603122"/>
        <n v="3603110"/>
        <n v="3601536"/>
        <n v="3603136"/>
        <n v="2001562"/>
        <s v="80.0001.2421"/>
        <n v="1402850"/>
        <n v="1586839"/>
        <s v="80.0000.1238"/>
        <s v="80.0001.0006"/>
        <s v="80.0000.2046"/>
        <n v="1585275"/>
        <s v="68731546-000"/>
        <s v="80.0001.2409"/>
        <n v="4001595"/>
        <s v="80.0001.0414"/>
        <n v="4000457"/>
      </sharedItems>
    </cacheField>
    <cacheField name="Description" numFmtId="0">
      <sharedItems/>
    </cacheField>
    <cacheField name="Supplier" numFmtId="0">
      <sharedItems/>
    </cacheField>
    <cacheField name="MPN" numFmtId="0">
      <sharedItems containsMixedTypes="1" containsNumber="1" minValue="556.34" maxValue="41320030045"/>
    </cacheField>
    <cacheField name="Currency" numFmtId="0">
      <sharedItems/>
    </cacheField>
    <cacheField name="Purchasing Price " numFmtId="169">
      <sharedItems containsSemiMixedTypes="0" containsString="0" containsNumber="1" minValue="1.1000000000000001E-2" maxValue="8466.69"/>
    </cacheField>
    <cacheField name="Unit" numFmtId="0">
      <sharedItems/>
    </cacheField>
    <cacheField name="MOQ" numFmtId="0">
      <sharedItems containsMixedTypes="1" containsNumber="1" containsInteger="1" minValue="1" maxValue="5000"/>
    </cacheField>
    <cacheField name="Markup Percentage" numFmtId="9">
      <sharedItems containsSemiMixedTypes="0" containsString="0" containsNumber="1" minValue="0.06" maxValue="0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6">
  <r>
    <x v="0"/>
    <s v="SLEEVE,BLACK,1/2"/>
    <s v="Allied Inventory Systems"/>
    <s v="HIX 1/2 "/>
    <s v="USD "/>
    <n v="0.75"/>
    <s v="ft"/>
    <n v="100"/>
    <n v="0.1"/>
  </r>
  <r>
    <x v="1"/>
    <s v="SLEEVE,BLACK,3/16"/>
    <s v="MOUSER ELECTRONICS"/>
    <s v="FP301-3/16 BLK_x000a_HIX-3/16 BLK_x000a_SUMITUBE B2 3/16 BLK"/>
    <s v="MYR"/>
    <n v="3.55"/>
    <s v="ft"/>
    <s v="100_x000a_"/>
    <n v="0.06"/>
  </r>
  <r>
    <x v="2"/>
    <s v="RUNNER BLOCK SNS,SIZE15"/>
    <s v="LOTUS CITY BEARINGS (M) SDN BHD (BOSCH REXROTH AS TO REFER LOTUS CITY BEARING )"/>
    <s v="R1622-193-20"/>
    <s v="MYR"/>
    <n v="405"/>
    <s v="ea"/>
    <n v="1"/>
    <n v="0.06"/>
  </r>
  <r>
    <x v="3"/>
    <s v="RUNNER BLOCK,MINI,SIZE 9-M3"/>
    <s v="Allied Inventory Systems"/>
    <s v="0442-893-01"/>
    <s v="USD "/>
    <n v="106.87"/>
    <s v="ea"/>
    <n v="1"/>
    <n v="0.1"/>
  </r>
  <r>
    <x v="4"/>
    <s v="RUNNER BLOCK,SIZE 9,LT PRELOAD"/>
    <s v="AMP TECH AUTOMATION "/>
    <s v="ML9C1T1HS2"/>
    <s v="MYR"/>
    <n v="130"/>
    <s v="ea"/>
    <n v="1"/>
    <n v="0.06"/>
  </r>
  <r>
    <x v="5"/>
    <s v="FUSE 5X20MM 1A QUICK BLOW"/>
    <s v="Prodata Electronics (S) Pte Ltd"/>
    <s v="-"/>
    <s v="SGD"/>
    <n v="0.5"/>
    <s v="ea"/>
    <n v="1"/>
    <n v="0.1"/>
  </r>
  <r>
    <x v="6"/>
    <s v="WIRE-PVC    STRAND 22 AWG BLK           590054"/>
    <s v="ELEMENT 14"/>
    <s v="WIRE-PVC    STRAND 22 AWG BLK           590054"/>
    <s v="MYR"/>
    <n v="1.05"/>
    <s v="ft"/>
    <n v="100"/>
    <n v="0.06"/>
  </r>
  <r>
    <x v="7"/>
    <s v="TERM-RING      NO INS  # 6 22-18 GA"/>
    <s v="MOUSER ELECTRONICS"/>
    <s v="4801_x000a_34107"/>
    <s v="MYR"/>
    <n v="1.35"/>
    <s v="ea"/>
    <n v="1"/>
    <n v="0.06"/>
  </r>
  <r>
    <x v="8"/>
    <s v="SCREW-CAP SKT HD      10-32   .375 SST  590018"/>
    <s v="MISUMI"/>
    <s v="SCREW-CAP SKT HD      10-32   .375 SST  590018"/>
    <s v="MYR"/>
    <n v="9.5500000000000007"/>
    <s v="ea"/>
    <n v="1"/>
    <n v="0.06"/>
  </r>
  <r>
    <x v="9"/>
    <s v="TERMINAL-SOLDERLESS RING TONGUE #06"/>
    <s v="MOUSER ELECTRONICS"/>
    <s v="C-836-06X_x000a_35149"/>
    <s v="MYR"/>
    <n v="3.74"/>
    <s v="ea"/>
    <n v="1"/>
    <n v="0.06"/>
  </r>
  <r>
    <x v="10"/>
    <s v="TIE-CABLE 2.0 DIA"/>
    <s v="MOUSER ELECTRONICS"/>
    <s v="08377_x000a_8377_x000a_PLT2I"/>
    <s v="MYR"/>
    <n v="0.65400000000000003"/>
    <s v="ea"/>
    <n v="1"/>
    <n v="0.06"/>
  </r>
  <r>
    <x v="11"/>
    <s v="TERMINAL-SOLDERLESS RING TONG"/>
    <s v="MOUSER ELECTRONICS"/>
    <n v="320553"/>
    <s v="USD "/>
    <n v="0.46"/>
    <s v="ea"/>
    <n v="1"/>
    <n v="0.1"/>
  </r>
  <r>
    <x v="12"/>
    <s v="WIRE-TEF     26AWG WHT"/>
    <s v="BELDEN"/>
    <s v="83002 SPECIFY COLOR_x000a_1100-43 SPECIFY COLOR"/>
    <s v="MYR"/>
    <n v="8.6300000000000008"/>
    <s v="m"/>
    <n v="1535"/>
    <n v="0.06"/>
  </r>
  <r>
    <x v="13"/>
    <s v="WIRE-TEFLON     22AWG WHT"/>
    <s v="BELDEN"/>
    <s v="E22 7 9_x000a_83005-9_x000a_1100-65-9_x000a_M16878/4-BFB-ST0010-9B"/>
    <s v="MYR"/>
    <n v="13.6"/>
    <s v="m"/>
    <n v="305"/>
    <n v="0.06"/>
  </r>
  <r>
    <x v="14"/>
    <s v="CONTACT PIN   D-SUBMIN"/>
    <s v="MOUSER ELECTRONICS"/>
    <s v="D110238-234_x000a_D110238-34_x000a_030-1960-005"/>
    <s v="MYR"/>
    <n v="2.15"/>
    <s v="ea"/>
    <n v="1"/>
    <n v="0.06"/>
  </r>
  <r>
    <x v="15"/>
    <s v="ADHESIVE-THREAD LOCKING LOW-STRENGTH #222"/>
    <s v="KVC INDUSTRIAL SUPPLIES"/>
    <n v="22231"/>
    <s v="MYR"/>
    <n v="75.099999999999994"/>
    <s v="ea"/>
    <n v="1"/>
    <n v="0.06"/>
  </r>
  <r>
    <x v="16"/>
    <s v="ADHESIVE-RETAINING COMPOUND USE WITH 502984"/>
    <s v="KVC INDUSTRIAL SUPPLIES"/>
    <s v="620-40"/>
    <s v="MYR"/>
    <n v="122"/>
    <s v="Tin"/>
    <n v="1"/>
    <n v="0.06"/>
  </r>
  <r>
    <x v="17"/>
    <s v="LABEL-BLANK-POLYESTER .75 X.25 ADHES BACK"/>
    <s v="DIGI KEY ELECTRONICS"/>
    <s v="THT-1-351-10"/>
    <s v="MYR"/>
    <n v="1.74"/>
    <s v="ea"/>
    <n v="1000"/>
    <n v="0.06"/>
  </r>
  <r>
    <x v="18"/>
    <s v="SCREW-BTNHD HEXSKT     6-32   .375 STL  590029"/>
    <s v="ADVANCE BOLTS (MELAKA) S/B"/>
    <s v="OFFER S/S 304 BUTTON CAP SCREWS UNC  #6-32 X 3/8"/>
    <s v="MYR"/>
    <n v="0.18"/>
    <s v="ea"/>
    <n v="100"/>
    <n v="0.06"/>
  </r>
  <r>
    <x v="19"/>
    <s v="*SC* CONT-PIN  M  C/P   24-20 AWG"/>
    <s v="MOUSER ELECTRONICS"/>
    <s v="66103-1_x000a_66103-4"/>
    <s v="USD "/>
    <n v="1.49"/>
    <s v="ea"/>
    <n v="1"/>
    <n v="0.1"/>
  </r>
  <r>
    <x v="20"/>
    <s v="CABLE-TWISTED  PVC    18AWG  2COND"/>
    <s v="BELDEN"/>
    <s v="9740_x000a_C6101A"/>
    <s v="MYR"/>
    <n v="9.24"/>
    <s v="m"/>
    <n v="305"/>
    <n v="0.06"/>
  </r>
  <r>
    <x v="21"/>
    <s v="*SC* CONN-CONTACT PIN    CRIMP    18-16 AWG"/>
    <s v="MOUSER ELECTRONICS"/>
    <s v="66099-1_x000a_66099-3_x000a_66099-4"/>
    <s v="USD "/>
    <n v="2.17"/>
    <s v="ea"/>
    <n v="111"/>
    <n v="0.1"/>
  </r>
  <r>
    <x v="22"/>
    <s v="WIRE-PVC    STRAND 22 AWG BLU   590054"/>
    <s v="ELEMENT 14"/>
    <s v="WIRE-PVC    STRAND 22 AWG BLU   590054"/>
    <s v="MYR"/>
    <n v="1.0808"/>
    <s v="ft"/>
    <n v="100"/>
    <n v="0.06"/>
  </r>
  <r>
    <x v="23"/>
    <s v="WIRE-PVC    STRAND 22 AWG BRN    590054"/>
    <s v="ELEMENT 14"/>
    <s v="WIRE-PVC    STRAND 22 AWG BRN    590054"/>
    <s v="MYR"/>
    <n v="1.6018000000000001"/>
    <s v="ft"/>
    <n v="100"/>
    <n v="0.06"/>
  </r>
  <r>
    <x v="24"/>
    <s v="WIRE-PVC    STRAND 22 AWG RED           590054"/>
    <s v="ELEMENT 14"/>
    <s v="WIRE-PVC    STRAND 22 AWG RED           590054"/>
    <s v="MYR"/>
    <n v="1.0808"/>
    <s v="ft"/>
    <n v="100"/>
    <n v="0.06"/>
  </r>
  <r>
    <x v="25"/>
    <s v="SEALANT-PIPE  50ML PKG"/>
    <s v="KVC INDUSTRIAL SUPPLIES"/>
    <n v="56747"/>
    <s v="MYR"/>
    <n v="67"/>
    <s v="ea"/>
    <n v="1"/>
    <n v="0.06"/>
  </r>
  <r>
    <x v="26"/>
    <s v="SCREW-MACH FLH PH      4-40   .312 SST  590017"/>
    <s v="BOSSARD"/>
    <s v="*BOSSARD ART.# 6209263"/>
    <s v="MYR"/>
    <n v="1.05"/>
    <s v="ea"/>
    <n v="100"/>
    <n v="0.06"/>
  </r>
  <r>
    <x v="27"/>
    <s v="HOUSING-MINI FIT 8 POS"/>
    <s v="MOUSER ELECTRONICS"/>
    <s v="39-01-2081"/>
    <s v="USD "/>
    <n v="0.52"/>
    <s v="ea"/>
    <n v="1"/>
    <n v="0.1"/>
  </r>
  <r>
    <x v="28"/>
    <s v="*SC* CONTACT-SOCKET-F 18/24 AWG"/>
    <s v="MOUSER ELECTRONICS"/>
    <s v="39-00-0039"/>
    <s v="USD "/>
    <n v="0.21"/>
    <s v="ea"/>
    <n v="1"/>
    <n v="0.1"/>
  </r>
  <r>
    <x v="29"/>
    <s v="*SC*  CONTACT-PIN-M-18/24 AWG"/>
    <s v="MOUSER ELECTRONICS"/>
    <s v="39-00-0041"/>
    <s v="USD "/>
    <n v="0.2"/>
    <s v="ea"/>
    <n v="1"/>
    <n v="0.1"/>
  </r>
  <r>
    <x v="30"/>
    <s v="*SC* CONN-HOUSING-DIL 2-POS .165 CTR"/>
    <s v="MOUSER ELECTRONICS"/>
    <s v="39-01-2020"/>
    <s v="USD "/>
    <n v="0.3"/>
    <s v="ea"/>
    <n v="1"/>
    <n v="0.1"/>
  </r>
  <r>
    <x v="31"/>
    <s v="*SC* CONN-HOUSING-DIL 4-POS .165 CTR M"/>
    <s v="MOUSER ELECTRONICS"/>
    <s v="39-01-2040"/>
    <s v="USD "/>
    <n v="0.36"/>
    <s v="ea"/>
    <n v="1"/>
    <n v="0.1"/>
  </r>
  <r>
    <x v="32"/>
    <s v="MOUNT-CABLE TIE  .37 X .75  #8 SCREW"/>
    <s v="ELEMENT 14"/>
    <s v="TA1S8-C"/>
    <s v="MYR"/>
    <n v="1.55"/>
    <s v="ea"/>
    <n v="100"/>
    <n v="0.06"/>
  </r>
  <r>
    <x v="33"/>
    <s v="CONN-HOUSING      CRIMP  6 PIN  M  MINI-FIT"/>
    <s v="MOUSER ELECTRONICS"/>
    <s v="39-01-2061"/>
    <s v="USD "/>
    <n v="0.46"/>
    <s v="ea"/>
    <n v="1"/>
    <n v="0.1"/>
  </r>
  <r>
    <x v="34"/>
    <s v="PIN-DOWEL          6mm X 16         SST 590108"/>
    <s v="BOSSARD"/>
    <s v="M6 X 16MM_x000a_*BOSSARD ART.# 5809730"/>
    <s v="MYR"/>
    <n v="1.3"/>
    <s v="ea"/>
    <n v="100"/>
    <n v="0.06"/>
  </r>
  <r>
    <x v="35"/>
    <s v="SCREW-MACH FLH PH  M4 X 0.7 X 8mm   SST 590107"/>
    <s v="ADVANCE BOLTS (MELAKA) S/B"/>
    <s v="M4 X 8MM"/>
    <s v="MYR"/>
    <n v="0.315"/>
    <s v="ea"/>
    <n v="1"/>
    <n v="0.06"/>
  </r>
  <r>
    <x v="36"/>
    <s v="SCREW-CAP SKT HD M3 X 0.5 X  6mm    SST 590110"/>
    <s v="BOSSARD"/>
    <s v="*BOSSARD ART.# 1233106"/>
    <s v="MYR"/>
    <n v="0.25"/>
    <s v="ea"/>
    <n v="100"/>
    <n v="0.06"/>
  </r>
  <r>
    <x v="37"/>
    <s v="SCREW-CAP SKT HD M3 X 0.5 X 10mm    SST 590110"/>
    <s v="BOSSARD"/>
    <s v="*BOSSARD ART.# 1233122"/>
    <s v="MYR"/>
    <n v="0.221"/>
    <s v="ea"/>
    <n v="100"/>
    <n v="0.06"/>
  </r>
  <r>
    <x v="38"/>
    <s v="SCREW-CAP SKT HD M3 X 0.5 X 12mm    SST 590110"/>
    <s v="BOSSARD"/>
    <s v="*BOSSARD ART.# 1233130"/>
    <s v="MYR"/>
    <n v="0.64400000000000002"/>
    <s v="ea"/>
    <n v="100"/>
    <n v="0.06"/>
  </r>
  <r>
    <x v="39"/>
    <s v="SCREW-MACH FLH PH  M3 X 0.5 X 10mm  SST 590107"/>
    <s v="ADVANCE BOLTS (MELAKA) S/B"/>
    <s v="OFFER S/S A2 CSK HD PHILIP M/C SCREWS  M3 X 10"/>
    <s v="MYR"/>
    <n v="7.0000000000000007E-2"/>
    <s v="ea"/>
    <n v="100"/>
    <n v="0.06"/>
  </r>
  <r>
    <x v="40"/>
    <s v="SCREW-SET M3 X 0.5 X 6mm            SST 590111"/>
    <s v="BOSSARD"/>
    <s v="*BOSSARD ART.# 1233327"/>
    <s v="MYR"/>
    <n v="0.33400000000000002"/>
    <s v="ea"/>
    <n v="100"/>
    <n v="0.06"/>
  </r>
  <r>
    <x v="41"/>
    <s v="WASHER-SP LK M3 3.1 ID X 6.2 OD X .8 THK SST 590115"/>
    <s v="ADVANCE BOLTS (MELAKA) S/B"/>
    <s v="OFFER S/S A2 / 304 SPRING WASHERS  M3"/>
    <s v="MYR"/>
    <n v="0.02"/>
    <s v="ea"/>
    <n v="100"/>
    <n v="0.06"/>
  </r>
  <r>
    <x v="42"/>
    <s v="PIN-DOWEL          3mm X 8          SST 590108"/>
    <s v="BOSSARD"/>
    <s v="*BOSSARD ART.# 1255800"/>
    <s v="MYR"/>
    <n v="0.18"/>
    <s v="ea"/>
    <n v="100"/>
    <n v="0.06"/>
  </r>
  <r>
    <x v="43"/>
    <s v="SCREW-CAP SKT HD M4 X 0.7 X 6mm         590110"/>
    <s v="BOSSARD"/>
    <s v="*BOSSARD ART.# 1233173"/>
    <s v="MYR"/>
    <n v="0.11"/>
    <s v="ea"/>
    <n v="100"/>
    <n v="0.06"/>
  </r>
  <r>
    <x v="44"/>
    <s v="SCREW-CAP SKT HD M4 X 0.7 X 10mm    SST 590110"/>
    <s v="BOSSARD"/>
    <s v="*BOSSARD ART.# 1233203"/>
    <s v="MYR"/>
    <n v="0.20499999999999999"/>
    <s v="ea"/>
    <n v="100"/>
    <n v="0.06"/>
  </r>
  <r>
    <x v="45"/>
    <s v="SCREW-CAP SKT HD M4 X 0.7 X 12mm    SST 590110"/>
    <s v="BOSSARD"/>
    <s v="*BOSSARD ART.# 1233211"/>
    <s v="MYR"/>
    <n v="0.21199999999999999"/>
    <s v="ea"/>
    <n v="100"/>
    <n v="0.06"/>
  </r>
  <r>
    <x v="46"/>
    <s v="SCREW-CAP SKT HD M4 X 0.7 X 20mm    SST 590110"/>
    <s v="BOSSARD"/>
    <s v="*BOSSARD ART.# 1233246"/>
    <s v="MYR"/>
    <n v="0.191"/>
    <s v="ea"/>
    <n v="100"/>
    <n v="0.06"/>
  </r>
  <r>
    <x v="47"/>
    <s v="SCREW-MACH FLH SKT M4 X 0.7 X 8mm   SST 590107"/>
    <s v="BOSSARD"/>
    <s v="*BOSSARD ART.# 1235184"/>
    <s v="MYR"/>
    <n v="8.5999999999999993E-2"/>
    <s v="ea"/>
    <n v="100"/>
    <n v="0.06"/>
  </r>
  <r>
    <x v="48"/>
    <s v="SCREW-MACH FLH SKT M4 X 0.7 X 10mm  SST 590107"/>
    <s v="BOSSARD"/>
    <s v="*BOSSARD ART.# 1235192"/>
    <s v="MYR"/>
    <n v="0.126"/>
    <s v="ea"/>
    <n v="100"/>
    <n v="0.06"/>
  </r>
  <r>
    <x v="49"/>
    <s v="NUT-HEX   M4 X 0.7            SST       590116"/>
    <s v="BOSSARD"/>
    <s v="*BOSSARD ART.# 1241478"/>
    <s v="MYR"/>
    <n v="5.3999999999999999E-2"/>
    <s v="ea"/>
    <n v="100"/>
    <n v="0.06"/>
  </r>
  <r>
    <x v="50"/>
    <s v="WASHER-FL M4 X 4.30ID 9.0OD  0.8THK SST 590114"/>
    <s v="ADVANCE BOLTS (MELAKA) S/B"/>
    <s v="OFFER S/S A2 SOCKET CAP SCREWS DIN 912 ( FT )  M6 X 25"/>
    <s v="MYR"/>
    <n v="0.04"/>
    <s v="ea"/>
    <n v="100"/>
    <n v="0.06"/>
  </r>
  <r>
    <x v="51"/>
    <s v="SCREW-CAP SKT HD M5 X 0.8 X 10mm    SST 590110"/>
    <s v="BOSSARD"/>
    <s v="*BOSSARD ART.# 1233270"/>
    <s v="MYR"/>
    <n v="0.20399999999999999"/>
    <s v="ea"/>
    <n v="100"/>
    <n v="0.06"/>
  </r>
  <r>
    <x v="52"/>
    <s v="SCREW-CAP SKT HD M5 X 0.8 X 16mm    SST 590110"/>
    <s v="BOSSARD"/>
    <s v="*BOSSARD ART.# 1233297"/>
    <s v="MYR"/>
    <n v="0.22900000000000001"/>
    <s v="ea"/>
    <n v="100"/>
    <n v="0.06"/>
  </r>
  <r>
    <x v="53"/>
    <s v="SCREW-CAP SKT HD M5 X 0.8 X 25mm    SST 590110"/>
    <s v="BOSSARD"/>
    <s v="*BOSSARD ART.# 1233319"/>
    <s v="MYR"/>
    <n v="0.19400000000000001"/>
    <s v="ea"/>
    <n v="100"/>
    <n v="0.06"/>
  </r>
  <r>
    <x v="54"/>
    <s v="SCREW-SET M5 X 0.8 X 6mm            SST 590111"/>
    <s v="BOSSARD"/>
    <s v="*BOSSARD ART.# 1235729"/>
    <s v="MYR"/>
    <n v="9.9000000000000005E-2"/>
    <s v="ea"/>
    <n v="100"/>
    <n v="0.06"/>
  </r>
  <r>
    <x v="55"/>
    <s v="WASHER-SP LK M5 5.1ID 9.2OD 1.2THK  SST 590115"/>
    <s v="ADVANCE BOLTS (MELAKA) S/B"/>
    <s v="OFFER S/S A2 / 304 SPRING WASHERS  M5"/>
    <s v="MYR"/>
    <n v="0.02"/>
    <s v="ea"/>
    <n v="100"/>
    <n v="0.06"/>
  </r>
  <r>
    <x v="56"/>
    <s v="WASHER-FL M5 X 5.30ID 10.0OD 1.0THK SST 590114"/>
    <s v="BOSSARD"/>
    <s v="*BOSSARD ART.# 1253212"/>
    <s v="MYR"/>
    <n v="3.5999999999999997E-2"/>
    <s v="ea"/>
    <n v="200"/>
    <n v="0.06"/>
  </r>
  <r>
    <x v="57"/>
    <s v="SCREW-CAP SKT HD M6 X 1.0 X 16mm    SST 590110"/>
    <s v="ADVANCE BOLTS (MELAKA) S/B"/>
    <s v="OFFER S/S A2 SOCKET CAP SCREWS DIN 912 ( FT )  M6 X 16"/>
    <s v="MYR"/>
    <n v="0.4"/>
    <s v="ea"/>
    <n v="100"/>
    <n v="0.06"/>
  </r>
  <r>
    <x v="58"/>
    <s v="SCREW-MACH FLH PH  M2 X 0.4 X 6mm   SST 590107"/>
    <s v="ADVANCE BOLTS (MELAKA) S/B"/>
    <s v="OFFER S/S A2 CSK HD PHILIP M/C SCREWS  M2 X 6"/>
    <s v="MYR"/>
    <n v="0.08"/>
    <s v="ea"/>
    <n v="100"/>
    <n v="0.06"/>
  </r>
  <r>
    <x v="59"/>
    <s v="SCREW-CAP SKT HD   10-32     .250  SST  590018"/>
    <s v="ADVANCE BOLTS (MELAKA) S/B"/>
    <s v="OFFER S/S 304 SOCKET CAP SCREWS UNF  #10-32 X 1/4"/>
    <s v="MYR"/>
    <n v="0.44"/>
    <s v="ea"/>
    <n v="100"/>
    <n v="0.06"/>
  </r>
  <r>
    <x v="60"/>
    <s v="SCREW-MACH PNH PH M4 X 0.7 X 6mm    SST 590112"/>
    <s v="BOSSARD"/>
    <s v="*BOSSARD ART.# 1250531"/>
    <s v="MYR"/>
    <n v="0.105"/>
    <s v="ea"/>
    <n v="100"/>
    <n v="0.06"/>
  </r>
  <r>
    <x v="61"/>
    <s v="SCREW-BTNHD HEXSKT M5 X 0.8 X 8mm   SST 590119"/>
    <s v="BOSSARD"/>
    <s v="*BOSSARD ART.# 1348892"/>
    <s v="MYR"/>
    <n v="0.23100000000000001"/>
    <s v="ea"/>
    <n v="100"/>
    <n v="0.06"/>
  </r>
  <r>
    <x v="62"/>
    <s v="CONN-HOUSING-DIL 2-POS  .165 CTR M   MINI-FIT"/>
    <s v="MOUSER ELECTRONICS"/>
    <s v="39-01-2021"/>
    <s v="USD "/>
    <n v="0.43"/>
    <s v="ea"/>
    <n v="1"/>
    <n v="0.1"/>
  </r>
  <r>
    <x v="63"/>
    <s v="SCREW-CAP SKT HD M3 X 0.5 X  8mm    SST 590110"/>
    <s v="BOSSARD"/>
    <s v="*BOSSARD ART.# 1233114"/>
    <s v="MYR"/>
    <n v="0.126"/>
    <s v="ea"/>
    <n v="100"/>
    <n v="0.06"/>
  </r>
  <r>
    <x v="64"/>
    <s v="SCREW-CAP SKT HD M3 X 0.5 X 14mm    SST 590110"/>
    <s v="BOSSARD"/>
    <s v="*BOSSARD ART.# 1111329"/>
    <s v="MYR"/>
    <n v="0.16500000000000001"/>
    <s v="ea"/>
    <n v="100"/>
    <n v="0.06"/>
  </r>
  <r>
    <x v="65"/>
    <s v="SCREW-CAP SKT HD M3 X 0.5 X 20mm    SST 590110"/>
    <s v="BOSSARD"/>
    <s v="*BOSSARD ART.# 1032658"/>
    <s v="MYR"/>
    <n v="0.158"/>
    <s v="ea"/>
    <n v="100"/>
    <n v="0.06"/>
  </r>
  <r>
    <x v="66"/>
    <s v="SCREW-CAP SKT HD M4 X 0.7 X  8mm    SST 590110"/>
    <s v="BOSSARD"/>
    <s v="*BOSSARD ART.# 1233181"/>
    <s v="MYR"/>
    <n v="0.107"/>
    <s v="ea"/>
    <n v="100"/>
    <n v="0.06"/>
  </r>
  <r>
    <x v="67"/>
    <s v="SCREW-CAP SKT HD M4 X 0.7 X 16mm    SST 590110"/>
    <s v="BOSSARD"/>
    <s v="*BOSSARD ART.# 1233238"/>
    <s v="MYR"/>
    <n v="0.191"/>
    <s v="ea"/>
    <n v="100"/>
    <n v="0.06"/>
  </r>
  <r>
    <x v="68"/>
    <s v="CONT-PIN-MINI FIT CRIMP M  22-28 AWG"/>
    <s v="MOUSER ELECTRONICS"/>
    <s v="39-00-00 49"/>
    <s v="USD "/>
    <n v="0.21"/>
    <s v="ea"/>
    <n v="1"/>
    <n v="0.1"/>
  </r>
  <r>
    <x v="69"/>
    <s v="*SC* CONT-SOCKET-MINI-FIT CRIMP F  22-28 AWG"/>
    <s v="MOUSER ELECTRONICS"/>
    <s v="39-00-0047"/>
    <s v="USD "/>
    <n v="0.21"/>
    <s v="ea"/>
    <n v="1"/>
    <n v="0.1"/>
  </r>
  <r>
    <x v="70"/>
    <s v="SCREW-MACH FLH PH  M3 X 0.5 X 6mm   SST 590107"/>
    <s v="BOSSARD"/>
    <s v="*BOSSARD ART.# 1544195"/>
    <s v="MYR"/>
    <n v="0.13800000000000001"/>
    <s v="ea"/>
    <n v="100"/>
    <n v="0.06"/>
  </r>
  <r>
    <x v="71"/>
    <s v="SCREW-MACH FLH PH  M4 X 0.7 X 16MM  SST"/>
    <s v="PACTUMAX"/>
    <s v="92010A226"/>
    <s v="SGD"/>
    <n v="0.20799999999999999"/>
    <s v="ea"/>
    <n v="100"/>
    <n v="0.1"/>
  </r>
  <r>
    <x v="72"/>
    <s v="PIN-DOWEL          5mm X 16         SST 590108"/>
    <s v="ADVANCE BOLTS (MELAKA) S/B"/>
    <s v="OFFER STAINLESS STEEL DOWEL PIN  M5 X 16"/>
    <s v="MYR"/>
    <n v="0.6"/>
    <s v="ea"/>
    <n v="100"/>
    <n v="0.06"/>
  </r>
  <r>
    <x v="73"/>
    <s v="*SC* CONNECTOR- 8POS FEMALE MINIFIT"/>
    <s v="MOUSER ELECTRONICS"/>
    <s v="39-01-2080_x000a_MPO096"/>
    <s v="USD "/>
    <n v="0.46"/>
    <s v="ea"/>
    <n v="1"/>
    <n v="0.1"/>
  </r>
  <r>
    <x v="74"/>
    <s v="CONNECTOR- 6POS FEMALE MINIFIT"/>
    <s v="MOUSER ELECTRONICS"/>
    <s v="39-01-2060_x000a_MPO097"/>
    <s v="USD "/>
    <n v="0.46"/>
    <s v="ea"/>
    <n v="1"/>
    <n v="0.1"/>
  </r>
  <r>
    <x v="75"/>
    <s v="CONNECTOR-3 POS"/>
    <s v="MOUSER ELECTRONICS"/>
    <s v="70107-0002_x000a_TPO184"/>
    <s v="USD "/>
    <n v="0.73"/>
    <s v="ea"/>
    <n v="1"/>
    <n v="0.1"/>
  </r>
  <r>
    <x v="76"/>
    <s v="CONN-HOUSING CRIMP-3 POS-100 CTR"/>
    <s v="MOUSER ELECTRONICS"/>
    <s v="50-57-9403"/>
    <s v="USD "/>
    <n v="0.26"/>
    <s v="ea"/>
    <n v="1"/>
    <n v="0.1"/>
  </r>
  <r>
    <x v="77"/>
    <s v="SCREW-MACH FLH SKT M4 X 0.7 X 12mm  SST 590107"/>
    <s v="BOSSARD"/>
    <s v="*BOSSARD ART.# 1235206"/>
    <s v="MYR"/>
    <n v="0.16"/>
    <s v="ea"/>
    <n v="100"/>
    <n v="0.06"/>
  </r>
  <r>
    <x v="78"/>
    <s v="TERM-RING   NO INS  #04  22-16 GA (PKG/10)"/>
    <s v="MOUSER ELECTRONICS"/>
    <n v="322418"/>
    <s v="USD "/>
    <n v="0.28999999999999998"/>
    <s v="ea"/>
    <n v="1"/>
    <n v="0.1"/>
  </r>
  <r>
    <x v="79"/>
    <s v="SCREW-CAP SKT HD M5 X 0.8 X 12mm    SST 590110"/>
    <s v="BOSSARD"/>
    <s v="*BOSSARD ART.# 1233289"/>
    <s v="MYR"/>
    <n v="0.23300000000000001"/>
    <s v="ea"/>
    <n v="100"/>
    <n v="0.06"/>
  </r>
  <r>
    <x v="80"/>
    <s v="SCREW-CAP SKT HD M5 X 0.8 X 20mm    SST 590110"/>
    <s v="BOSSARD"/>
    <s v="*BOSSARD ART.# 1233300"/>
    <s v="MYR"/>
    <n v="0.2"/>
    <s v="ea"/>
    <n v="100"/>
    <n v="0.06"/>
  </r>
  <r>
    <x v="81"/>
    <s v="*SC* FITTING-PLUG HEX SKT 1/4 NPT COUNTERSUNK  BRS"/>
    <s v="ROBOMATICS (S.E.A) S/B"/>
    <s v="219P-4"/>
    <s v="MYR"/>
    <n v="16.5"/>
    <s v="ea"/>
    <n v="25"/>
    <n v="0.06"/>
  </r>
  <r>
    <x v="82"/>
    <s v="SCREW-CAP SKT HD M2 X 0.4 X  4mm    SST 590110"/>
    <s v="BOSSARD"/>
    <s v="*BOSSARD ART.# 1420550"/>
    <s v="MYR"/>
    <n v="0.11"/>
    <s v="ea"/>
    <n v="100"/>
    <n v="0.06"/>
  </r>
  <r>
    <x v="83"/>
    <s v="PIN-DOWEL          4mm X 12mm   SST 590108"/>
    <s v="BOSSARD"/>
    <s v="*BOSSARD ART.# 1255924"/>
    <s v="MYR"/>
    <n v="0.56000000000000005"/>
    <s v="ea"/>
    <n v="100"/>
    <n v="0.06"/>
  </r>
  <r>
    <x v="84"/>
    <s v="PIN-DOWEL          5mm X 12         SST 590108"/>
    <s v="ADVANCE BOLTS (MELAKA) S/B"/>
    <s v="OFFER STAINLESS STEEL DOWEL PIN  M5 X 12"/>
    <s v="MYR"/>
    <n v="0.54"/>
    <s v="ea"/>
    <n v="100"/>
    <n v="0.06"/>
  </r>
  <r>
    <x v="85"/>
    <s v="CONTACT-PIN   F   C/P   22-24 AWG"/>
    <s v="MOUSER ELECTRONICS"/>
    <s v="16-02-0102_x000a_16-02-0103_x000a_16-02-0104"/>
    <s v="USD "/>
    <n v="0.18"/>
    <s v="ea"/>
    <s v="1_x000a_1_x000a_1"/>
    <n v="0.1"/>
  </r>
  <r>
    <x v="86"/>
    <s v="CONTACT-PIN  M  C/P   22-24 AWG"/>
    <s v="MOUSER ELECTRONICS"/>
    <s v="16-02-0114_x000a_16-02-0115_x000a_16-02-0117"/>
    <s v="USD "/>
    <n v="0.3"/>
    <s v="ea"/>
    <s v="1_x000a_1_x000a_1"/>
    <n v="0.1"/>
  </r>
  <r>
    <x v="87"/>
    <s v="SCREW-MACH FLH  PH  M4 X 0.7 X 10mm  SST 590107"/>
    <s v="BOSSARD"/>
    <s v="*BOSSARD ART.# 1544306"/>
    <s v="MYR"/>
    <n v="0.3"/>
    <s v="ea"/>
    <n v="100"/>
    <n v="0.06"/>
  </r>
  <r>
    <x v="88"/>
    <s v="TUBING-SILICONE-50 DURO-COND-1/16 ID"/>
    <s v="COHU MALAYSIA SDN BHD"/>
    <s v="3-6113_x000a_3/1/6113"/>
    <s v="USD "/>
    <n v="2.34"/>
    <s v="ft"/>
    <n v="5"/>
    <n v="0.1"/>
  </r>
  <r>
    <x v="89"/>
    <s v="METER-FLOW  10-100LPM AIR  SST VALVE"/>
    <s v="P&amp;P PROCESS &amp; PNEUMATICS SDN BHD"/>
    <s v="RMA-25-SSV"/>
    <s v="MYR"/>
    <n v="350"/>
    <s v="ea"/>
    <n v="1"/>
    <n v="0.06"/>
  </r>
  <r>
    <x v="90"/>
    <s v="SCREW-SET M4 X 0.7 X 6mm            SST 590111"/>
    <s v="ADVANCE BOLTS (MELAKA) S/B"/>
    <s v="OFFER SS 304 A2 SOCKET SET SCREW DIN 916 M4 X 0.7 X 6 "/>
    <s v="MYR"/>
    <n v="0.13"/>
    <s v="ea"/>
    <n v="1"/>
    <n v="0.06"/>
  </r>
  <r>
    <x v="91"/>
    <s v="SCREW-CAP SKT HD M6 X 1.0 X 12mm    SST 590110"/>
    <s v="ADVANCE BOLTS (MELAKA) S/B"/>
    <s v="OFFER S/S A2 SOCKET CAP SCREWS DIN 912 ( FT )  M6 X 12"/>
    <s v="MYR"/>
    <n v="0.36"/>
    <s v="ea"/>
    <n v="100"/>
    <n v="0.06"/>
  </r>
  <r>
    <x v="92"/>
    <s v="SCREW-MACH FLH SKT M3 X  0.5 X 4mm  SST 590107"/>
    <s v="MISUMI"/>
    <s v="SCREW-MACH FLH SKT M3 X  0.5 X 4mm  SST 590107"/>
    <s v="MYR"/>
    <n v="1.51"/>
    <s v="ea"/>
    <n v="1"/>
    <n v="0.06"/>
  </r>
  <r>
    <x v="93"/>
    <s v="SCREW-CAP SKT HD M6 X 1.0 X 25mm    SST 590110"/>
    <s v="BOSSARD"/>
    <s v="*BOSSARD ART.# 1233386"/>
    <s v="MYR"/>
    <n v="0.53600000000000003"/>
    <s v="ea"/>
    <n v="100"/>
    <n v="0.06"/>
  </r>
  <r>
    <x v="94"/>
    <s v="SCREW-BTNHD HEXSKT M4 X 0.7 8mm     SST 590119"/>
    <s v="BOSSARD"/>
    <s v="*BOSSARD ART.# 1348787"/>
    <s v="MYR"/>
    <n v="0.216"/>
    <s v="ea"/>
    <n v="100"/>
    <n v="0.06"/>
  </r>
  <r>
    <x v="95"/>
    <s v="SCREW-MACH FLH SKT M4 X 0.7 X 6mm   SST 590107"/>
    <s v="BOSSARD"/>
    <s v="*BOSSARD ART.# 1208179"/>
    <s v="MYR"/>
    <n v="0.25800000000000001"/>
    <s v="ea"/>
    <n v="100"/>
    <n v="0.06"/>
  </r>
  <r>
    <x v="96"/>
    <s v="PIN-DOWEL          4mm X 10         SST 590108"/>
    <s v="ADVANCE BOLTS (MELAKA) S/B"/>
    <s v="OFFER STAINLESS STEEL DOWEL PIN  M4 X 10"/>
    <s v="MYR"/>
    <n v="0.48"/>
    <s v="ea"/>
    <n v="100"/>
    <n v="0.06"/>
  </r>
  <r>
    <x v="97"/>
    <s v="SCREW-CAP SKT HD M5 X 0.8 X 30mm    SST 590110"/>
    <s v="BOSSARD"/>
    <s v="*BOSSARD ART.# 1233327"/>
    <s v="MYR"/>
    <n v="0.33400000000000002"/>
    <s v="ea"/>
    <n v="100"/>
    <n v="0.06"/>
  </r>
  <r>
    <x v="98"/>
    <s v="REGULATOR 0-125 1/4NPT"/>
    <s v="P&amp;P PROCESS &amp; PNEUMATICS SDN BHD"/>
    <s v="R09-02-FB00"/>
    <s v="MYR"/>
    <n v="190"/>
    <s v="ea"/>
    <n v="1"/>
    <n v="0.06"/>
  </r>
  <r>
    <x v="99"/>
    <s v="REGULATOR-JOINER SET-P09"/>
    <s v="Allied Inventory Systems"/>
    <s v="GPA-96-738"/>
    <s v="USD "/>
    <n v="12.56"/>
    <s v="ea"/>
    <n v="1"/>
    <n v="0.1"/>
  </r>
  <r>
    <x v="100"/>
    <s v="SCREW-CAP SKT HD M3 X 0.5 X  4mm    SST 590110"/>
    <s v="BOSSARD"/>
    <s v="*BOSSARD ART.# 1233084"/>
    <s v="MYR"/>
    <n v="5.8999999999999997E-2"/>
    <s v="ea"/>
    <n v="100"/>
    <n v="0.06"/>
  </r>
  <r>
    <x v="101"/>
    <s v="SCREW-CAP SKT HD M3 X 0.5 X 30mm    SST 590110"/>
    <s v="BOSSARD"/>
    <s v="*BOSSARD ART.# 1111345"/>
    <s v="MYR"/>
    <n v="0.16200000000000001"/>
    <s v="ea"/>
    <n v="100"/>
    <n v="0.06"/>
  </r>
  <r>
    <x v="102"/>
    <s v="SCREW-CAP SKT HD M4 X 0.7 X  5mm    SST 590110"/>
    <s v="BOSSARD"/>
    <s v="*BOSSARD ART.# 1208047"/>
    <s v="MYR"/>
    <n v="0.23499999999999999"/>
    <s v="ea"/>
    <n v="100"/>
    <n v="0.06"/>
  </r>
  <r>
    <x v="103"/>
    <s v="SCREW-CAP SKT HD M4 X 0.7 X 14mm    SST 590110"/>
    <s v="ADVANCE BOLTS (MELAKA) S/B"/>
    <s v="OFFER SS 304 A2 SOCKET CAP SCREW DIN 912 M4 X 0.7 X 14 "/>
    <s v="MYR"/>
    <n v="0.22"/>
    <s v="ea"/>
    <n v="1"/>
    <n v="0.06"/>
  </r>
  <r>
    <x v="104"/>
    <s v="SCREW-CAP SKT HD M4 X 0.7 X 18mm    SST 590110"/>
    <s v="ADVANCE BOLTS (MELAKA) S/B"/>
    <s v="OFFER SS 304 A2 SOCKET CAP SCREW DIN912 (FT)  M4 X 0.7 X 18 "/>
    <s v="MYR"/>
    <n v="0.26"/>
    <s v="ea"/>
    <n v="1"/>
    <n v="0.06"/>
  </r>
  <r>
    <x v="105"/>
    <s v="SCREW-CAP SKT HD M4 X 0.7 X 35mm    SST 590110"/>
    <s v="ADVANCE BOLTS (MELAKA) S/B"/>
    <s v="OFFER S/S A2 SOCKET CAP SCREWS DIN 912 ( HT )  M4 X 35"/>
    <s v="MYR"/>
    <n v="0.33"/>
    <s v="ea"/>
    <n v="100"/>
    <n v="0.06"/>
  </r>
  <r>
    <x v="106"/>
    <s v="WIRE- HI FLEX 18 AWG ESD CONTROL"/>
    <s v="PRECISION TECHNOLOGIES PTE LTD"/>
    <s v="N26-44D-650-0"/>
    <s v="USD "/>
    <n v="3.25"/>
    <s v="ft"/>
    <n v="1000"/>
    <n v="0.1"/>
  </r>
  <r>
    <x v="107"/>
    <s v="SCREW-CAP SKT HD M2 X 0.4 X 8mm     SST 590110"/>
    <s v="BOSSARD"/>
    <s v="*BOSSARD ART.# 1420585"/>
    <s v="MYR"/>
    <n v="0.36799999999999999"/>
    <s v="ea"/>
    <n v="100"/>
    <n v="0.06"/>
  </r>
  <r>
    <x v="108"/>
    <s v="CABLE-TIE .87 DIA BUNDLE 3.9 LG BLK"/>
    <s v="ELEMENT 14"/>
    <s v="PLT1M-M0"/>
    <s v="MYR"/>
    <n v="0.23874000000000001"/>
    <s v="ea"/>
    <n v="1000"/>
    <n v="0.06"/>
  </r>
  <r>
    <x v="109"/>
    <s v="FITTING-ELBOW ADJ BARBED M3 .062 TUBE"/>
    <s v="BESWICK"/>
    <s v="M3LS-1012"/>
    <s v="SGD"/>
    <n v="16.2"/>
    <s v="ea"/>
    <n v="1"/>
    <n v="0.1"/>
  </r>
  <r>
    <x v="110"/>
    <s v="LABEL-SELF LAMINATING WHT 1.00 X 1.437"/>
    <s v="DIGI KEY ELECTRONICS"/>
    <s v="THT-9-427-10"/>
    <s v="MYR"/>
    <n v="0.34815999999999997"/>
    <s v="ea"/>
    <n v="5000"/>
    <n v="0.06"/>
  </r>
  <r>
    <x v="111"/>
    <s v="SCREW-BTNHD HEXSKT M6 X 1.0 X 12mm  STL 590119"/>
    <s v="ADVANCE BOLTS (MELAKA) S/B"/>
    <s v="OFFER SS 304 A2 SOCKET BUTTON CAP SCREW ISO 7380 M6 X 1.0 X 12 "/>
    <s v="MYR"/>
    <n v="0.36"/>
    <s v="ea"/>
    <n v="1"/>
    <n v="0.06"/>
  </r>
  <r>
    <x v="112"/>
    <s v="SCREW-BTNHD HEXSKT M6 X 1.0 X 14mm  STL 590119"/>
    <s v="ADVANCE BOLTS (MELAKA) S/B"/>
    <s v="OFFER S/S A2 SOCKET BUTTON CAP SCREWS  M6 X 14"/>
    <s v="MYR"/>
    <n v="0.26"/>
    <s v="ea"/>
    <n v="100"/>
    <n v="0.06"/>
  </r>
  <r>
    <x v="113"/>
    <s v="MOUNTS-TIE WRAPS LOW PROFILE SCREW TYPE"/>
    <s v="ELEMENT 14"/>
    <s v="LPMM-S5-C_x000a_LPMM-S5-M"/>
    <s v="MYR"/>
    <n v="1.1626000000000001"/>
    <s v="ea"/>
    <n v="100"/>
    <n v="0.06"/>
  </r>
  <r>
    <x v="114"/>
    <s v="CONN-POWER FEMALE 5.5mm OD 2.5mm ID"/>
    <s v="MOUSER ELECTRONICS"/>
    <s v="PP-002B_x000a_PP3-002B (RoHS COMPLIANT)_x000a_CP3-1001-ND (RoHS COMPLIANT)"/>
    <s v="MYR"/>
    <n v="6.63"/>
    <s v="ea"/>
    <n v="1"/>
    <n v="0.06"/>
  </r>
  <r>
    <x v="115"/>
    <s v="CONNECTOR-MINI FIT JR 10POS M"/>
    <s v="MOUSER ELECTRONICS"/>
    <s v="39-01-2101"/>
    <s v="USD "/>
    <n v="0.76"/>
    <s v="ea"/>
    <n v="1"/>
    <n v="0.1"/>
  </r>
  <r>
    <x v="116"/>
    <s v="CONNECTOR-MINI FIT JR 10POS F"/>
    <s v="MOUSER ELECTRONICS"/>
    <s v="39-01-2100"/>
    <s v="USD "/>
    <n v="0.55000000000000004"/>
    <s v="ea"/>
    <n v="1"/>
    <n v="0.1"/>
  </r>
  <r>
    <x v="117"/>
    <s v="RELAY MODULE-24VAC/DC-SINGLE POLE-RAIL MT"/>
    <s v="MOUSER ELECTRONICS"/>
    <s v="29 64 05 0"/>
    <s v="USD "/>
    <n v="93.14"/>
    <s v="ea"/>
    <n v="1"/>
    <n v="0.1"/>
  </r>
  <r>
    <x v="118"/>
    <s v="JACK SCREW KIT-INCLUDING RETAINING CLIP-PAIR"/>
    <s v="MOUSER ELECTRONICS"/>
    <s v="A33695-ND_x000a_5205980-1"/>
    <s v="MYR"/>
    <n v="17.05"/>
    <s v="ea"/>
    <n v="1"/>
    <n v="0.06"/>
  </r>
  <r>
    <x v="119"/>
    <s v="TUBING-ESD 4mmOD X 2mmID WHT (5/32 OD 5/64 ID)"/>
    <s v="Allied Inventory Systems"/>
    <s v="1C-430-9081"/>
    <s v="USD "/>
    <n v="0.51500000000000001"/>
    <s v="ft"/>
    <n v="500"/>
    <n v="0.1"/>
  </r>
  <r>
    <x v="120"/>
    <s v="BALL PLUNGER 4-48 X .187 SST"/>
    <s v="Allied Inventory Systems"/>
    <s v="DOS-A1-1_x000a_X-1"/>
    <s v="USD "/>
    <n v="21.56"/>
    <s v="ea"/>
    <n v="1"/>
    <n v="0.1"/>
  </r>
  <r>
    <x v="121"/>
    <s v="ENCODER 1 MICRON READHEAD"/>
    <s v="SERVO"/>
    <s v="RGH24X15A00A"/>
    <s v="USD "/>
    <n v="465.8"/>
    <s v="ea"/>
    <n v="1"/>
    <n v="0.1"/>
  </r>
  <r>
    <x v="122"/>
    <s v="POWER SUPPLY-10A 240W 24VDC 115/280VAC IN"/>
    <s v="Allied Inventory Systems"/>
    <s v="SDN 10-24-100P"/>
    <s v="USD "/>
    <n v="528.24"/>
    <s v="ea"/>
    <n v="1"/>
    <n v="0.1"/>
  </r>
  <r>
    <x v="123"/>
    <s v="FITTING-BULKHEAD-UNION-6mm PUSH-9/16 MTG HOLE"/>
    <s v="FESTO Sdn Bhd"/>
    <s v="153377_x000a_PM6M"/>
    <s v="MYR"/>
    <n v="8.65"/>
    <s v="ea"/>
    <n v="10"/>
    <n v="0.06"/>
  </r>
  <r>
    <x v="124"/>
    <s v="RELAY MODULE-24VDC/SPDT RAIL MOUNT/CONTACT 6A"/>
    <s v="MOUSER ELECTRONICS"/>
    <s v="29 64 50 0"/>
    <s v="USD "/>
    <n v="89.06"/>
    <s v="ea"/>
    <n v="1"/>
    <n v="0.1"/>
  </r>
  <r>
    <x v="125"/>
    <s v="VACUUM CUP-DIA 2.5MM-LG 4.6MM-BELLOW-ESD1 590127"/>
    <s v="AMS"/>
    <s v="VSPB-4.57-2.54"/>
    <s v="MYR"/>
    <n v="26"/>
    <s v="ea"/>
    <n v="50"/>
    <n v="0.06"/>
  </r>
  <r>
    <x v="126"/>
    <s v="RING-RETAINER EXT 3/16 OD"/>
    <s v="PACTUMAX"/>
    <s v="Q2-18_x000a_98410A110_x000a_Z2-2"/>
    <s v="SGD"/>
    <n v="0.31900000000000001"/>
    <s v="ea"/>
    <n v="100"/>
    <n v="0.1"/>
  </r>
  <r>
    <x v="127"/>
    <s v="SENSOR-LIGHT ON-SLOT-LH MOUNT-5 TO 24VDC"/>
    <s v="Autovation (N.S) Sdn Bhd"/>
    <s v="EE-SPX402-W2A"/>
    <s v="MYR"/>
    <n v="245"/>
    <s v="ea"/>
    <n v="1"/>
    <n v="0.06"/>
  </r>
  <r>
    <x v="128"/>
    <s v="SCREW-MACH PNH PH M4 X 0.7 X 18mm   SST 590112"/>
    <s v="BOSSARD"/>
    <s v="*BOSSARD ART.# 1578987"/>
    <s v="MYR"/>
    <n v="0.35"/>
    <s v="ea"/>
    <n v="100"/>
    <n v="0.06"/>
  </r>
  <r>
    <x v="129"/>
    <s v="SWITCH-CODED SAFETY INTERLOCK"/>
    <s v="Allied Inventory Systems"/>
    <s v="BNS250-11z"/>
    <s v="USD "/>
    <n v="208"/>
    <s v="ea"/>
    <n v="2"/>
    <n v="0.1"/>
  </r>
  <r>
    <x v="130"/>
    <s v="ACTUATOR-CODED MAGNETIC"/>
    <s v="RS COMPONENTS"/>
    <s v="BPS250"/>
    <s v="MYR"/>
    <n v="181.82"/>
    <s v="ea"/>
    <n v="1"/>
    <n v="0.06"/>
  </r>
  <r>
    <x v="131"/>
    <s v="MANIFOLD-SY3000 SERIES-2 STATION-4mmOD FITTING"/>
    <s v="SMC"/>
    <s v="SS5Y3-41-02-C4"/>
    <s v="MYR"/>
    <n v="105"/>
    <s v="ea"/>
    <n v="1"/>
    <n v="0.06"/>
  </r>
  <r>
    <x v="132"/>
    <s v="CONN 16 POS RECEPT-PANEL MOUNT-MINI FIT"/>
    <s v="MOUSER ELECTRONICS"/>
    <s v="39-01-2161"/>
    <s v="USD "/>
    <n v="1.08"/>
    <s v="ea"/>
    <n v="1"/>
    <n v="0.1"/>
  </r>
  <r>
    <x v="133"/>
    <s v="HANDLE-PULL 160mm LG 37.5 HIGH BLACK GRIP-SST"/>
    <s v="Allied Inventory Systems"/>
    <s v="US-160/M"/>
    <s v="USD "/>
    <n v="53.95"/>
    <s v="ea"/>
    <n v="2"/>
    <n v="0.1"/>
  </r>
  <r>
    <x v="134"/>
    <s v="VALVE-2 POS-SINGLE ACTING 24VDC"/>
    <s v="SMC"/>
    <s v="SY3140-5LZ"/>
    <s v="MYR"/>
    <n v="124.85"/>
    <s v="ea"/>
    <n v="1"/>
    <n v="0.06"/>
  </r>
  <r>
    <x v="135"/>
    <s v="SCREW-CAPTIVE-SKT HD-M8 X 1.25 X 30mm SST"/>
    <s v="MISUMI"/>
    <s v="GUTB8-10-30"/>
    <s v="MYR"/>
    <n v="7.06"/>
    <s v="ea"/>
    <n v="1"/>
    <n v="0.06"/>
  </r>
  <r>
    <x v="136"/>
    <s v="SCREW-CAPTIVE-SKT HD-M8 X 1.25 X 15MM SST"/>
    <s v="MISUMI"/>
    <s v="GUTB8-5-15"/>
    <s v="MYR"/>
    <n v="7.06"/>
    <s v="ea"/>
    <n v="1"/>
    <n v="0.06"/>
  </r>
  <r>
    <x v="137"/>
    <s v="SCREW-CAPTIVE-SKT HD M4 X 0.7 X 15MM SST"/>
    <s v="MISUMI"/>
    <s v="GUTB4-5-15"/>
    <s v="MYR"/>
    <n v="5.39"/>
    <s v="ea"/>
    <n v="1"/>
    <n v="0.06"/>
  </r>
  <r>
    <x v="138"/>
    <s v="THUMB SCREW HEAD-KNURLED-M4 SCREW"/>
    <s v="PACTUMAX"/>
    <s v="91175A062 BLACK"/>
    <s v="SGD"/>
    <n v="0.39200000000000002"/>
    <s v="ea"/>
    <n v="50"/>
    <n v="0.1"/>
  </r>
  <r>
    <x v="139"/>
    <s v="PLUG-HEX-FLUSH MOUNT-1/8 PT"/>
    <s v="SMC"/>
    <s v="PLUG 1/8"/>
    <s v="MYR"/>
    <n v="4"/>
    <s v="ea"/>
    <n v="1"/>
    <n v="0.06"/>
  </r>
  <r>
    <x v="140"/>
    <s v="HANDLE-PULL-LARGE-.055 MAX THK PANEL"/>
    <s v="GRIPWELL FASTENING (M) SDN BHD"/>
    <s v="P2-51"/>
    <s v="SGD"/>
    <n v="22.9"/>
    <s v="ea"/>
    <n v="10"/>
    <n v="0.1"/>
  </r>
  <r>
    <x v="141"/>
    <s v="BUSHING-STRAIGHT-4.50mm ID 8mm OD 5mm LG-SST"/>
    <s v="MISUMI"/>
    <s v="JBAFC 8-P4.5-L5.0"/>
    <s v="MYR"/>
    <n v="64.16"/>
    <s v="ea"/>
    <n v="1"/>
    <n v="0.06"/>
  </r>
  <r>
    <x v="142"/>
    <s v="DIAMOND PIN-4.45 DIA HD 3mm DIA SHANK-SST"/>
    <s v="MISUMI"/>
    <s v="CFPBD3-P4.45-L5-B3"/>
    <s v="MYR"/>
    <n v="89.05"/>
    <s v="ea"/>
    <n v="1"/>
    <n v="0.06"/>
  </r>
  <r>
    <x v="143"/>
    <s v="LOCATING PIN-4.45 DIA HD 3mm DIA SHANK-SST"/>
    <s v="MISUMI"/>
    <s v="CFPBA3-P4.45-L5-B3"/>
    <s v="MYR"/>
    <n v="68.790000000000006"/>
    <s v="ea"/>
    <n v="1"/>
    <n v="0.06"/>
  </r>
  <r>
    <x v="144"/>
    <s v="SCREW-BTNHD HEX SKT-M3 X 0.5 X 5mm SST 590119"/>
    <s v="PACTUMAX"/>
    <s v="92095A177"/>
    <s v="SGD"/>
    <n v="0.14499999999999999"/>
    <s v="ea"/>
    <n v="100"/>
    <n v="0.1"/>
  </r>
  <r>
    <x v="145"/>
    <s v="COUPLING-PLUG-M4 PLASTIC TUBING PUSH IN"/>
    <s v="MISUMI"/>
    <s v="MCPC4"/>
    <s v="MYR"/>
    <n v="20.23"/>
    <s v="ea"/>
    <n v="1"/>
    <n v="0.06"/>
  </r>
  <r>
    <x v="146"/>
    <s v="COUPLING-SOCKET-M5 THD"/>
    <s v="MISUMI"/>
    <s v="MCSM5_x000a_(NMCSM5)"/>
    <s v="MYR"/>
    <n v="45.17"/>
    <s v="ea"/>
    <n v="1"/>
    <n v="0.06"/>
  </r>
  <r>
    <x v="147"/>
    <s v="CONTACT PIN CRIMP 30-26 AWG"/>
    <s v="MOUSER ELECTRONICS"/>
    <s v="66406-4"/>
    <s v="USD "/>
    <n v="2.02"/>
    <s v="ea"/>
    <n v="1"/>
    <n v="0.1"/>
  </r>
  <r>
    <x v="148"/>
    <s v="SENSOR-TEMPERATURE-RTD/1000 OHM/TEFLON LEADWIRES"/>
    <s v="ELEMENT 14"/>
    <s v="HEL-705-U-0-12-00_x000a_HEL-705-U-1-12-00"/>
    <s v="MYR"/>
    <n v="195.23"/>
    <s v="ea"/>
    <n v="11"/>
    <n v="0.06"/>
  </r>
  <r>
    <x v="149"/>
    <s v="CONNECTOR-PLUG HOUSING-8POS MICRO FIT-PNL MT"/>
    <s v="MOUSER ELECTRONICS"/>
    <s v="43020-0800"/>
    <s v="USD "/>
    <n v="0.72"/>
    <s v="ea"/>
    <n v="1"/>
    <n v="0.1"/>
  </r>
  <r>
    <x v="150"/>
    <s v="CONN-CONTACT PIN-MICROFIT 24-20AWG"/>
    <s v="MOUSER ELECTRONICS"/>
    <s v="43031-0009"/>
    <s v="USD "/>
    <n v="0.36"/>
    <s v="ea"/>
    <n v="1"/>
    <n v="0.1"/>
  </r>
  <r>
    <x v="151"/>
    <s v="TUBING-HIGH SHRINK-TEFLON .187 ID"/>
    <s v="PACTUMAX"/>
    <s v="75665K812"/>
    <s v="SGD"/>
    <n v="12.3"/>
    <s v="ea"/>
    <n v="1"/>
    <n v="0.1"/>
  </r>
  <r>
    <x v="152"/>
    <s v="*SC*TERM-RING NON INSULATED # 2 26-22 AWG"/>
    <s v="MOUSER ELECTRONICS"/>
    <s v="2-31425-2_x000a_31425"/>
    <s v="USD "/>
    <n v="0.7"/>
    <s v="ea"/>
    <n v="11"/>
    <n v="0.1"/>
  </r>
  <r>
    <x v="153"/>
    <s v="BELT-TIMING-GT STYLE-3MM PITCH-9MM WIDE-50 FT ROLL"/>
    <s v="YORK INDUSTRIES"/>
    <s v="A6R53MC090"/>
    <s v="USD "/>
    <n v="5.09"/>
    <s v="ft"/>
    <n v="328"/>
    <n v="0.1"/>
  </r>
  <r>
    <x v="154"/>
    <s v="DIN RAIL-7.5MM X 35MM-UNPERFORATED"/>
    <s v="DIGI KEY ELECTRONICS"/>
    <s v="0801681_x000a_801681"/>
    <s v="MYR"/>
    <n v="4.7664999999999999E-2"/>
    <s v="mm"/>
    <n v="2000"/>
    <n v="0.06"/>
  </r>
  <r>
    <x v="155"/>
    <s v="TAPE-ALUMINUM-FIBERGLASS REINFORCED-1 IN WIDE"/>
    <s v="PACTUMAX"/>
    <s v="76035A65"/>
    <s v="SGD"/>
    <n v="97.4"/>
    <s v="ea"/>
    <n v="1"/>
    <n v="0.1"/>
  </r>
  <r>
    <x v="156"/>
    <s v="CORD-EPDM FOAM-CLOSED CELL-1/8 OD"/>
    <s v="PACTUMAX"/>
    <s v="8605K41"/>
    <s v="SGD"/>
    <n v="52.5"/>
    <s v="ft"/>
    <n v="100"/>
    <n v="0.1"/>
  </r>
  <r>
    <x v="157"/>
    <s v="MOTOR-DC SERVO W/ENCODER-4000 CPR-NEMA 17 MNT"/>
    <s v="Allied Inventory Systems"/>
    <s v="M-1726-FX"/>
    <s v="USD "/>
    <n v="336"/>
    <s v="ea"/>
    <n v="1"/>
    <n v="0.1"/>
  </r>
  <r>
    <x v="158"/>
    <s v="O-RING .301 ID X .139 XSECT BUNA-N"/>
    <s v="Allied Inventory Systems"/>
    <s v="1-203 5939"/>
    <s v="USD "/>
    <n v="1.28"/>
    <s v="ea"/>
    <n v="200"/>
    <n v="0.1"/>
  </r>
  <r>
    <x v="159"/>
    <s v="PIN-DOWEL 3mm X 10mm-HARDENED STEEL"/>
    <s v="PACTUMAX"/>
    <s v="91595A108"/>
    <s v="SGD"/>
    <n v="0.35899999999999999"/>
    <s v="ea"/>
    <n v="100"/>
    <n v="0.1"/>
  </r>
  <r>
    <x v="160"/>
    <s v="SPRING-COMPRESSION-.250 OD 224 ID .38 LB/IN .013 DIA .88 LG"/>
    <s v="SINGAPORE SPRING"/>
    <s v="S-1313"/>
    <s v="SGD"/>
    <n v="9.81"/>
    <s v="ea"/>
    <n v="10"/>
    <n v="0.1"/>
  </r>
  <r>
    <x v="161"/>
    <s v="CAMERA-652X494 PROG SCAN-USB DIGITAL-RECTANGLE"/>
    <s v="COHU MALAYSIA SDN BHD"/>
    <s v="CAUB1A1003080RG00000"/>
    <s v="USD "/>
    <n v="935"/>
    <s v="ea"/>
    <n v="1"/>
    <n v="0.1"/>
  </r>
  <r>
    <x v="162"/>
    <s v="THERMAL CUTOUT-PROTECTOR 175C W/INSULATED WIRE LEADS"/>
    <s v="Allied Inventory Systems"/>
    <s v="S7AM316A5-16"/>
    <s v="USD "/>
    <n v="19.559999999999999"/>
    <s v="ea"/>
    <n v="100"/>
    <n v="0.1"/>
  </r>
  <r>
    <x v="163"/>
    <s v="FASTENER-CAPTIVE M5-5MM FLANGE-HAND OP."/>
    <s v="TEXTRAN FASTERNERS SDN BHD"/>
    <s v=" 47-80-582-10"/>
    <s v="MYR"/>
    <n v="6.3"/>
    <s v="ea"/>
    <n v="100"/>
    <n v="0.06"/>
  </r>
  <r>
    <x v="164"/>
    <s v="SOLDER-SAC305-LEAD FREE-NO CLEAN FLUX"/>
    <s v="MOUSER ELECTRONICS"/>
    <s v="14048_x000a_SAC305 GLOWCORE .032_x000a_738-14048"/>
    <s v="MYR"/>
    <n v="319.47000000000003"/>
    <s v="ea"/>
    <n v="1"/>
    <n v="0.06"/>
  </r>
  <r>
    <x v="165"/>
    <s v="GAUGE-PRESSURE 0-60 PSI 1/8 NPT 1 INCH DIAL"/>
    <s v="P&amp;P PROCESS &amp; PNEUMATICS SDN BHD"/>
    <s v="K4510N18060"/>
    <s v="MYR"/>
    <n v="120"/>
    <s v="ea"/>
    <n v="1"/>
    <n v="0.06"/>
  </r>
  <r>
    <x v="166"/>
    <s v="DOWEL PIN 6MM X 10MM-SS"/>
    <s v="MISUMI"/>
    <s v="MSC6-10"/>
    <s v="MYR"/>
    <n v="3.23"/>
    <s v="ea"/>
    <n v="1"/>
    <n v="0.06"/>
  </r>
  <r>
    <x v="167"/>
    <s v="BUSHING-FLANGED-12MM OD X 6.15MM ID X 13MM LG-HARDENED"/>
    <s v="MISUMI"/>
    <s v="KJBST12-P6.15-L13-T5.0"/>
    <s v="MYR"/>
    <n v="49.64"/>
    <s v="ea"/>
    <n v="1"/>
    <n v="0.06"/>
  </r>
  <r>
    <x v="168"/>
    <s v="PIN-LOCATING 4MM DIA SHANK-5MM DIA HD X 3MM LG-HARD TOOL STL"/>
    <s v="MISUMI"/>
    <s v="LPEJC4-P5.00-B3.0-R2-L5"/>
    <s v="MYR"/>
    <n v="38.119999999999997"/>
    <s v="ea"/>
    <n v="1"/>
    <n v="0.06"/>
  </r>
  <r>
    <x v="169"/>
    <s v="PIN-LOCATING 3MM DIA SHANK-1.47MM DIA HD X 3MM LG-HD TL ST"/>
    <s v="MISUMI"/>
    <s v="STPHTPR-D3.00-L7.8-P1.47-B3.0"/>
    <s v="MYR"/>
    <n v="125.25"/>
    <s v="ea"/>
    <n v="1"/>
    <n v="0.06"/>
  </r>
  <r>
    <x v="170"/>
    <s v="PIN-LOCATING 5MM DIA SHANK-6MM DIA HD X 7MM LG-HARD TOOL STL"/>
    <s v="MISUMI"/>
    <s v="FPJAT5-P6.00-L5-B7.0-T1.0"/>
    <s v="MYR"/>
    <n v="70.459999999999994"/>
    <s v="ea"/>
    <n v="1"/>
    <n v="0.06"/>
  </r>
  <r>
    <x v="171"/>
    <s v="PIN-DOWEL 5mm X 14mm SST"/>
    <s v="PACTUMAX"/>
    <s v="91585A113"/>
    <s v="SGD"/>
    <n v="1.012"/>
    <s v="ea"/>
    <n v="25"/>
    <n v="0.1"/>
  </r>
  <r>
    <x v="172"/>
    <s v="SCREW-THUMB-KNURLED-CAPTIVE-M5 X16MM LG-SST"/>
    <s v="MISUMI"/>
    <s v="FRNCS5-5-16"/>
    <s v="MYR"/>
    <n v="36.909999999999997"/>
    <s v="ea"/>
    <n v="1"/>
    <n v="0.06"/>
  </r>
  <r>
    <x v="173"/>
    <s v="SCREW-MACH FLH SKT M6 X 1.0 X 25MM-SST"/>
    <s v="PACTUMAX"/>
    <s v="92125A242"/>
    <s v="SGD"/>
    <n v="0.62"/>
    <s v="ea"/>
    <n v="25"/>
    <n v="0.1"/>
  </r>
  <r>
    <x v="174"/>
    <s v="LATCH-ROTATING CPRSN .125 .250 GRIP RANGE-HEX TOOL OPERATED"/>
    <s v="GRIPWELL FASTENING (M) SDN BHD"/>
    <s v="E3-56-15"/>
    <s v="SGD"/>
    <n v="59.9"/>
    <s v="ea"/>
    <n v="5"/>
    <n v="0.1"/>
  </r>
  <r>
    <x v="175"/>
    <s v="HINGE-FRICTION-6.9 LB-IN."/>
    <s v="Allied Inventory Systems"/>
    <s v="PHC-0.78-01-01"/>
    <s v="USD "/>
    <n v="128"/>
    <s v="ea"/>
    <n v="4"/>
    <n v="0.1"/>
  </r>
  <r>
    <x v="176"/>
    <s v="BUMPER-RUBBER-18MM DIA-15MM HIGH-C'SUNK"/>
    <s v="MISUMI"/>
    <s v="RBZN-D18-V5-H10-G9-L15"/>
    <s v="MYR"/>
    <n v="32.92"/>
    <s v="ea"/>
    <n v="1"/>
    <n v="0.06"/>
  </r>
  <r>
    <x v="177"/>
    <s v="MAGNET-DISC-DIA 6MM X 3 THK"/>
    <s v="CSB SPRING &amp; HARDWARE SDN BHD"/>
    <s v="MAGNET-DISC DIA 6MM X 3MM THK"/>
    <s v="MYR"/>
    <n v="7"/>
    <s v="ea"/>
    <n v="1"/>
    <n v="0.06"/>
  </r>
  <r>
    <x v="178"/>
    <s v="FITTING-BARBED M3 1.6MM TUBE-BRASS"/>
    <s v="BESWICK"/>
    <s v="M3H-1012"/>
    <s v="SGD"/>
    <n v="5.4"/>
    <s v="ea"/>
    <n v="1"/>
    <n v="0.1"/>
  </r>
  <r>
    <x v="179"/>
    <s v="PIN-DOWEL 6mm X 20mm SST"/>
    <s v="PACTUMAX"/>
    <s v="91585A160"/>
    <s v="SGD"/>
    <n v="1.88"/>
    <s v="ea"/>
    <n v="10"/>
    <n v="0.1"/>
  </r>
  <r>
    <x v="180"/>
    <s v="SCREW-BTNHD HEXSKT M4 X 0.7 X 14MM"/>
    <s v="PACTUMAX"/>
    <s v="92095A193"/>
    <s v="SGD"/>
    <n v="0.42399999999999999"/>
    <s v="ea"/>
    <n v="50"/>
    <n v="0.1"/>
  </r>
  <r>
    <x v="181"/>
    <s v="SCREW-THUMB-KNURLED-M4 W/RED PLASTIC HEAD"/>
    <s v="MISUMI"/>
    <s v="CRKR4-10"/>
    <s v="MYR"/>
    <n v="4.21"/>
    <s v="ea"/>
    <n v="1"/>
    <n v="0.06"/>
  </r>
  <r>
    <x v="182"/>
    <s v="WASHER-LK EXTERNAL TOOTH M4 4.3 ID X 8.0 OD X .5 THK SST"/>
    <s v="PACTUMAX"/>
    <s v="95060A330"/>
    <s v="SGD"/>
    <n v="7.0999999999999994E-2"/>
    <s v="ea"/>
    <n v="100"/>
    <n v="0.1"/>
  </r>
  <r>
    <x v="183"/>
    <s v="POWER SUPPLY-48VDC ADJUSTABLE-150W-UNIVERSAL INPUT"/>
    <s v="DIGI KEY ELECTRONICS"/>
    <s v="HRP-150-48_x000a_HWS150-48/HD_x000a_HWS150A-48/A_x000a_HWS150A-48/ME"/>
    <s v="MYR"/>
    <n v="309.02"/>
    <s v="ea"/>
    <n v="1"/>
    <n v="0.06"/>
  </r>
  <r>
    <x v="184"/>
    <s v="LINEAR FORCER-CE-220.3 LB MAX F-PAR WND-CUST MNT"/>
    <s v="Aims Motion Technology Sdn Bhd"/>
    <s v="CW-310-5C-AC-14278"/>
    <s v="MYR"/>
    <n v="6380"/>
    <s v="ea"/>
    <n v="1"/>
    <n v="0.06"/>
  </r>
  <r>
    <x v="185"/>
    <s v="LINEAR FORCER-CE-45.5LB MAX F-WNDS W/HALL M3 TAP"/>
    <s v="Aims Motion Technology Sdn Bhd"/>
    <s v="CW-110-2C-NC-14277"/>
    <s v="MYR"/>
    <n v="5619"/>
    <s v="ea"/>
    <n v="1"/>
    <n v="0.06"/>
  </r>
  <r>
    <x v="186"/>
    <s v="WIRE-HOOK UP-22 AWG-BLK-PVC"/>
    <s v="DIGI KEY ELECTRONICS"/>
    <s v="1855/19-2"/>
    <s v="MYR"/>
    <n v="419.62"/>
    <s v="ft"/>
    <n v="100"/>
    <n v="0.06"/>
  </r>
  <r>
    <x v="187"/>
    <s v="SCREW-SHOULDER-6mm DIA X 12mm LG"/>
    <s v="Allied Inventory Systems"/>
    <s v="PZM-22"/>
    <s v="USD "/>
    <n v="4.1100000000000003"/>
    <s v="ea"/>
    <n v="50"/>
    <n v="0.1"/>
  </r>
  <r>
    <x v="188"/>
    <s v="WIRE-HOOK UP-20 AWG-GRN-PVC"/>
    <s v="DIGI KEY ELECTRONICS"/>
    <s v="1856/19-4"/>
    <s v="MYR"/>
    <n v="5.0457000000000001"/>
    <s v="ft"/>
    <n v="100"/>
    <n v="0.06"/>
  </r>
  <r>
    <x v="189"/>
    <s v="MODULE DEVICENET DIGITAL IN SINK 4 CH"/>
    <s v="WAGO ELECTRONICS"/>
    <s v="750-409"/>
    <s v="SGD"/>
    <n v="47.58"/>
    <s v="ea"/>
    <n v="1"/>
    <n v="0.1"/>
  </r>
  <r>
    <x v="190"/>
    <s v="MODULE DEVICENET DIGITAL OUT SOURCE 4 CH"/>
    <s v="WAGO ELECTRONICS"/>
    <s v="750-504"/>
    <s v="SGD"/>
    <n v="53.8"/>
    <s v="ea"/>
    <n v="1"/>
    <n v="0.1"/>
  </r>
  <r>
    <x v="191"/>
    <s v="WASHER-FL-ZINC M5 X 5.3 ID X 15.00 OD X 1.0 THK STL"/>
    <s v="PACTUMAX"/>
    <s v="91100A140"/>
    <s v="SGD"/>
    <n v="9.1999999999999998E-2"/>
    <s v="ea"/>
    <n v="100"/>
    <n v="0.1"/>
  </r>
  <r>
    <x v="192"/>
    <s v="SCREW-BTNHD HEXSKT M4 X 0.7 X 16mm SST"/>
    <s v="PACTUMAX"/>
    <s v="92095A194"/>
    <s v="SGD"/>
    <n v="0.28000000000000003"/>
    <s v="ea"/>
    <n v="100"/>
    <n v="0.1"/>
  </r>
  <r>
    <x v="193"/>
    <s v="PIN-DOWEL 6mm X 15mm HARDENED STEEL"/>
    <s v="MISUMI"/>
    <s v="MSV615_x000a_(MSV6-15)"/>
    <s v="MYR"/>
    <n v="19.72"/>
    <s v="ea"/>
    <n v="1"/>
    <n v="0.06"/>
  </r>
  <r>
    <x v="194"/>
    <s v="SCREW-CAPTIVE-SKT HD-M4 X 12mm SST"/>
    <s v="MISUMI"/>
    <s v="GUTB4-5-12"/>
    <s v="MYR"/>
    <n v="5.38"/>
    <s v="ea"/>
    <n v="1"/>
    <n v="0.06"/>
  </r>
  <r>
    <x v="195"/>
    <s v="THUMB SCREW HEAD-KNURLED-M8 SCREW"/>
    <s v="PACTUMAX"/>
    <s v="91175A066 BLACK_x000a_91175A066-BLACK"/>
    <s v="SGD"/>
    <n v="0.67600000000000005"/>
    <s v="ea"/>
    <n v="25"/>
    <n v="0.1"/>
  </r>
  <r>
    <x v="196"/>
    <s v="LOCATING PIN-6.00mm OD HD-4mm OD SFT-TAPER-SST"/>
    <s v="MISUMI"/>
    <s v="CFPBA4-P6.00-L6-B5.0"/>
    <s v="MYR"/>
    <n v="74.59"/>
    <s v="ea"/>
    <n v="1"/>
    <n v="0.06"/>
  </r>
  <r>
    <x v="197"/>
    <s v="DIAMOND PIN-6.00mm OD HD-4mm OD SFT-TAPER-SST"/>
    <s v="MISUMI"/>
    <s v="CFPBD4-P6.00-L6-B5.0"/>
    <s v="MYR"/>
    <n v="96.56"/>
    <s v="ea"/>
    <n v="1"/>
    <n v="0.06"/>
  </r>
  <r>
    <x v="198"/>
    <s v="CONT-PIN  M  C/P LONG  24-20 AWG (PKG/10)"/>
    <s v="MOUSER ELECTRONICS"/>
    <s v="164163-2"/>
    <s v="USD "/>
    <n v="2.75"/>
    <s v="ea"/>
    <n v="1"/>
    <n v="0.1"/>
  </r>
  <r>
    <x v="199"/>
    <s v="CONTACT-PIN M C/P LONG 18-16 AWG"/>
    <s v="MOUSER ELECTRONICS"/>
    <s v="164164-2"/>
    <s v="USD "/>
    <n v="1.58"/>
    <s v="ea"/>
    <n v="1"/>
    <n v="0.1"/>
  </r>
  <r>
    <x v="200"/>
    <s v="BEARING-BALL-TYPE X-2.0 ID 2.50 OD .25 THK"/>
    <s v="PACTUMAX"/>
    <s v="KA020XP0_x000a_SA020XP0K_x000a_6656K11"/>
    <s v="SGD"/>
    <n v="882"/>
    <s v="ea"/>
    <n v="1"/>
    <n v="0.1"/>
  </r>
  <r>
    <x v="201"/>
    <s v="CABLE-6 COND 22 AWG HIGH FLEX SHIELDED"/>
    <s v="Allied Inventory Systems"/>
    <s v="NMEF 6/22-6540-SJ"/>
    <s v="USD "/>
    <n v="22.87"/>
    <s v="ft"/>
    <n v="100"/>
    <n v="0.1"/>
  </r>
  <r>
    <x v="202"/>
    <s v="CABLE-3 COND 24 AWG HIGH FLEX SHIELDED"/>
    <s v="Allied Inventory Systems"/>
    <s v="NMEF 3/24-10544-SJ"/>
    <s v="USD "/>
    <n v="8.56"/>
    <s v="ft"/>
    <n v="100"/>
    <n v="0.1"/>
  </r>
  <r>
    <x v="203"/>
    <s v="*SC* CONN 20 POS MALE HOUSING RECT."/>
    <s v="MOUSER ELECTRONICS"/>
    <s v="201356-1"/>
    <s v="USD "/>
    <n v="11.35"/>
    <s v="ea"/>
    <n v="1"/>
    <n v="0.1"/>
  </r>
  <r>
    <x v="204"/>
    <s v="CONN-CPC 7 POS STD SEX FLANGE METAL"/>
    <s v="MOUSER ELECTRONICS"/>
    <s v="208715-1"/>
    <s v="USD "/>
    <n v="48.78"/>
    <s v="ea"/>
    <n v="1"/>
    <n v="0.1"/>
  </r>
  <r>
    <x v="205"/>
    <s v="PULLEY-TIMING 3mmP GT 52 GRV .3125 BORE"/>
    <s v="YORK INDUSTRIES"/>
    <s v="52-3GT-P-8A"/>
    <s v="USD "/>
    <n v="158.03"/>
    <s v="ea"/>
    <n v="1"/>
    <n v="0.1"/>
  </r>
  <r>
    <x v="206"/>
    <s v="AMPLIFIER-FIBER OPTIC NEO-DUAL DISP-MAIN UNIT"/>
    <s v="KEYENCE(MALAYSIA) S/B"/>
    <s v="FS-N11N"/>
    <s v="MYR"/>
    <n v="305"/>
    <s v="ea"/>
    <n v="1"/>
    <n v="0.06"/>
  </r>
  <r>
    <x v="207"/>
    <s v="AMPLIFIER-FIBER OPTIC NEO-DUAL DISP-EXPANSION UNIT"/>
    <s v="KEYENCE(MALAYSIA) S/B"/>
    <s v="FS-N12N"/>
    <s v="MYR"/>
    <n v="305"/>
    <s v="ea"/>
    <n v="1"/>
    <n v="0.06"/>
  </r>
  <r>
    <x v="208"/>
    <s v="MAGNET-10mm OD 3mm LG"/>
    <s v="MISUMI"/>
    <s v="HXD10"/>
    <s v="MYR"/>
    <n v="33.74"/>
    <s v="ea"/>
    <n v="1"/>
    <n v="0.06"/>
  </r>
  <r>
    <x v="209"/>
    <s v="PIN-LOCATING 3MM DIA SHANK-1.50MM HD X3MM LG HARD TOOL STEEL"/>
    <s v="MISUMI"/>
    <s v="STPHTPR-D3.00-L7.8-P1.50-B3.0"/>
    <s v="MYR"/>
    <n v="125.25"/>
    <s v="ea"/>
    <n v="1"/>
    <n v="0.06"/>
  </r>
  <r>
    <x v="210"/>
    <s v="PIN-LOCATING 3MM DIA SHANK-1.52MM HD X3MM LG HARD TOOL STEEL"/>
    <s v="MISUMI"/>
    <s v="STPHTPR-D3.00-L7.8-P1.52-B3.0"/>
    <s v="MYR"/>
    <n v="125.25"/>
    <s v="ea"/>
    <n v="1"/>
    <n v="0.06"/>
  </r>
  <r>
    <x v="211"/>
    <s v="CABLE-COMM-CROSSOVER-7FT-CAT5E-RJ45-BLUE"/>
    <s v="ELEMENT 14"/>
    <s v="TRD815CRBL-7"/>
    <s v="MYR"/>
    <n v="94.82"/>
    <s v="ea"/>
    <n v="1"/>
    <n v="0.06"/>
  </r>
  <r>
    <x v="212"/>
    <s v="VACUUM CUP-DIA 2.5MM-LG 3.3MM-FLAT-ESD1-BOSS 590127"/>
    <s v="AMS"/>
    <s v="VSP-3.3A-2.5_Rev2"/>
    <s v="MYR"/>
    <n v="23.25"/>
    <s v="ea"/>
    <n v="50"/>
    <n v="0.06"/>
  </r>
  <r>
    <x v="213"/>
    <s v="STOPPER-BOLT STRAIGHT-M5 15LG"/>
    <s v="MISUMI"/>
    <s v="USUS5-15"/>
    <s v="MYR"/>
    <n v="22"/>
    <s v="ea"/>
    <n v="1"/>
    <n v="0.06"/>
  </r>
  <r>
    <x v="214"/>
    <s v="*SC* GREASE-BEARING LITHIUM BASED SYNTHETIC-70G"/>
    <s v="Nisan LM System &amp; Bearing Services"/>
    <s v="AFE-CA GREASE"/>
    <s v="MYR"/>
    <n v="75"/>
    <s v="ea"/>
    <n v="1"/>
    <n v="0.06"/>
  </r>
  <r>
    <x v="215"/>
    <s v="SERVO MOTOR DRIVER SSt-M733 300VDC 12 AMPS"/>
    <s v="TEKNIC"/>
    <s v="ISC-M733-RCX-5-5-D"/>
    <s v="USD "/>
    <n v="1042"/>
    <s v="ea"/>
    <n v="1"/>
    <n v="0.1"/>
  </r>
  <r>
    <x v="216"/>
    <s v="SPRAY-LICRON CRYSTAL ESD-SAFE COATING"/>
    <s v="CHIPTRONICS (M) SDN BHD"/>
    <s v="1756-8S"/>
    <s v="MYR"/>
    <n v="223"/>
    <s v="ea"/>
    <n v="12"/>
    <n v="0.06"/>
  </r>
  <r>
    <x v="217"/>
    <s v="TUBING-ALUMINUM TUBE 1/8IN OD X .097IN ID"/>
    <s v="PACTUMAX"/>
    <s v="7237K14"/>
    <s v="SGD"/>
    <n v="4.8499999999999996"/>
    <s v="ea"/>
    <n v="3"/>
    <n v="0.1"/>
  </r>
  <r>
    <x v="218"/>
    <s v="MOTOR-DC SERVO W/ENCODER-8000 CPR-NEMA 23 MNT"/>
    <s v="TEKNIC"/>
    <s v="M-2321P-LN-08K"/>
    <s v="USD "/>
    <n v="292"/>
    <s v="ea"/>
    <n v="1"/>
    <n v="0.1"/>
  </r>
  <r>
    <x v="219"/>
    <s v="POWER SUPPLY-350W 75VDC 115/230VAC IN"/>
    <s v="Allied Inventory Systems"/>
    <s v="IPC-5"/>
    <s v="USD "/>
    <n v="278"/>
    <s v="ea"/>
    <n v="1"/>
    <n v="0.1"/>
  </r>
  <r>
    <x v="220"/>
    <s v="HEATER BLANKET-W/PSA-1 X 11.7-SILICONE RUBBER-3 ZONES"/>
    <s v="AZPOWER TECHNOLOGY"/>
    <s v="AZSR29725"/>
    <s v="MYR"/>
    <n v="220"/>
    <s v="ea"/>
    <n v="50"/>
    <n v="0.06"/>
  </r>
  <r>
    <x v="221"/>
    <s v="*SC* GLASS-LASER-5.8&quot; X 8&quot;"/>
    <s v="COHU MALAYSIA SDN BHD"/>
    <s v="P5P01"/>
    <s v="USD "/>
    <n v="159"/>
    <s v="ea"/>
    <n v="1"/>
    <n v="0.1"/>
  </r>
  <r>
    <x v="222"/>
    <s v="HINGE-FRICTION-20 LB-IN.-PHL"/>
    <s v="REELL_x000a_(Under Mosper Pte Ltd)"/>
    <s v="PHL-2.3-01"/>
    <s v="USD "/>
    <n v="74.12"/>
    <s v="ea"/>
    <n v="1"/>
    <n v="0.1"/>
  </r>
  <r>
    <x v="223"/>
    <s v="CABLE-SILIFLEX-4COND-SHIELDED-18AWG"/>
    <s v="Allied Inventory Systems"/>
    <s v="AS155-18-4SJ"/>
    <s v="USD "/>
    <n v="27.76"/>
    <s v="ft"/>
    <n v="1000"/>
    <n v="0.1"/>
  </r>
  <r>
    <x v="224"/>
    <s v="CABLE-SILIFLEX-3COND-SHIELDED-24AWG"/>
    <s v="Allied Inventory Systems"/>
    <s v="AS155-24-3SJ"/>
    <s v="USD "/>
    <n v="14.98"/>
    <s v="ft"/>
    <n v="1000"/>
    <n v="0.1"/>
  </r>
  <r>
    <x v="225"/>
    <s v="ETHERNET CARD-10/100/1000 MBPS PCI EXPRESS"/>
    <s v="RS COMPONENTS"/>
    <s v="ST1000SPEXD4"/>
    <s v="MYR"/>
    <n v="824.42"/>
    <s v="ea"/>
    <n v="1"/>
    <n v="0.06"/>
  </r>
  <r>
    <x v="226"/>
    <s v="ESD MONITORING-CONTROLLER UNIT-NOVX 3362"/>
    <s v="DOU YEE"/>
    <s v="91-3362MP-01"/>
    <s v="USD "/>
    <n v="3068"/>
    <s v="ea"/>
    <n v="1"/>
    <n v="0.1"/>
  </r>
  <r>
    <x v="227"/>
    <s v="ESD MONITORING-ANTENNA RECTANGULAR 5&quot;-NOVX 3362"/>
    <s v="DOU YEE"/>
    <s v="33-0509-15"/>
    <s v="USD "/>
    <n v="386"/>
    <s v="ea"/>
    <n v="1"/>
    <n v="0.1"/>
  </r>
  <r>
    <x v="228"/>
    <s v="VACUUM CUP-DIA 3.0MM-LG 7.9MM-BELLOW-ESD1-590127"/>
    <s v="AMS"/>
    <s v="TBB-3.0-7.92"/>
    <s v="MYR"/>
    <n v="23.25"/>
    <s v="ea"/>
    <n v="50"/>
    <n v="0.06"/>
  </r>
  <r>
    <x v="229"/>
    <s v="CABLE-USB-HI FLEX-3 METER W/HIROSE 10 PIN CONN-FST-SLEEVE"/>
    <s v="COHU MALAYSIA SDN BHD"/>
    <s v="EKRK 053915 R 00"/>
    <s v="USD "/>
    <n v="168.38"/>
    <s v="ea"/>
    <n v="1"/>
    <n v="0.1"/>
  </r>
  <r>
    <x v="230"/>
    <s v="SERVO MOTOR DRIVER ISC-M543 90VDC 12 AMPS"/>
    <s v="TEKNIC"/>
    <s v="ISC-M543-RCx"/>
    <s v="USD "/>
    <n v="687"/>
    <s v="ea"/>
    <n v="1"/>
    <n v="0.1"/>
  </r>
  <r>
    <x v="231"/>
    <s v="NYLON PLASIC SNAP-IN PANEL PLUG-3/16&quot; ID"/>
    <s v="PACTUMAX"/>
    <s v="9688K211_x000a_(Black or Off white)"/>
    <s v="SGD"/>
    <n v="0.23300000000000001"/>
    <s v="ea"/>
    <n v="100"/>
    <n v="0.1"/>
  </r>
  <r>
    <x v="232"/>
    <s v="IONIZER BAR TYPE 7 NOZZLE STANDARD"/>
    <s v="KEYENCE(MALAYSIA) S/B"/>
    <s v="SJ-M070"/>
    <s v="MYR"/>
    <n v="2990"/>
    <s v="ea"/>
    <n v="1"/>
    <n v="0.06"/>
  </r>
  <r>
    <x v="233"/>
    <s v="IONIZER BAR TYPE CONTROLLER UNIT FOR 541559-24VDC"/>
    <s v="KEYENCE(MALAYSIA) S/B"/>
    <s v="SJ-M300"/>
    <s v="MYR"/>
    <n v="1650"/>
    <s v="ea"/>
    <n v="1"/>
    <n v="0.06"/>
  </r>
  <r>
    <x v="234"/>
    <s v="CABLE-IONIZER BAR TYPE FOR 541560-EXTENSION"/>
    <s v="KEYENCE(MALAYSIA) S/B"/>
    <s v="SJ-C3"/>
    <s v="MYR"/>
    <n v="332"/>
    <s v="ea"/>
    <n v="1"/>
    <n v="0.06"/>
  </r>
  <r>
    <x v="235"/>
    <s v="PRESSURE SWITCH-PRESSURE-0 TO 14.5 PSI"/>
    <s v="SMC"/>
    <s v="ISE1L-T1-15-L"/>
    <s v="MYR"/>
    <n v="351.85"/>
    <s v="ea"/>
    <n v="1"/>
    <n v="0.06"/>
  </r>
  <r>
    <x v="236"/>
    <s v="CABLE-USB-HI FLEX-5 METER W/HIROSE 10 PIN CONN-HYBRID"/>
    <s v="COHU MALAYSIA SDN BHD"/>
    <s v="EKRK 053914 R 00"/>
    <s v="USD "/>
    <n v="199.93"/>
    <s v="ea"/>
    <n v="1"/>
    <n v="0.1"/>
  </r>
  <r>
    <x v="237"/>
    <s v="EXTENSION SPRING-51.2MM-LONG-5.5MM-OD"/>
    <s v="PACTUMAX"/>
    <s v="1942N088"/>
    <s v="SGD"/>
    <n v="11.55"/>
    <s v="ea"/>
    <n v="2"/>
    <n v="0.1"/>
  </r>
  <r>
    <x v="238"/>
    <s v="BALLSCREW W/NUT-10mm DIA 4mm PITCH-MODIFIED"/>
    <s v="NISAN LM SYSTEM &amp; BEARING SERVICES"/>
    <s v="BNK 1004-2.5RRG0+190LC3Y_x000a_BNK 1004-2.5RRG0+190LC5Y MOD_x000a_BNK 1004-2.5RRGO+190LC5G_x000a_BNK 1004-2.5RRGT+190LC3Y"/>
    <s v="MYR"/>
    <n v="2320"/>
    <s v="ea"/>
    <n v="1"/>
    <n v="0.06"/>
  </r>
  <r>
    <x v="239"/>
    <s v="SHAFTLOC SLEEVE-.375 BORE-.50 OD .813 LG"/>
    <s v="Allied Inventory Systems"/>
    <s v="A 7Z39-1216"/>
    <s v="USD "/>
    <n v="44.24"/>
    <s v="ea"/>
    <n v="1"/>
    <n v="0.1"/>
  </r>
  <r>
    <x v="240"/>
    <s v="MOTOR-SERVO  NEMA 23 8000 CNT ENC .375 SHAFT"/>
    <s v="TEKNIC"/>
    <s v="M-2331P-LN-08K"/>
    <s v="USD "/>
    <n v="312"/>
    <s v="ea"/>
    <n v="1"/>
    <n v="0.1"/>
  </r>
  <r>
    <x v="241"/>
    <s v="NETWORK CONTROLLER MERIDIAN"/>
    <s v="Allied Inventory Systems"/>
    <s v="CON-MOD"/>
    <s v="USD "/>
    <n v="44"/>
    <s v="ea"/>
    <n v="1"/>
    <n v="0.1"/>
  </r>
  <r>
    <x v="242"/>
    <s v="POWER SUPPLY-6A 7.5KW 300VDC 90/415VAC IN"/>
    <s v="Allied Inventory Systems"/>
    <s v="IPC-75-FX-1-5-1"/>
    <s v="USD "/>
    <n v="456"/>
    <s v="ea"/>
    <n v="1"/>
    <n v="0.1"/>
  </r>
  <r>
    <x v="243"/>
    <s v="FLANGE-PULLEY-45 TOOTH GT2-3mm PITCH"/>
    <s v="Allied Inventory Systems"/>
    <s v="45-3GT-F10A"/>
    <s v="USD "/>
    <n v="12.56"/>
    <s v="ea"/>
    <n v="2"/>
    <n v="0.1"/>
  </r>
  <r>
    <x v="244"/>
    <s v="BELT-TIMING 3mmP 100 TOOTH 12mm W/NEOPRENE-FIBER"/>
    <s v="Allied Inventory Systems"/>
    <s v="300-3GT-12"/>
    <s v="USD "/>
    <n v="29.98"/>
    <s v="ea"/>
    <n v="2"/>
    <n v="0.1"/>
  </r>
  <r>
    <x v="245"/>
    <s v="PULLEY STOCK-45 TOOTH-GT2-3mm PITCH"/>
    <s v="Allied Inventory Systems"/>
    <s v="45-3GT-P-8A"/>
    <s v="USD "/>
    <n v="141.38"/>
    <s v="ea"/>
    <n v="2"/>
    <n v="0.1"/>
  </r>
  <r>
    <x v="246"/>
    <s v="SCREW-ULTRA LOW HD-M3 X 10"/>
    <s v="MISUMI"/>
    <s v="CBSTS8-10"/>
    <s v="MYR"/>
    <n v="18.5"/>
    <s v="ea"/>
    <n v="1"/>
    <n v="0.06"/>
  </r>
  <r>
    <x v="247"/>
    <s v="HINGE PIN-4mm X 24L-SST"/>
    <s v="MISUMI"/>
    <s v="SHCDG4-24"/>
    <s v="MYR"/>
    <n v="8.91"/>
    <s v="ea"/>
    <n v="1"/>
    <n v="0.06"/>
  </r>
  <r>
    <x v="248"/>
    <s v="HINGE PIN-4mm X 13L-SST"/>
    <s v="MISUMI"/>
    <s v="SHCCG4-13"/>
    <s v="MYR"/>
    <n v="33.1"/>
    <s v="ea"/>
    <n v="1"/>
    <n v="0.06"/>
  </r>
  <r>
    <x v="249"/>
    <s v="HANDLE-PULL-OFFSET-3&quot; LONG-STEEL"/>
    <s v="PACTUMAX"/>
    <s v="5245A227"/>
    <s v="SGD"/>
    <n v="17.399999999999999"/>
    <s v="ea"/>
    <n v="1"/>
    <n v="0.1"/>
  </r>
  <r>
    <x v="250"/>
    <s v="RAIL-TELESCOPIC-22mm X 353mm STROKE"/>
    <s v="Allied Inventory Systems"/>
    <s v="DEF22-290-353"/>
    <s v="USD "/>
    <n v="329.14"/>
    <s v="ea"/>
    <n v="12"/>
    <n v="0.1"/>
  </r>
  <r>
    <x v="251"/>
    <s v="CARRIAGE-LINEAR BEARING-LOW PROFILE-14MM RAIL"/>
    <s v="PACTUMAX"/>
    <s v="7917N18"/>
    <s v="SGD"/>
    <n v="154.1"/>
    <s v="ea"/>
    <n v="1"/>
    <n v="0.1"/>
  </r>
  <r>
    <x v="252"/>
    <s v="RAIL-LINEAR BEARING-LOW PROFILE-14MM RAIL"/>
    <s v="PACTUMAX"/>
    <s v="7917N6-50mm"/>
    <s v="SGD"/>
    <n v="68.599999999999994"/>
    <s v="ea"/>
    <n v="1"/>
    <n v="0.1"/>
  </r>
  <r>
    <x v="253"/>
    <s v="*SC*SCREW-ULTRA LOW HD CAP SKT M3 X 0.5 X 4mm SST"/>
    <s v="MISUMI"/>
    <s v="CBSTSR3-4"/>
    <s v="MYR"/>
    <n v="8.93"/>
    <s v="ea"/>
    <n v="1"/>
    <n v="0.06"/>
  </r>
  <r>
    <x v="254"/>
    <s v="SCREW-CAP SKT HD-M3 X 4mm-SST"/>
    <s v="PACTUMAX"/>
    <s v="91292A109"/>
    <s v="SGD"/>
    <n v="0.14199999999999999"/>
    <s v="ea"/>
    <n v="50"/>
    <n v="0.1"/>
  </r>
  <r>
    <x v="255"/>
    <s v="SCREW-SHOULDER-3mm DIA X 4mm L X M2 THREAD"/>
    <s v="PACTUMAX"/>
    <s v="92981A768"/>
    <s v="SGD"/>
    <n v="8"/>
    <s v="ea"/>
    <n v="1"/>
    <n v="0.1"/>
  </r>
  <r>
    <x v="256"/>
    <s v="BEARING-FLANGED-7mm OD X 4mm ID"/>
    <s v="PACTUMAX"/>
    <s v="57155K438"/>
    <s v="SGD"/>
    <n v="23.9"/>
    <s v="ea"/>
    <n v="1"/>
    <n v="0.1"/>
  </r>
  <r>
    <x v="257"/>
    <s v="STANDOFF-HEX-M4 MALE X M3 FEMALE X 15L"/>
    <s v="MISUMI"/>
    <s v="SLSBG-15-M4-M3_x000a_(SLSBG6-15-M4-N3)"/>
    <s v="MYR"/>
    <n v="42.01"/>
    <s v="ea"/>
    <n v="1"/>
    <n v="0.06"/>
  </r>
  <r>
    <x v="258"/>
    <s v="BRACKET"/>
    <s v="SMC"/>
    <s v="Y400T-A"/>
    <s v="MYR"/>
    <n v="23.2"/>
    <s v="ea"/>
    <n v="1"/>
    <n v="0.06"/>
  </r>
  <r>
    <x v="259"/>
    <s v="CONNECTOR BRACKET"/>
    <s v="SMC"/>
    <s v="Y400-A"/>
    <s v="MYR"/>
    <n v="18.600000000000001"/>
    <s v="ea"/>
    <n v="1"/>
    <n v="0.06"/>
  </r>
  <r>
    <x v="260"/>
    <s v="BRUSH-ANTISTATIC BREAD=20mm"/>
    <s v="CATHAY PHOTO PTE LTD"/>
    <s v="N/A"/>
    <s v="SGD"/>
    <n v="12"/>
    <s v="ea"/>
    <n v="20"/>
    <n v="0.1"/>
  </r>
  <r>
    <x v="261"/>
    <s v="BOX-STORAGE EGB 57X36X17"/>
    <s v="ELEMENT 14"/>
    <s v="N/A"/>
    <s v="MYR"/>
    <n v="4.34"/>
    <s v="ea"/>
    <n v="1"/>
    <n v="0.06"/>
  </r>
  <r>
    <x v="262"/>
    <s v="SHEET-BLACK-AUTO-TIGHTS 8&quot;X10"/>
    <s v="Edmund Optics Singapore Pte Ltd"/>
    <s v="NT54-577"/>
    <s v="SGD"/>
    <n v="75"/>
    <s v="ea"/>
    <n v="1"/>
    <n v="0.1"/>
  </r>
  <r>
    <x v="263"/>
    <s v="PUSHER-SPRING-COG M 4 HEX.S."/>
    <s v="Bossard"/>
    <s v="BN13367 M4"/>
    <s v="MYR"/>
    <n v="0.158"/>
    <s v="ea"/>
    <n v="10"/>
    <n v="0.06"/>
  </r>
  <r>
    <x v="264"/>
    <s v="PUSHER SPRING BALL M 4 SLIT"/>
    <s v="Bossard"/>
    <n v="1368109"/>
    <s v="MYR"/>
    <n v="3.42"/>
    <s v="ea"/>
    <n v="1"/>
    <n v="0.06"/>
  </r>
  <r>
    <x v="265"/>
    <s v="PUSHER-SPRING-BALL M 5 SLIT"/>
    <s v="Bossard"/>
    <s v="EH 2205.005"/>
    <s v="MYR"/>
    <n v="3.56"/>
    <s v="ea"/>
    <n v="1"/>
    <n v="0.06"/>
  </r>
  <r>
    <x v="266"/>
    <s v="PUSHER-SPRING-BALL M 6 SLIT"/>
    <s v="Bossard"/>
    <s v="EH 2205.006"/>
    <s v="MYR"/>
    <n v="6.69"/>
    <s v="ea"/>
    <n v="1"/>
    <n v="0.06"/>
  </r>
  <r>
    <x v="267"/>
    <s v="PUSHER-SPRING-BALL M 8 SLIT"/>
    <s v="Bossard"/>
    <s v="EH 2205.008"/>
    <s v="MYR"/>
    <n v="5.88"/>
    <s v="ea"/>
    <n v="1"/>
    <n v="0.06"/>
  </r>
  <r>
    <x v="268"/>
    <s v="PUSHER-SPRING-BALL M 3 SLIT"/>
    <s v="Bossard"/>
    <s v="EH 2205.003"/>
    <s v="MYR"/>
    <n v="3.97"/>
    <s v="ea"/>
    <n v="1"/>
    <n v="0.06"/>
  </r>
  <r>
    <x v="269"/>
    <s v="EH 22050 steel ball standard"/>
    <s v="Bossard"/>
    <s v="BN13363 M10"/>
    <s v="MYR"/>
    <n v="7.88"/>
    <s v="ea"/>
    <n v="10"/>
    <n v="0.06"/>
  </r>
  <r>
    <x v="270"/>
    <s v="SCREW-STOP-BALL M 8X30 HEX SKT"/>
    <s v="Bossard"/>
    <s v="Halder EH 2272.586"/>
    <s v="MYR"/>
    <n v="20.79"/>
    <s v="ea"/>
    <n v="50"/>
    <n v="0.06"/>
  </r>
  <r>
    <x v="271"/>
    <s v="SHAFT COLLAR  4x 8x 5 BLUE GALVANIZED"/>
    <s v="Bossard"/>
    <s v="DIN705A-BN1631 (ZP)"/>
    <s v="MYR"/>
    <n v="2.0369999999999999"/>
    <s v="ea"/>
    <n v="50"/>
    <n v="0.06"/>
  </r>
  <r>
    <x v="272"/>
    <s v="SHAFT COLLAR  6x12x 8 BLUE GALVANIZED"/>
    <s v="Bossard"/>
    <s v="DIN705A ZP"/>
    <s v="MYR"/>
    <n v="1.4450000000000001"/>
    <s v="ea"/>
    <n v="50"/>
    <n v="0.06"/>
  </r>
  <r>
    <x v="273"/>
    <s v="Adjusting rings w/o set scr st znb D705A"/>
    <s v="Bossard"/>
    <s v="BN1631 M8"/>
    <s v="MYR"/>
    <n v="3.99"/>
    <s v="ea"/>
    <n v="50"/>
    <n v="0.06"/>
  </r>
  <r>
    <x v="274"/>
    <s v="SHAFT COLLAR 10x20x10 BLUE GALVANIZED"/>
    <s v="Bossard"/>
    <s v="BN1631 10"/>
    <s v="MYR"/>
    <n v="4.2"/>
    <s v="ea"/>
    <n v="50"/>
    <n v="0.06"/>
  </r>
  <r>
    <x v="275"/>
    <s v="SHAFT COLLAR 12x22x12 BLUE GALVANIZED"/>
    <s v="Bossard"/>
    <s v="DIN705A ZP"/>
    <s v="MYR"/>
    <n v="3.3740000000000006"/>
    <s v="ea"/>
    <n v="50"/>
    <n v="0.06"/>
  </r>
  <r>
    <x v="276"/>
    <s v="SHAFT COLLAR 15X25X12 BLUE GALVANIZED "/>
    <s v="Bossard"/>
    <s v="DIN705A ZP BN1631"/>
    <s v="MYR"/>
    <n v="2.5249999999999999"/>
    <s v="ea"/>
    <n v="50"/>
    <n v="0.06"/>
  </r>
  <r>
    <x v="277"/>
    <s v="SHAFT COLLAR 25x40x16 BLUE GALVANIZED"/>
    <s v="Bossard"/>
    <s v="DIN705A ZP"/>
    <s v="MYR"/>
    <n v="9.1270000000000007"/>
    <s v="ea"/>
    <n v="25"/>
    <n v="0.06"/>
  </r>
  <r>
    <x v="278"/>
    <s v="Adjusting rings without set screw steel zinc plated blue"/>
    <s v="Bossard"/>
    <s v="DIN705A ZP BN1631"/>
    <s v="MYR"/>
    <n v="4.2"/>
    <s v="ea"/>
    <n v="50"/>
    <n v="0.06"/>
  </r>
  <r>
    <x v="279"/>
    <s v="SHAFT COLLAR  5x10x 6 BLUE GALVANIZED"/>
    <s v="Bossard"/>
    <s v="DIN705A ZP"/>
    <s v="MYR"/>
    <n v="2.4390000000000001"/>
    <s v="ea"/>
    <n v="100"/>
    <n v="0.06"/>
  </r>
  <r>
    <x v="280"/>
    <s v="RING-STOP FOR SHAFTS D= 8"/>
    <s v="Bossard"/>
    <s v="DIN7993A NOIRCIE"/>
    <s v="MYR"/>
    <n v="0.10099999999999999"/>
    <s v="ea"/>
    <n v="100"/>
    <n v="0.06"/>
  </r>
  <r>
    <x v="281"/>
    <s v="RING-STOP FOR SHAFTS D= 4 DIN7993A"/>
    <s v="Bossard"/>
    <s v="BN825 4"/>
    <s v="MYR"/>
    <n v="0.22"/>
    <s v="ea"/>
    <n v="200"/>
    <n v="0.06"/>
  </r>
  <r>
    <x v="282"/>
    <s v="Halder products"/>
    <s v="Bossard"/>
    <s v="Halder 22630.0011"/>
    <s v="MYR"/>
    <n v="32.549999999999997"/>
    <s v="ea"/>
    <n v="10"/>
    <n v="0.06"/>
  </r>
  <r>
    <x v="283"/>
    <s v="CIRCLIP FOR SHAFTS D=1.2"/>
    <s v="Bossard"/>
    <s v="DIN6799 SS BN809"/>
    <s v="MYR"/>
    <n v="0.16700000000000004"/>
    <s v="ea"/>
    <n v="100"/>
    <n v="0.06"/>
  </r>
  <r>
    <x v="284"/>
    <s v="CIRCLIP FOR SHAFTS D= 1.5"/>
    <s v="Bossard"/>
    <s v="DIN6799 ZP EN VRAC"/>
    <s v="MYR"/>
    <n v="6.1999999999999993E-2"/>
    <s v="ea"/>
    <n v="200"/>
    <n v="0.06"/>
  </r>
  <r>
    <x v="285"/>
    <s v="CIR-CLIP FOR SHAFTS D=1.9 "/>
    <s v="Bossard"/>
    <s v="DIN6799 BN810"/>
    <s v="MYR"/>
    <n v="0.109"/>
    <s v="ea"/>
    <n v="200"/>
    <n v="0.06"/>
  </r>
  <r>
    <x v="286"/>
    <s v="Circlips bulk st st D6799 Zn Plated"/>
    <s v="Bossard"/>
    <s v="BN810 2.3"/>
    <s v="MYR"/>
    <n v="4.8000000000000001E-2"/>
    <s v="ea"/>
    <n v="200"/>
    <n v="0.06"/>
  </r>
  <r>
    <x v="287"/>
    <s v="CIRCLIP FOR SHAFTS D= 3.2"/>
    <s v="Bossard"/>
    <s v="DIN6799 ZP EN VRAC"/>
    <s v="MYR"/>
    <n v="9.799999999999999E-2"/>
    <s v="ea"/>
    <n v="200"/>
    <n v="0.06"/>
  </r>
  <r>
    <x v="288"/>
    <s v="CIRCLIP FOR SHAFTS D= 4"/>
    <s v="Bossard"/>
    <s v="DIN6799 ZP EN VRAC"/>
    <s v="MYR"/>
    <n v="5.7999999999999996E-2"/>
    <s v="ea"/>
    <n v="200"/>
    <n v="0.06"/>
  </r>
  <r>
    <x v="289"/>
    <s v="Circlips bulk st znb D6799"/>
    <s v="Bossard"/>
    <s v="BN810 M5"/>
    <s v="MYR"/>
    <n v="0.11599999999999999"/>
    <s v="ea"/>
    <n v="200"/>
    <n v="0.06"/>
  </r>
  <r>
    <x v="290"/>
    <s v="CIRCLIP FOR SHAFTS D= 6 DIN6799 ZP EN VRAC"/>
    <s v="Bossard"/>
    <s v="BN810 M6"/>
    <s v="MYR"/>
    <n v="0.09"/>
    <s v="ea"/>
    <n v="200"/>
    <n v="0.06"/>
  </r>
  <r>
    <x v="291"/>
    <s v="Circlips bulk st znb D6799"/>
    <s v="Bossard"/>
    <s v="BN810 M7"/>
    <s v="MYR"/>
    <n v="0.21600000000000003"/>
    <s v="ea"/>
    <n v="100"/>
    <n v="0.06"/>
  </r>
  <r>
    <x v="292"/>
    <s v="CIRCLIP FOR SHAFTS D= 8 DIN6799"/>
    <s v="Bossard"/>
    <s v="N/A"/>
    <s v="MYR"/>
    <n v="0.155"/>
    <s v="ea"/>
    <n v="100"/>
    <n v="0.06"/>
  </r>
  <r>
    <x v="293"/>
    <s v="Circlips bulk st znb D6799"/>
    <s v="Bossard"/>
    <s v="BN810 D9"/>
    <s v="MYR"/>
    <n v="0.36800000000000005"/>
    <s v="ea"/>
    <n v="100"/>
    <n v="0.06"/>
  </r>
  <r>
    <x v="294"/>
    <s v="CIRCLIP FOR SHAFTS D= 0.8"/>
    <s v="Bossard"/>
    <s v="DIN6799 NOIRCI EN VRAC"/>
    <s v="MYR"/>
    <n v="0.10199999999999999"/>
    <s v="ea"/>
    <n v="200"/>
    <n v="0.06"/>
  </r>
  <r>
    <x v="295"/>
    <s v="CIRCLIP FOR SHAFTS D=4"/>
    <s v="Bossard"/>
    <s v="1254510  BN679"/>
    <s v="MYR"/>
    <n v="0.11900000000000001"/>
    <s v="ea"/>
    <n v="100"/>
    <n v="0.06"/>
  </r>
  <r>
    <x v="296"/>
    <s v="NUT-SLOTTED M12X1"/>
    <s v="INDUSTRIAL BEARING "/>
    <s v="N/A"/>
    <s v="USD "/>
    <n v="0.6"/>
    <s v="ea"/>
    <n v="10"/>
    <n v="0.1"/>
  </r>
  <r>
    <x v="297"/>
    <s v="NUT-SLOTTED M15x1 SELF-LOCKING"/>
    <s v="Bossard"/>
    <s v="BN1235"/>
    <s v="MYR"/>
    <n v="9.6989999999999998"/>
    <s v="ea"/>
    <n v="100"/>
    <n v="0.06"/>
  </r>
  <r>
    <x v="298"/>
    <s v="Slotted round nuts poly ins st znt"/>
    <s v="Bossard"/>
    <s v="BN1235 M10"/>
    <s v="MYR"/>
    <n v="3.36"/>
    <s v="ea"/>
    <n v="100"/>
    <n v="0.06"/>
  </r>
  <r>
    <x v="299"/>
    <s v="NUT-SLOTTED M17X1 SELF-LOCKING"/>
    <s v="Bossard"/>
    <s v="BN1235"/>
    <s v="MYR"/>
    <n v="4.2759999999999998"/>
    <s v="ea"/>
    <n v="50"/>
    <n v="0.06"/>
  </r>
  <r>
    <x v="300"/>
    <s v="NUT-SLOTTED M12x1 SELF-LOCKING"/>
    <s v="Bossard"/>
    <s v="BN1235"/>
    <s v="MYR"/>
    <n v="2.9330000000000003"/>
    <s v="ea"/>
    <n v="100"/>
    <n v="0.06"/>
  </r>
  <r>
    <x v="301"/>
    <s v="CARPET-RUBBER BLACK,MAT BR=1.20M"/>
    <s v="STATECH SYSTEM AG."/>
    <s v="1S167-R"/>
    <s v="CHF"/>
    <n v="92"/>
    <s v="m"/>
    <n v="10"/>
    <n v="0.1"/>
  </r>
  <r>
    <x v="302"/>
    <s v="HELICOIL STANDARD M 4.00X 6.00"/>
    <s v="ADVANCE BOLTS (MELAKA) S/B"/>
    <s v="N/A"/>
    <s v="MYR"/>
    <n v="0.66"/>
    <s v="ea"/>
    <n v="1"/>
    <n v="0.06"/>
  </r>
  <r>
    <x v="303"/>
    <s v="HELICOIL SCREW LOCK M3.00X4.50"/>
    <s v="ADVANCE BOLTS (MELAKA) S/B"/>
    <n v="41320030045"/>
    <s v="MYR"/>
    <n v="1.5"/>
    <s v="ea"/>
    <n v="100"/>
    <n v="0.06"/>
  </r>
  <r>
    <x v="304"/>
    <s v="SS Ø 1.0 X 4"/>
    <s v="Bossard"/>
    <s v="BN684 1 x 4"/>
    <s v="MYR"/>
    <n v="0.10300000000000001"/>
    <s v="ea"/>
    <n v="200"/>
    <n v="0.06"/>
  </r>
  <r>
    <x v="305"/>
    <s v="NUT-CRIMPING-HEX. M 5X2.2"/>
    <s v="Bossard"/>
    <s v="BN201 M5 1,8"/>
    <s v="MYR"/>
    <n v="0.67"/>
    <s v="ea"/>
    <n v="100"/>
    <n v="0.06"/>
  </r>
  <r>
    <x v="306"/>
    <s v="NAIL-RIBBED 1/2ROUN HEAD 2.5X5"/>
    <s v="Bossard"/>
    <n v="1153153"/>
    <s v="MYR"/>
    <n v="8.6999999999999994E-2"/>
    <s v="ea"/>
    <n v="200"/>
    <n v="0.06"/>
  </r>
  <r>
    <x v="307"/>
    <s v="NUT-HEX. 0.5d M 3"/>
    <s v="Bossard"/>
    <s v="DIN439B ZP"/>
    <s v="MYR"/>
    <n v="4.9000000000000002E-2"/>
    <s v="ea"/>
    <n v="200"/>
    <n v="0.06"/>
  </r>
  <r>
    <x v="308"/>
    <s v="Hex jam nut st 04 znb D439B"/>
    <s v="Bossard"/>
    <s v="BN124 M4"/>
    <s v="MYR"/>
    <n v="0.121"/>
    <s v="ea"/>
    <n v="200"/>
    <n v="0.06"/>
  </r>
  <r>
    <x v="309"/>
    <s v="NUT-HEX. 0.5D M 5"/>
    <s v="Bossard"/>
    <s v="BN124 M5"/>
    <s v="MYR"/>
    <n v="9.0999999999999998E-2"/>
    <s v="ea"/>
    <n v="200"/>
    <n v="0.06"/>
  </r>
  <r>
    <x v="310"/>
    <s v="NUT HEX. 0.5D M6"/>
    <s v="Bossard"/>
    <n v="1090666"/>
    <s v="MYR"/>
    <n v="0.20499999999999999"/>
    <s v="ea"/>
    <n v="100"/>
    <n v="0.06"/>
  </r>
  <r>
    <x v="311"/>
    <s v="NUT-HEX. 0.5d M 8"/>
    <s v="Bossard"/>
    <s v="BN124 M8"/>
    <s v="MYR"/>
    <n v="0.18600000000000003"/>
    <s v="ea"/>
    <n v="100"/>
    <n v="0.06"/>
  </r>
  <r>
    <x v="312"/>
    <s v="Hex jam nut st 04 znb D439B"/>
    <s v="Bossard"/>
    <s v="BN124 M10"/>
    <s v="MYR"/>
    <n v="0.68299999999999994"/>
    <s v="ea"/>
    <n v="100"/>
    <n v="0.06"/>
  </r>
  <r>
    <x v="313"/>
    <s v="NUT-HEX. 0.5D M10X1"/>
    <s v="Bossard"/>
    <s v="DIN439B ZP BN1207"/>
    <s v="MYR"/>
    <n v="0.28700000000000003"/>
    <s v="ea"/>
    <n v="100"/>
    <n v="0.06"/>
  </r>
  <r>
    <x v="314"/>
    <s v="NUT HEX. 0.5D M12 ISO4035"/>
    <s v="BOSSARD"/>
    <s v="BN124_x000a_BOSSARD NO:1090704"/>
    <s v="MYR"/>
    <n v="1.266"/>
    <s v="ea"/>
    <n v="100"/>
    <n v="0.06"/>
  </r>
  <r>
    <x v="315"/>
    <s v="NUT-HEX. 0.8d M2 DIN934 ZP KL.6"/>
    <s v="Bossard"/>
    <s v="BN109 M2"/>
    <s v="MYR"/>
    <n v="5.2999999999999999E-2"/>
    <s v="ea"/>
    <n v="200"/>
    <n v="0.06"/>
  </r>
  <r>
    <x v="316"/>
    <s v="NUT-HEX. 0.8D M 2.5"/>
    <s v="Bossard"/>
    <s v="BN109 M2 X 5"/>
    <s v="MYR"/>
    <n v="6.6000000000000003E-2"/>
    <s v="ea"/>
    <n v="200"/>
    <n v="0.06"/>
  </r>
  <r>
    <x v="317"/>
    <s v="NUT-HEX. 0.8d M 8"/>
    <s v="Bossard"/>
    <s v="DIN934 ZP KL.8"/>
    <s v="MYR"/>
    <n v="0.25900000000000001"/>
    <s v="ea"/>
    <n v="200"/>
    <n v="0.06"/>
  </r>
  <r>
    <x v="318"/>
    <s v="NUT-HEX. 0.8d M 3"/>
    <s v="Bossard"/>
    <s v="DIN934 ZP KL.8"/>
    <s v="MYR"/>
    <n v="2.1000000000000001E-2"/>
    <s v="ea"/>
    <n v="100"/>
    <n v="0.06"/>
  </r>
  <r>
    <x v="319"/>
    <s v="Hex nuts ~0,8d st 8 znb D934"/>
    <s v="Bossard"/>
    <s v="BN117 M4"/>
    <s v="MYR"/>
    <n v="9.6999999999999989E-2"/>
    <s v="ea"/>
    <n v="100"/>
    <n v="0.06"/>
  </r>
  <r>
    <x v="320"/>
    <s v="NUT-HEX. 0.8d M 6"/>
    <s v="Bossard"/>
    <s v="DIN934 ZP KL.8"/>
    <s v="MYR"/>
    <n v="2.5000000000000001E-2"/>
    <s v="ea"/>
    <n v="1000"/>
    <n v="0.06"/>
  </r>
  <r>
    <x v="321"/>
    <s v="NUT HEX. 0.8D M10"/>
    <s v="Bossard"/>
    <n v="1874780"/>
    <s v="MYR"/>
    <n v="0.31"/>
    <s v="ea"/>
    <n v="100"/>
    <n v="0.06"/>
  </r>
  <r>
    <x v="322"/>
    <s v="NUT-SELF-LOCKING M 3 LOW"/>
    <s v="Bossard"/>
    <s v="DIN985 ZP KL.6/8"/>
    <s v="MYR"/>
    <n v="3.4000000000000002E-2"/>
    <s v="ea"/>
    <n v="100"/>
    <n v="0.06"/>
  </r>
  <r>
    <x v="323"/>
    <s v="NUT-SELF-LOCKING M 4 LOW"/>
    <s v="Bossard"/>
    <s v="DIN985 ZP KL.6/8"/>
    <s v="MYR"/>
    <n v="5.2999999999999999E-2"/>
    <s v="ea"/>
    <n v="100"/>
    <n v="0.06"/>
  </r>
  <r>
    <x v="324"/>
    <s v="Hx lock nut low type st 6 znb D985"/>
    <s v="Bossard"/>
    <s v="BN161 M5"/>
    <s v="MYR"/>
    <n v="0.158"/>
    <s v="ea"/>
    <n v="100"/>
    <n v="0.06"/>
  </r>
  <r>
    <x v="325"/>
    <s v="Hx lock nut low type st 6 znb D985"/>
    <s v="Bossard"/>
    <s v="BN161 M 6"/>
    <s v="MYR"/>
    <n v="0.105"/>
    <s v="ea"/>
    <n v="100"/>
    <n v="0.06"/>
  </r>
  <r>
    <x v="326"/>
    <s v="NUT-SELF-LOCKING M 8 HIGH"/>
    <s v="Bossard"/>
    <s v="DIN982 ZP KL.8"/>
    <s v="MYR"/>
    <n v="0.46200000000000002"/>
    <s v="ea"/>
    <n v="100"/>
    <n v="0.06"/>
  </r>
  <r>
    <x v="327"/>
    <s v="Hex nuts ~0,8d st 8 znb D934"/>
    <s v="Bossard"/>
    <s v="BN117 M 16 a 200"/>
    <s v="MYR"/>
    <n v="0.87199999999999989"/>
    <s v="ea"/>
    <n v="200"/>
    <n v="0.06"/>
  </r>
  <r>
    <x v="328"/>
    <s v="NUT-HEX. 0.5d M16"/>
    <s v="Bossard"/>
    <s v="DIN439B ZP"/>
    <s v="MYR"/>
    <n v="2.25"/>
    <s v="ea"/>
    <n v="100"/>
    <n v="0.06"/>
  </r>
  <r>
    <x v="329"/>
    <s v="NUT-HEX. 0.8d M 6"/>
    <s v="Bossard"/>
    <s v="DIN934 INOX"/>
    <s v="MYR"/>
    <n v="7.6999999999999999E-2"/>
    <s v="ea"/>
    <n v="100"/>
    <n v="0.06"/>
  </r>
  <r>
    <x v="330"/>
    <s v="TUBTARA® counters head open st zn"/>
    <s v="Bossard"/>
    <s v="BN4577 M8"/>
    <s v="MYR"/>
    <n v="2.2680000000000002"/>
    <s v="ea"/>
    <n v="100"/>
    <n v="0.06"/>
  </r>
  <r>
    <x v="331"/>
    <s v="NUT-HEX. 0.5d M 8x1"/>
    <s v="Bossard"/>
    <s v="BN1207 M8x1"/>
    <s v="MYR"/>
    <n v="0.21"/>
    <s v="ea"/>
    <n v="100"/>
    <n v="0.06"/>
  </r>
  <r>
    <x v="332"/>
    <s v="Hex jam nut st st A2 D439B"/>
    <s v="Bossard"/>
    <s v="BN630 M8"/>
    <s v="MYR"/>
    <n v="0.441"/>
    <s v="ea"/>
    <n v="100"/>
    <n v="0.06"/>
  </r>
  <r>
    <x v="333"/>
    <s v="NUT-CLIPS M3"/>
    <s v="KVC INDUSTRIAL SUPPLIES"/>
    <s v="AF1EA3"/>
    <s v="MYR"/>
    <n v="4.3"/>
    <s v="ea"/>
    <n v="100"/>
    <n v="0.06"/>
  </r>
  <r>
    <x v="334"/>
    <s v="NUT-HEX. 0.5d M 6"/>
    <s v="Bossard"/>
    <s v="DIN439B INOX"/>
    <s v="MYR"/>
    <n v="6.3E-2"/>
    <s v="ea"/>
    <n v="100"/>
    <n v="0.06"/>
  </r>
  <r>
    <x v="335"/>
    <s v="NUT-RIVET M 4 BLIND OPENED"/>
    <s v="Bossard"/>
    <s v="1174525 M4 BN4575"/>
    <s v="MYR"/>
    <n v="1.5469999999999999"/>
    <s v="ea"/>
    <n v="100"/>
    <n v="0.06"/>
  </r>
  <r>
    <x v="336"/>
    <s v="NUT-RIVET M 5 BLIND OPENED"/>
    <s v="Bossard"/>
    <s v="BN4575 M5UT/FEF 5,5"/>
    <s v="MYR"/>
    <n v="2.06"/>
    <s v="ea"/>
    <n v="100"/>
    <n v="0.06"/>
  </r>
  <r>
    <x v="337"/>
    <s v="TUBTARA® counters head open st zn"/>
    <s v="Bossard"/>
    <s v="BN4577 M4UT/FES 3,5 x 11.5 (L)"/>
    <s v="MYR"/>
    <n v="1.6279999999999999"/>
    <s v="ea"/>
    <n v="100"/>
    <n v="0.06"/>
  </r>
  <r>
    <x v="338"/>
    <s v="NUT RIVER BLIND COUNT.-HEAD M5X16 TUBTARA"/>
    <s v="BOSSARD"/>
    <s v="ARTICLE NO:1174339"/>
    <s v="MYR"/>
    <n v="1.25"/>
    <s v="ea"/>
    <n v="100"/>
    <n v="0.06"/>
  </r>
  <r>
    <x v="339"/>
    <s v="Self-clinching nuts st znb"/>
    <s v="Bossard"/>
    <s v="BN200 M3"/>
    <s v="MYR"/>
    <n v="0.72499999999999998"/>
    <s v="ea"/>
    <n v="100"/>
    <n v="0.06"/>
  </r>
  <r>
    <x v="340"/>
    <s v="SEAL-TORIC   1.2X1"/>
    <s v="TRELLEBORG SEALING SOLUTIONS SPORE PTE LTD"/>
    <s v="N/A"/>
    <s v="SGD"/>
    <n v="1.23"/>
    <s v="ea"/>
    <n v="100"/>
    <n v="0.1"/>
  </r>
  <r>
    <x v="341"/>
    <s v="SEAL-TORIC   1.8X1"/>
    <s v="TRELLEBORG SEALING SOLUTIONS SPORE PTE LTD"/>
    <s v="OR1000180-N7036"/>
    <s v="SGD"/>
    <n v="4.2"/>
    <s v="ea"/>
    <n v="500"/>
    <n v="0.1"/>
  </r>
  <r>
    <x v="342"/>
    <s v="SEAL-TORIC   2X1"/>
    <s v="TRELLEBORG SEALING SOLUTIONS SPORE PTE LTD"/>
    <s v="OR1000200-N7003"/>
    <s v="SGD"/>
    <n v="1.5"/>
    <s v="ea"/>
    <n v="100"/>
    <n v="0.1"/>
  </r>
  <r>
    <x v="343"/>
    <s v="SEAL-TORIC   3X1"/>
    <s v="TRELLEBORG SEALING SOLUTIONS SPORE PTE LTD"/>
    <s v="OR1000300-N7003"/>
    <s v="SGD"/>
    <n v="1.4"/>
    <s v="ea"/>
    <n v="200"/>
    <n v="0.1"/>
  </r>
  <r>
    <x v="344"/>
    <s v="SEAL-TORIC 4X1"/>
    <s v="TRELLEBORG SEALING SOLUTIONS SPORE PTE LTD"/>
    <s v="OR1000400-N70"/>
    <s v="SGD"/>
    <n v="2.0499999999999998"/>
    <s v="ea"/>
    <n v="100"/>
    <n v="0.1"/>
  </r>
  <r>
    <x v="345"/>
    <s v="SEAL-TORIC   5X1"/>
    <s v="KUBO TECH AG"/>
    <s v="0101-001121"/>
    <s v="CHF"/>
    <n v="0.40300000000000002"/>
    <s v="ea"/>
    <n v="25"/>
    <n v="0.1"/>
  </r>
  <r>
    <x v="346"/>
    <s v="SEAL-TORIC   6X1"/>
    <s v="KUBO TECH AG"/>
    <s v="N/A"/>
    <s v="CHF"/>
    <n v="2.1"/>
    <s v="ea"/>
    <n v="1"/>
    <n v="0.1"/>
  </r>
  <r>
    <x v="347"/>
    <s v="SEAL-TORIC  10X1"/>
    <s v="KUBO TECH AG"/>
    <s v="N/A"/>
    <s v="CHF"/>
    <n v="0.88"/>
    <s v="ea"/>
    <n v="10"/>
    <n v="0.1"/>
  </r>
  <r>
    <x v="348"/>
    <s v="SEAL-TORIC  16X1"/>
    <s v="NANOLOGY"/>
    <s v="NITRIL 75SH 16X1"/>
    <s v="SGD"/>
    <n v="1.5"/>
    <s v="ea"/>
    <n v="100"/>
    <n v="0.1"/>
  </r>
  <r>
    <x v="349"/>
    <s v="SEAL-TORIC  58X1"/>
    <s v="COHU MALAYSIA SDN BHD"/>
    <n v="2547"/>
    <s v="USD "/>
    <n v="0.68"/>
    <s v="ea"/>
    <n v="1"/>
    <n v="0.1"/>
  </r>
  <r>
    <x v="350"/>
    <s v="SEAL-TORIC   5X1.5"/>
    <s v="TRELLEBORG SEALING SOLUTIONS SPORE PTE LTD"/>
    <s v="OR1500500-N7003"/>
    <s v="SGD"/>
    <n v="2.1"/>
    <s v="ea"/>
    <n v="100"/>
    <n v="0.1"/>
  </r>
  <r>
    <x v="351"/>
    <s v="SEAL-TORIC   2.5X1"/>
    <s v="TRELLEBORG SEALING SOLUTIONS SPORE PTE LTD"/>
    <s v="OR1000250-N7003"/>
    <s v="SGD"/>
    <n v="1.5"/>
    <s v="ea"/>
    <n v="100"/>
    <n v="0.1"/>
  </r>
  <r>
    <x v="352"/>
    <s v="SEAL-TORIC   2X0.5"/>
    <s v="TRELLEBORG SEALING SOLUTIONS SPORE PTE LTD"/>
    <s v="OR0500200-N7024"/>
    <s v="SGD"/>
    <n v="4"/>
    <s v="ea"/>
    <n v="500"/>
    <n v="0.1"/>
  </r>
  <r>
    <x v="353"/>
    <s v="SEAL-V 7X2.4X3.7"/>
    <s v="COHU MALAYSIA SDN BHD"/>
    <s v="N/A"/>
    <s v="USD "/>
    <n v="0.9"/>
    <s v="ea"/>
    <n v="10"/>
    <n v="0.1"/>
  </r>
  <r>
    <x v="354"/>
    <s v="WASHER-FLAT 5.3X10X1 (M5) ISO7089"/>
    <s v="Bossard"/>
    <s v="BN1074"/>
    <s v="MYR"/>
    <n v="3.8000000000000006E-2"/>
    <s v="ea"/>
    <n v="100"/>
    <n v="0.06"/>
  </r>
  <r>
    <x v="355"/>
    <s v="BN223, 12x25x3"/>
    <s v="Bossard"/>
    <s v="BN223, 12x25x3"/>
    <s v="MYR"/>
    <n v="0.61799999999999999"/>
    <s v="ea"/>
    <n v="100"/>
    <n v="0.06"/>
  </r>
  <r>
    <x v="356"/>
    <s v="WASHER  6.4x18x1.6 DIN9021 PA (POLYAMIDE)"/>
    <s v="Bossard"/>
    <s v="BN1075 M6"/>
    <s v="MYR"/>
    <n v="0.21"/>
    <s v="ea"/>
    <n v="100"/>
    <n v="0.06"/>
  </r>
  <r>
    <x v="357"/>
    <s v="Split spr lock wash flt end mznb D127 B"/>
    <s v="Bossard"/>
    <s v="BN762 M3"/>
    <s v="MYR"/>
    <n v="8.299999999999999E-2"/>
    <s v="ea"/>
    <n v="200"/>
    <n v="0.06"/>
  </r>
  <r>
    <x v="358"/>
    <s v="WASHER SPRING M4 FE/ZN DIN127B"/>
    <s v="Bossard"/>
    <s v="BN 762 DIN127B M4 B"/>
    <s v="MYR"/>
    <n v="0.02"/>
    <s v="ea"/>
    <n v="200"/>
    <n v="0.06"/>
  </r>
  <r>
    <x v="359"/>
    <s v="WASHER-SPRING LOCK  5.1x 9.2x1.2"/>
    <s v="Bossard"/>
    <s v="DIN127B ZP"/>
    <s v="MYR"/>
    <n v="0.03"/>
    <s v="ea"/>
    <n v="200"/>
    <n v="0.06"/>
  </r>
  <r>
    <x v="360"/>
    <s v="WASHER-SPRING LOCK  6.1x11.8x1.6"/>
    <s v="Bossard"/>
    <s v="DIN127B ZP"/>
    <s v="MYR"/>
    <n v="4.3999999999999997E-2"/>
    <s v="ea"/>
    <n v="200"/>
    <n v="0.06"/>
  </r>
  <r>
    <x v="361"/>
    <s v="Split spr lock wash flt end mznb "/>
    <s v="Bossard"/>
    <s v="D127B - BN762"/>
    <s v="MYR"/>
    <n v="0.11599999999999999"/>
    <s v="ea"/>
    <n v="200"/>
    <n v="0.06"/>
  </r>
  <r>
    <x v="362"/>
    <s v="Split spr lock wash flt end st mzny D127 B"/>
    <s v="Bossard"/>
    <s v="BN763 M10"/>
    <s v="MYR"/>
    <n v="0.21200000000000002"/>
    <s v="ea"/>
    <n v="100"/>
    <n v="0.06"/>
  </r>
  <r>
    <x v="363"/>
    <s v="Ext serrat lock wash type A st znb D6798 A"/>
    <s v="Bossard"/>
    <s v="M 8a / 8,2 / 14  DIN6798A ZP"/>
    <s v="MYR"/>
    <n v="0.21200000000000002"/>
    <s v="ea"/>
    <n v="100"/>
    <n v="0.06"/>
  </r>
  <r>
    <x v="364"/>
    <s v="Serrated lock washers, type A, external serrations, Spring steel 350-425 HV, zinc plated blue"/>
    <s v="Bossard"/>
    <s v="BN781 M10"/>
    <s v="MYR"/>
    <n v="0.3"/>
    <s v="ea"/>
    <n v="100"/>
    <n v="0.06"/>
  </r>
  <r>
    <x v="365"/>
    <s v="WASHER SPRING  5.3X10X0.5 CONICAL"/>
    <s v="Bossard"/>
    <s v="DIN137A ZP"/>
    <s v="MYR"/>
    <n v="0.08"/>
    <s v="ea"/>
    <n v="100"/>
    <n v="0.06"/>
  </r>
  <r>
    <x v="366"/>
    <s v="Curved spr wash type A st zp D137 A"/>
    <s v="Bossard"/>
    <s v="BN797 M6"/>
    <s v="MYR"/>
    <n v="6.1999999999999993E-2"/>
    <s v="ea"/>
    <n v="200"/>
    <n v="0.06"/>
  </r>
  <r>
    <x v="367"/>
    <s v="WASHER-SPRING  8.4X15X0.5 CONICAL"/>
    <s v="Bossard"/>
    <s v="DIN137A ZP"/>
    <s v="MYR"/>
    <n v="0.11199999999999999"/>
    <s v="ea"/>
    <n v="200"/>
    <n v="0.06"/>
  </r>
  <r>
    <x v="368"/>
    <s v="WASHER-SPRING-LOCK 4.1X7.6X0.9 (M4) DIN127A"/>
    <s v="Bossard"/>
    <s v="BN 759 M4"/>
    <s v="MYR"/>
    <n v="0.10300000000000001"/>
    <s v="ea"/>
    <n v="200"/>
    <n v="0.06"/>
  </r>
  <r>
    <x v="369"/>
    <s v="Flt wash w/o chamfer st znb D125A"/>
    <s v="Bossard"/>
    <s v="BN715 M8"/>
    <s v="MYR"/>
    <n v="0.105"/>
    <s v="ea"/>
    <n v="200"/>
    <n v="0.06"/>
  </r>
  <r>
    <x v="370"/>
    <s v="WASHER FOR SCREW-COUNT.HEAD  3.2x10x1.8"/>
    <s v="Bossard"/>
    <s v="BN 1276 1446630"/>
    <s v="MYR"/>
    <n v="0.17600000000000002"/>
    <s v="ea"/>
    <n v="100"/>
    <n v="0.06"/>
  </r>
  <r>
    <x v="371"/>
    <s v="WASHER-COUNT.HEAD 8.4X25X4.8"/>
    <s v="Bossard"/>
    <s v="BN1277 M8"/>
    <s v="MYR"/>
    <n v="1.2"/>
    <s v="ea"/>
    <n v="100"/>
    <n v="0.06"/>
  </r>
  <r>
    <x v="372"/>
    <s v="WASHER-FLAT 3.2X9X0.8 (M3) ISO7093"/>
    <s v="Bossard"/>
    <s v="BN1075 M3"/>
    <s v="MYR"/>
    <n v="0.17499999999999999"/>
    <s v="ea"/>
    <n v="200"/>
    <n v="0.06"/>
  </r>
  <r>
    <x v="373"/>
    <s v="WASHER 10.5x20x2"/>
    <s v="Bossard"/>
    <s v="DIN125A BN 1074 M10"/>
    <s v="MYR"/>
    <n v="0.35200000000000004"/>
    <s v="ea"/>
    <n v="100"/>
    <n v="0.06"/>
  </r>
  <r>
    <x v="374"/>
    <s v="WASHER INSULATED  4.3x 9x0.8"/>
    <s v="Bossard"/>
    <s v="DIN125A PA"/>
    <s v="MYR"/>
    <n v="5.8999999999999997E-2"/>
    <s v="ea"/>
    <n v="100"/>
    <n v="0.06"/>
  </r>
  <r>
    <x v="375"/>
    <s v="WASHER-FLAT 6.4X12X1.6 (M6) ISO7089"/>
    <s v="Bossard"/>
    <s v="BN1074 M6"/>
    <s v="MYR"/>
    <n v="0.155"/>
    <s v="ea"/>
    <n v="100"/>
    <n v="0.06"/>
  </r>
  <r>
    <x v="376"/>
    <s v="SOCKET CONICAL  6.4X12X2.3"/>
    <s v="Bossard"/>
    <s v="DIN6319C CLAIRE"/>
    <s v="MYR"/>
    <n v="1.3859999999999999"/>
    <s v="ea"/>
    <n v="100"/>
    <n v="0.06"/>
  </r>
  <r>
    <x v="377"/>
    <s v="SOCKET CONICAL  7.1X12X2.8"/>
    <s v="Bossard"/>
    <s v="DIN6319D CLAIRE"/>
    <s v="MYR"/>
    <n v="1.365"/>
    <s v="ea"/>
    <n v="100"/>
    <n v="0.06"/>
  </r>
  <r>
    <x v="378"/>
    <s v="WASHER FOR SCREW-COUNT.HEAD  5.3x16x2.8"/>
    <s v="Bossard"/>
    <s v="BN 1277 1446886"/>
    <s v="MYR"/>
    <n v="0.47300000000000003"/>
    <s v="ea"/>
    <n v="100"/>
    <n v="0.06"/>
  </r>
  <r>
    <x v="379"/>
    <s v="WASHER FOR SCREW-COUNT HEAD -BN 1276 "/>
    <s v="Bossard"/>
    <s v="N/A"/>
    <s v="MYR"/>
    <n v="0.59899999999999998"/>
    <s v="ea"/>
    <n v="100"/>
    <n v="0.06"/>
  </r>
  <r>
    <x v="380"/>
    <s v="SCREW-STOP-BALL M 4X 6 HEX SKT"/>
    <s v="Bossard"/>
    <s v="BN20214 M4x6 / 22720 0042"/>
    <s v="MYR"/>
    <n v="12.36"/>
    <s v="ea"/>
    <n v="10"/>
    <n v="0.06"/>
  </r>
  <r>
    <x v="381"/>
    <s v="SPACER-HEX. M4X 35 MALE/FEMALE"/>
    <s v="Bossard"/>
    <s v="BN3318 ZP"/>
    <s v="MYR"/>
    <n v="1.575"/>
    <s v="ea"/>
    <n v="100"/>
    <n v="0.06"/>
  </r>
  <r>
    <x v="382"/>
    <s v="Cover-protect. hex.sock. S 5"/>
    <s v="Bossard"/>
    <s v="BN1064 S5"/>
    <s v="MYR"/>
    <n v="0.8"/>
    <s v="ea"/>
    <n v="100"/>
    <n v="0.06"/>
  </r>
  <r>
    <x v="383"/>
    <s v="Hex soc set scr flat point st st A2 I4026"/>
    <s v="Bossard"/>
    <s v="BN617 M5 x 4"/>
    <s v="MYR"/>
    <n v="0.21"/>
    <s v="ea"/>
    <n v="100"/>
    <n v="0.06"/>
  </r>
  <r>
    <x v="384"/>
    <s v="BUSHING-THREADED BUSH M2"/>
    <s v="Bossard"/>
    <s v="BN1052"/>
    <s v="MYR"/>
    <n v="0.21"/>
    <s v="ea"/>
    <n v="100"/>
    <n v="0.06"/>
  </r>
  <r>
    <x v="385"/>
    <s v="BUSHING-THREADED M 4"/>
    <s v="Bossard"/>
    <s v="BN1054 M4"/>
    <s v="MYR"/>
    <n v="0.69899999999999995"/>
    <s v="ea"/>
    <n v="100"/>
    <n v="0.06"/>
  </r>
  <r>
    <x v="386"/>
    <s v="Knurled nuts high type st znb D466"/>
    <s v="Bossard"/>
    <s v="BN215 M5"/>
    <s v="MYR"/>
    <n v="1.9950000000000001"/>
    <s v="ea"/>
    <n v="100"/>
    <n v="0.06"/>
  </r>
  <r>
    <x v="387"/>
    <s v="SCREW-HEADLESS HEXA.C.P. M 2.5x 6 ALL TH"/>
    <s v="Bossard"/>
    <s v="DIN914 ZP"/>
    <s v="MYR"/>
    <n v="0.27200000000000002"/>
    <s v="ea"/>
    <n v="100"/>
    <n v="0.06"/>
  </r>
  <r>
    <x v="388"/>
    <s v="EH 22050 stainl st ball increased"/>
    <s v="Bossard"/>
    <s v="BN3371 M5"/>
    <s v="MYR"/>
    <n v="11.33"/>
    <s v="ea"/>
    <n v="1"/>
    <n v="0.06"/>
  </r>
  <r>
    <x v="389"/>
    <s v="SCREW PAN HEAD SLOT M2X4 AT"/>
    <s v="Bossard"/>
    <n v="1114654"/>
    <s v="MYR"/>
    <n v="0.13900000000000001"/>
    <s v="ea"/>
    <n v="100"/>
    <n v="0.06"/>
  </r>
  <r>
    <x v="390"/>
    <s v="SCREW-ADJUSTABLE  6X 8/M 5 ISO7379 NOIRCIE BLACK PHOSPHATED STEEL"/>
    <s v="Bossard"/>
    <s v="BN1359 6x8 M5"/>
    <s v="MYR"/>
    <n v="1.575"/>
    <s v="ea"/>
    <n v="100"/>
    <n v="0.06"/>
  </r>
  <r>
    <x v="391"/>
    <s v="SCREW-CYL.HEAD HEXA. M 4X 80"/>
    <s v="Bossard"/>
    <s v="BN4 M4 x 80"/>
    <s v="MYR"/>
    <n v="1.8540000000000001"/>
    <s v="ea"/>
    <n v="100"/>
    <n v="0.06"/>
  </r>
  <r>
    <x v="392"/>
    <s v="Hex hd scr ful thrd st st A2 D933"/>
    <s v="Bossard"/>
    <s v="BN622 M3 x 10"/>
    <s v="MYR"/>
    <n v="0.25800000000000001"/>
    <s v="ea"/>
    <n v="100"/>
    <n v="0.06"/>
  </r>
  <r>
    <x v="393"/>
    <s v="Hex hd scr ful thrd st st A2 D933"/>
    <s v="Bossard"/>
    <s v="BN622 M4 x 16"/>
    <s v="MYR"/>
    <n v="0.315"/>
    <s v="ea"/>
    <n v="100"/>
    <n v="0.06"/>
  </r>
  <r>
    <x v="394"/>
    <s v="Hex hd scr ful thrd st st A2 D933"/>
    <s v="Bossard"/>
    <s v="BN 522 M5x20"/>
    <s v="MYR"/>
    <n v="0.47300000000000003"/>
    <s v="ea"/>
    <n v="100"/>
    <n v="0.06"/>
  </r>
  <r>
    <x v="395"/>
    <s v="Hex hd scr ful thrd st st A2 D933"/>
    <s v="Bossard"/>
    <s v="BN622 M5 x 30"/>
    <s v="MYR"/>
    <n v="0.7669999999999999"/>
    <s v="ea"/>
    <n v="100"/>
    <n v="0.06"/>
  </r>
  <r>
    <x v="396"/>
    <s v="Hex hd scr ful thrd st st A2 D933"/>
    <s v="Bossard"/>
    <s v="BN622 M5 x 35"/>
    <s v="MYR"/>
    <n v="0.8859999999999999"/>
    <s v="ea"/>
    <n v="100"/>
    <n v="0.06"/>
  </r>
  <r>
    <x v="397"/>
    <s v="Hx soc hd cp scr prt thrd ST8.8 ZNB D912"/>
    <s v="Bossard"/>
    <s v="BN4 M8 x 150"/>
    <s v="MYR"/>
    <n v="3.7080000000000002"/>
    <s v="ea"/>
    <n v="50"/>
    <n v="0.06"/>
  </r>
  <r>
    <x v="398"/>
    <s v="SCREW-COUNT.HEAD HEX. M 5x40 A.T."/>
    <s v="Bossard"/>
    <s v="BN616 - 1000268"/>
    <s v="MYR"/>
    <n v="0.495"/>
    <s v="ea"/>
    <n v="100"/>
    <n v="0.06"/>
  </r>
  <r>
    <x v="399"/>
    <s v="SCREW-ULTRA-LOW HEAD HEX. M 5X 10 A.T. BN1206"/>
    <s v="Bossard"/>
    <s v="BN 1206"/>
    <s v="MYR"/>
    <n v="0.6"/>
    <s v="ea"/>
    <n v="100"/>
    <n v="0.06"/>
  </r>
  <r>
    <x v="400"/>
    <s v="WASHER-DISC-SPRING 5.2X10X0.25 (M5) DIN2093"/>
    <s v="Bossard"/>
    <s v="BN 1375 5.2x10x0.25"/>
    <s v="MYR"/>
    <n v="0.18"/>
    <s v="ea"/>
    <n v="200"/>
    <n v="0.06"/>
  </r>
  <r>
    <x v="401"/>
    <s v="SCREW-STOP-BALL M 4X5,6 TRUNCATED"/>
    <s v="Bossard"/>
    <s v="Halder EH 2272.542"/>
    <s v="MYR"/>
    <n v="15.96"/>
    <s v="ea"/>
    <n v="100"/>
    <n v="0.06"/>
  </r>
  <r>
    <x v="402"/>
    <s v="RING-STOP FOR SHAFTS D= 5"/>
    <s v="Bossard"/>
    <s v="BN 825 D=5"/>
    <s v="MYR"/>
    <n v="0.20600000000000002"/>
    <s v="ea"/>
    <n v="100"/>
    <n v="0.06"/>
  </r>
  <r>
    <x v="403"/>
    <s v="SCREW-CYL.HEAD HEXA. M 3X 12 ALL THR. "/>
    <s v="Bossard"/>
    <s v="(DIN7984-BN2844)"/>
    <s v="MYR"/>
    <n v="0.13299999999999998"/>
    <s v="ea"/>
    <n v="100"/>
    <n v="0.06"/>
  </r>
  <r>
    <x v="404"/>
    <s v="SCREW-CYL.HEAD HEX. M2.5x25 A.T."/>
    <s v="Bossard"/>
    <s v="1749072"/>
    <s v="MYR"/>
    <n v="1.1589999999999998"/>
    <s v="ea"/>
    <n v="100"/>
    <n v="0.06"/>
  </r>
  <r>
    <x v="405"/>
    <s v="PIN-PARALLEL D= 1.00H8X  4"/>
    <s v="Bossard"/>
    <s v="VSM 12771B H8 BN855"/>
    <s v="MYR"/>
    <n v="0.08"/>
    <s v="ea"/>
    <n v="200"/>
    <n v="0.06"/>
  </r>
  <r>
    <x v="406"/>
    <s v="SCREW-RAISED HEAD HEX. M 3x16 A.T."/>
    <s v="Bossard"/>
    <s v="BN1593 - 1348779"/>
    <s v="MYR"/>
    <n v="0.13400000000000001"/>
    <s v="ea"/>
    <n v="100"/>
    <n v="0.06"/>
  </r>
  <r>
    <x v="407"/>
    <s v="Fork head pins f. fork heads st znb"/>
    <s v="Bossard"/>
    <s v="BN484 M5 x 10"/>
    <s v="MYR"/>
    <n v="2.625"/>
    <s v="ea"/>
    <n v="100"/>
    <n v="0.06"/>
  </r>
  <r>
    <x v="408"/>
    <s v="LEVER FORK 5X10"/>
    <s v="Bossard"/>
    <s v="BN482 5 x 10"/>
    <s v="MYR"/>
    <n v="4.0790000000000006"/>
    <s v="ea"/>
    <n v="100"/>
    <n v="0.06"/>
  </r>
  <r>
    <x v="409"/>
    <s v="SCREW-COUNT.HEAD HEX. M 6x14 A.T."/>
    <s v="Bossard"/>
    <s v="BN616 - 3146466"/>
    <s v="MYR"/>
    <n v="0.36099999999999999"/>
    <s v="ea"/>
    <n v="100"/>
    <n v="0.06"/>
  </r>
  <r>
    <x v="410"/>
    <s v="SPACER-HEX. M3x  6 MALE/FEMALE"/>
    <s v="Bossard"/>
    <s v="BN3318"/>
    <s v="MYR"/>
    <n v="0.26400000000000001"/>
    <s v="ea"/>
    <n v="100"/>
    <n v="0.06"/>
  </r>
  <r>
    <x v="411"/>
    <s v="SPACER-HEX. M3x 55 MALE/FEMALE"/>
    <s v="Bossard"/>
    <s v="BN3318"/>
    <s v="MYR"/>
    <n v="2.157"/>
    <s v="ea"/>
    <n v="100"/>
    <n v="0.06"/>
  </r>
  <r>
    <x v="412"/>
    <s v="SCREW-HEX.HEAD CAP M 6X20 ALL THR."/>
    <s v="Bossard"/>
    <s v="BN622 M6x20"/>
    <s v="MYR"/>
    <n v="0.61799999999999999"/>
    <s v="ea"/>
    <n v="100"/>
    <n v="0.06"/>
  </r>
  <r>
    <x v="413"/>
    <s v="SCREW-HEX.HEAD CAP M10X40 ALL THR."/>
    <s v="Bossard"/>
    <s v="BN622 M10 x 40"/>
    <s v="MYR"/>
    <n v="2.258"/>
    <s v="ea"/>
    <n v="100"/>
    <n v="0.06"/>
  </r>
  <r>
    <x v="414"/>
    <s v="Hex hd scr ful thrd st st A2 D933"/>
    <s v="Bossard"/>
    <s v="BN622 M3 x 6"/>
    <s v="MYR"/>
    <n v="0.2"/>
    <s v="ea"/>
    <n v="100"/>
    <n v="0.06"/>
  </r>
  <r>
    <x v="415"/>
    <s v="SCREW-HEX.HEAD CAP M10X60 ALL THR."/>
    <s v="Bossard"/>
    <s v="DIN933 A2"/>
    <s v="MYR"/>
    <n v="2.3250000000000002"/>
    <s v="ea"/>
    <n v="100"/>
    <n v="0.06"/>
  </r>
  <r>
    <x v="416"/>
    <s v="SCREW-SELF TAP.LUG WRENCH 3.0x6.0"/>
    <s v="Bossard"/>
    <s v="WN1452-BN13265"/>
    <s v="MYR"/>
    <n v="0.24200000000000002"/>
    <s v="ea"/>
    <n v="100"/>
    <n v="0.06"/>
  </r>
  <r>
    <x v="417"/>
    <s v="HEX SOC SET SCR FLAT POINT ST M2X 4"/>
    <s v="Bossard"/>
    <n v="1025007"/>
    <s v="MYR"/>
    <n v="9.1999999999999998E-2"/>
    <s v="ea"/>
    <n v="100"/>
    <n v="0.06"/>
  </r>
  <r>
    <x v="418"/>
    <s v="SCREW-HEADLESS HEX.F.P. M2.5x 5 A.T."/>
    <s v="Bossard"/>
    <s v="DIN913-BN24"/>
    <s v="MYR"/>
    <n v="9.5000000000000001E-2"/>
    <s v="ea"/>
    <n v="100"/>
    <n v="0.06"/>
  </r>
  <r>
    <x v="419"/>
    <s v="SCREW-HEADLESS HEX.F.P. M 3x 4 A.T."/>
    <s v="Bossard"/>
    <s v="DIN913-BN24"/>
    <s v="MYR"/>
    <n v="5.5E-2"/>
    <s v="ea"/>
    <n v="100"/>
    <n v="0.06"/>
  </r>
  <r>
    <x v="420"/>
    <s v="SCREW-HEADLESS HEX.F.P. M 3X 5 A.T."/>
    <s v="Bossard"/>
    <s v="DIN913-BN24"/>
    <s v="MYR"/>
    <n v="4.4000000000000004E-2"/>
    <s v="ea"/>
    <n v="100"/>
    <n v="0.06"/>
  </r>
  <r>
    <x v="421"/>
    <s v="SCREW-HEADLESS HEX.F.P. M 3x 6 A.T."/>
    <s v="Bossard"/>
    <s v="DIN913-BN24"/>
    <s v="MYR"/>
    <n v="5.3999999999999992E-2"/>
    <s v="ea"/>
    <n v="100"/>
    <n v="0.06"/>
  </r>
  <r>
    <x v="422"/>
    <s v="SCREW HEADLESS HEX. F.P. M3X8 AT"/>
    <s v="Bossard"/>
    <n v="1025309"/>
    <s v="MYR"/>
    <n v="8.199999999999999E-2"/>
    <s v="ea"/>
    <n v="100"/>
    <n v="0.06"/>
  </r>
  <r>
    <x v="423"/>
    <s v="SCREW-HEADLESS HEX.F.P. M 3x10 A.T."/>
    <s v="Bossard"/>
    <s v="DIN913-BN24"/>
    <s v="MYR"/>
    <n v="0.122"/>
    <s v="ea"/>
    <n v="200"/>
    <n v="0.06"/>
  </r>
  <r>
    <x v="424"/>
    <s v="SCREW-HEADLESS HEX.F.P. M 3X12 A.T."/>
    <s v="Bossard"/>
    <s v="DIN913-BN24"/>
    <s v="MYR"/>
    <n v="0.13100000000000001"/>
    <s v="ea"/>
    <n v="100"/>
    <n v="0.06"/>
  </r>
  <r>
    <x v="425"/>
    <s v="SCREW-HEADLESS HEX.F.P. M 3x16 A.T."/>
    <s v="Bossard"/>
    <s v="DIN913-BN24"/>
    <s v="MYR"/>
    <n v="0.13500000000000001"/>
    <s v="ea"/>
    <n v="100"/>
    <n v="0.06"/>
  </r>
  <r>
    <x v="426"/>
    <s v="SCREW-HEADLESS HEX.F.P. M 3x20 A.T."/>
    <s v="Bossard"/>
    <s v="DIN913-BN24"/>
    <s v="MYR"/>
    <n v="0.18200000000000002"/>
    <s v="ea"/>
    <n v="100"/>
    <n v="0.06"/>
  </r>
  <r>
    <x v="427"/>
    <s v="Hex soc set scr flat point ST BLACK I4026"/>
    <s v="Bossard"/>
    <s v="BN24 M3 x 25"/>
    <s v="MYR"/>
    <n v="0.44700000000000001"/>
    <s v="ea"/>
    <n v="100"/>
    <n v="0.06"/>
  </r>
  <r>
    <x v="428"/>
    <s v="Hex hd scr ful thrd st st A2 D933"/>
    <s v="Bossard"/>
    <s v="BN622 M3 x 12"/>
    <s v="MYR"/>
    <n v="0.21"/>
    <s v="ea"/>
    <n v="100"/>
    <n v="0.06"/>
  </r>
  <r>
    <x v="429"/>
    <s v="He so hd s~ISO 7380-1 ST08.8/8.8ZNB"/>
    <s v="Bossard"/>
    <s v="BN6404 M3 x 8"/>
    <s v="MYR"/>
    <n v="0.10300000000000001"/>
    <s v="ea"/>
    <n v="100"/>
    <n v="0.06"/>
  </r>
  <r>
    <x v="430"/>
    <s v="SCREW-RAISED HEAD HEX. M 2x 5 A.T."/>
    <s v="Bossard"/>
    <s v="ISO7380-BN8699"/>
    <s v="MYR"/>
    <n v="8.900000000000001E-2"/>
    <s v="ea"/>
    <n v="100"/>
    <n v="0.06"/>
  </r>
  <r>
    <x v="431"/>
    <s v="Ball-EndedThrustScrews - Stl,Heat-Threated"/>
    <s v="Bossard"/>
    <s v="Halder 2272.553"/>
    <s v="MYR"/>
    <n v="32.549999999999997"/>
    <s v="ea"/>
    <n v="10"/>
    <n v="0.06"/>
  </r>
  <r>
    <x v="432"/>
    <s v="SCREW-COUNT.HEAD HEX. M 2x 4 A.T."/>
    <s v="Bossard"/>
    <s v="DIN7991-BN20"/>
    <s v="MYR"/>
    <n v="8.6999999999999994E-2"/>
    <s v="ea"/>
    <n v="100"/>
    <n v="0.06"/>
  </r>
  <r>
    <x v="433"/>
    <s v="He so fl hd fu td ST010.9/10.9 BLAC D7991"/>
    <s v="Bossard"/>
    <s v="BN20 M2.5 x 20"/>
    <s v="MYR"/>
    <n v="0.78799999999999992"/>
    <s v="ea"/>
    <n v="100"/>
    <n v="0.06"/>
  </r>
  <r>
    <x v="434"/>
    <s v="PUSHER-SPRING-LATERAL D=3"/>
    <s v="Bossard"/>
    <s v="Halder EH-2215.110 (22150.0110)"/>
    <s v="MYR"/>
    <n v="34.965000000000003"/>
    <s v="ea"/>
    <n v="20"/>
    <n v="0.06"/>
  </r>
  <r>
    <x v="435"/>
    <s v="WASHER-SAFETY  4.1X10X1.4"/>
    <s v="Bossard"/>
    <s v="BN84530 M4"/>
    <s v="MYR"/>
    <n v="0.23700000000000002"/>
    <s v="ea"/>
    <n v="200"/>
    <n v="0.06"/>
  </r>
  <r>
    <x v="436"/>
    <s v="SCREW HEX HEAD CAP M4X8 AT"/>
    <s v="Bossard"/>
    <n v="1237810"/>
    <s v="MYR"/>
    <n v="0.28499999999999998"/>
    <s v="ea"/>
    <n v="100"/>
    <n v="0.06"/>
  </r>
  <r>
    <x v="437"/>
    <s v="PIN-STOP HWN212 FORM NB"/>
    <s v="Bossard"/>
    <s v="Halder 2212.605"/>
    <s v="MYR"/>
    <n v="61.844999999999999"/>
    <s v="ea"/>
    <n v="50"/>
    <n v="0.06"/>
  </r>
  <r>
    <x v="438"/>
    <s v="SCREW-CYL.HEAD HEX. M1.6x 8 A."/>
    <s v="Bossard"/>
    <s v="DIN912-BN612 (A4)"/>
    <s v="MYR"/>
    <n v="0.152"/>
    <s v="ea"/>
    <n v="100"/>
    <n v="0.06"/>
  </r>
  <r>
    <x v="439"/>
    <s v="Hex soc hd cap scr low head A2 D7984"/>
    <s v="Bossard"/>
    <s v="BN2844 M5 x 8"/>
    <s v="MYR"/>
    <n v="0.52500000000000002"/>
    <s v="ea"/>
    <n v="100"/>
    <n v="0.06"/>
  </r>
  <r>
    <x v="440"/>
    <s v="Sltd set scr flat point brass D551"/>
    <s v="Bossard"/>
    <s v="BN1406 M5 x 5"/>
    <s v="MYR"/>
    <n v="0.47499999999999998"/>
    <s v="ea"/>
    <n v="200"/>
    <n v="0.06"/>
  </r>
  <r>
    <x v="441"/>
    <s v="Hexagon socket set screws"/>
    <s v="Bossard"/>
    <s v="Halder 2270.584"/>
    <s v="MYR"/>
    <n v="40.17"/>
    <s v="ea"/>
    <n v="10"/>
    <n v="0.06"/>
  </r>
  <r>
    <x v="442"/>
    <s v="SCREW-CYL.HEAD HEXA. M 3x 60 PART.THR."/>
    <s v="Bossard"/>
    <s v="DIN912 NOIRCIE"/>
    <s v="MYR"/>
    <n v="0.89599999999999991"/>
    <s v="ea"/>
    <n v="100"/>
    <n v="0.06"/>
  </r>
  <r>
    <x v="443"/>
    <s v="SCREW-STOP-BALL M 5X7.5 HEX SKT STAINL."/>
    <s v="Bossard"/>
    <s v="Halder EH 2272.833"/>
    <s v="MYR"/>
    <n v="33.6"/>
    <s v="ea"/>
    <n v="10"/>
    <n v="0.06"/>
  </r>
  <r>
    <x v="444"/>
    <s v="SCREW-SELF TAP.LUG WRENCH 3.0x10.0"/>
    <s v="Bossard"/>
    <s v="WN1452-BN13265"/>
    <s v="MYR"/>
    <n v="0.14499999999999999"/>
    <s v="ea"/>
    <n v="100"/>
    <n v="0.06"/>
  </r>
  <r>
    <x v="445"/>
    <s v="SCREW-CYL.HEAD-LOW HEX. M 3x10"/>
    <s v="Bossard"/>
    <s v="BN2844 M3 x 10"/>
    <s v="MYR"/>
    <n v="0.47300000000000003"/>
    <s v="ea"/>
    <n v="100"/>
    <n v="0.06"/>
  </r>
  <r>
    <x v="446"/>
    <s v="Threaded Insert M2.5 x 3.75"/>
    <s v="Bossard"/>
    <s v="KVT 103 497"/>
    <s v="MYR"/>
    <n v="2.5"/>
    <s v="ea"/>
    <n v="100"/>
    <n v="0.06"/>
  </r>
  <r>
    <x v="447"/>
    <s v="Sltd cheese hd mach scr st 4.8 znb D84A"/>
    <s v="Bossard"/>
    <s v="BN330 M2.5 x 35"/>
    <s v="MYR"/>
    <n v="0.28400000000000003"/>
    <s v="ea"/>
    <n v="200"/>
    <n v="0.06"/>
  </r>
  <r>
    <x v="448"/>
    <s v="Parallel pins tol h8 st st A1/A2 I2338"/>
    <s v="Bossard"/>
    <s v="BN684 M1.5 x 16"/>
    <s v="MYR"/>
    <n v="0.42"/>
    <s v="ea"/>
    <n v="100"/>
    <n v="0.06"/>
  </r>
  <r>
    <x v="449"/>
    <s v="SCREW-COUNT.HEAD HEX. M2.5x 5 A.T."/>
    <s v="Bossard"/>
    <s v="DIN7991-BN20"/>
    <s v="MYR"/>
    <n v="0.152"/>
    <s v="ea"/>
    <n v="100"/>
    <n v="0.06"/>
  </r>
  <r>
    <x v="450"/>
    <s v="Round spacers polyamide 6.6"/>
    <s v="Bossard"/>
    <s v="BN5281 3,1 x 6 x 3"/>
    <s v="MYR"/>
    <n v="0.441"/>
    <s v="ea"/>
    <n v="100"/>
    <n v="0.06"/>
  </r>
  <r>
    <x v="451"/>
    <s v="He so fl hd fu td ST010.9/10.9 BLAC D7991"/>
    <s v="Bossard"/>
    <s v="BN20 M2.5 x 10"/>
    <s v="MYR"/>
    <n v="0.18899999999999997"/>
    <s v="ea"/>
    <n v="100"/>
    <n v="0.06"/>
  </r>
  <r>
    <x v="452"/>
    <s v="SCREW-COUNT.HEAD HEX. M2.5x 8 A.T."/>
    <s v="Bossard"/>
    <s v="DIN7991-BN20"/>
    <s v="MYR"/>
    <n v="5.2999999999999999E-2"/>
    <s v="ea"/>
    <n v="100"/>
    <n v="0.06"/>
  </r>
  <r>
    <x v="453"/>
    <s v="Press-in threaded inse w flan brass"/>
    <s v="Bossard"/>
    <s v="BN20003 M2"/>
    <s v="MYR"/>
    <n v="0.79799999999999993"/>
    <s v="ea"/>
    <n v="100"/>
    <n v="0.06"/>
  </r>
  <r>
    <x v="454"/>
    <s v="Press-in threaded inse w flan brass"/>
    <s v="Bossard"/>
    <s v="BN20003 M2.5"/>
    <s v="MYR"/>
    <n v="0.84"/>
    <s v="ea"/>
    <n v="100"/>
    <n v="0.06"/>
  </r>
  <r>
    <x v="455"/>
    <s v="Hex standoffs with int thrds st znb"/>
    <s v="Bossard"/>
    <s v="BN3319 M5 x 55"/>
    <s v="MYR"/>
    <n v="1.9950000000000001"/>
    <s v="ea"/>
    <n v="100"/>
    <n v="0.06"/>
  </r>
  <r>
    <x v="456"/>
    <s v="Parallel pins tol m6 st unhardened I2338"/>
    <s v="Bossard"/>
    <s v="BN1208 M1 x 4"/>
    <s v="MYR"/>
    <n v="0.126"/>
    <s v="ea"/>
    <n v="100"/>
    <n v="0.06"/>
  </r>
  <r>
    <x v="457"/>
    <s v="CAP-PROTECTION D= 36.8"/>
    <s v="Bossard"/>
    <s v="BN1095 TL-4-368"/>
    <s v="MYR"/>
    <n v="0.77300000000000002"/>
    <s v="ea"/>
    <n v="100"/>
    <n v="0.06"/>
  </r>
  <r>
    <x v="458"/>
    <s v="BUSHING-TRHEATED WITH FLANGE M3"/>
    <s v="Bossard"/>
    <s v="BN 20003 HSR M3"/>
    <s v="MYR"/>
    <n v="0.69899999999999995"/>
    <s v="ea"/>
    <n v="100"/>
    <n v="0.06"/>
  </r>
  <r>
    <x v="459"/>
    <s v="Southco 93-313"/>
    <s v="Bossard"/>
    <s v="BN91550"/>
    <s v="MYR"/>
    <n v="89.25"/>
    <s v="ea"/>
    <n v="100"/>
    <n v="0.06"/>
  </r>
  <r>
    <x v="460"/>
    <s v="SCREW-COUNT.HEAD HEX. M 2x 6 A.T."/>
    <s v="Bossard"/>
    <s v="DIN7991-BN20"/>
    <s v="MYR"/>
    <n v="8.6999999999999994E-2"/>
    <s v="ea"/>
    <n v="100"/>
    <n v="0.06"/>
  </r>
  <r>
    <x v="461"/>
    <s v="He so fl hd fu td ST010.9/10.9 BLAC D7991"/>
    <s v="Bossard"/>
    <s v="BN20 M2 x 8"/>
    <s v="MYR"/>
    <n v="0.18899999999999997"/>
    <s v="ea"/>
    <n v="100"/>
    <n v="0.06"/>
  </r>
  <r>
    <x v="462"/>
    <s v="NUT-CAP HEX. M4 HIGH"/>
    <s v="Bossard"/>
    <s v="DIN1587 BN 635 A2 M4"/>
    <s v="MYR"/>
    <n v="0.22700000000000004"/>
    <s v="ea"/>
    <n v="100"/>
    <n v="0.06"/>
  </r>
  <r>
    <x v="463"/>
    <s v="NUT-CAP HEX. M 5 HIGH"/>
    <s v="Bossard"/>
    <s v="DIN1587 BN 635 A2 M5"/>
    <s v="MYR"/>
    <n v="0.28900000000000003"/>
    <s v="ea"/>
    <n v="100"/>
    <n v="0.06"/>
  </r>
  <r>
    <x v="464"/>
    <s v="Hex dom cap nuts (acorn) st st A2 D1587"/>
    <s v="Bossard"/>
    <s v="BN635 M6"/>
    <s v="MYR"/>
    <n v="0.63"/>
    <s v="ea"/>
    <n v="100"/>
    <n v="0.06"/>
  </r>
  <r>
    <x v="465"/>
    <s v="NUT-CAP HEX. M 8 HIGH"/>
    <s v="Bossard"/>
    <s v="BN1721 M8"/>
    <s v="MYR"/>
    <n v="2.1"/>
    <s v="ea"/>
    <n v="100"/>
    <n v="0.06"/>
  </r>
  <r>
    <x v="466"/>
    <s v="PUSHER-SPRING-BALL M 4X12 HEX.INT SS"/>
    <s v="Bossard"/>
    <s v="EH 22030.0204 BN20201"/>
    <s v="MYR"/>
    <n v="29.4"/>
    <s v="ea"/>
    <n v="1"/>
    <n v="0.06"/>
  </r>
  <r>
    <x v="467"/>
    <s v="SCREW-HEAD-MILLED-SLOT M 1.0X 3 ALL THR."/>
    <s v="Bossard"/>
    <s v="BN406.1167723"/>
    <s v="MYR"/>
    <n v="0.33899999999999997"/>
    <s v="ea"/>
    <n v="100"/>
    <n v="0.06"/>
  </r>
  <r>
    <x v="468"/>
    <s v="SCREW -WITHOUT-HEAD-SLOTTED M10X30 PART"/>
    <s v="Bossard"/>
    <s v="BN433 M10x30"/>
    <s v="MYR"/>
    <n v="2.468"/>
    <s v="ea"/>
    <n v="100"/>
    <n v="0.06"/>
  </r>
  <r>
    <x v="469"/>
    <s v="SCREW-COUNT.-HEAD M1.6X3"/>
    <s v="Bossard"/>
    <s v="DIN963A BN406"/>
    <s v="MYR"/>
    <n v="0.49"/>
    <s v="ea"/>
    <n v="100"/>
    <n v="0.06"/>
  </r>
  <r>
    <x v="470"/>
    <s v="PIN-ELASTIC D=2.5X10 SLOT-TOOTHED"/>
    <s v="Bossard"/>
    <s v="VSM 12785"/>
    <s v="MYR"/>
    <n v="0.20900000000000002"/>
    <s v="ea"/>
    <n v="100"/>
    <n v="0.06"/>
  </r>
  <r>
    <x v="471"/>
    <s v="PUSHER-SPRING D=4X5 INOX"/>
    <s v="Bossard"/>
    <s v="EH 2208.004 BIN 13376"/>
    <s v="MYR"/>
    <n v="4.33"/>
    <s v="ea"/>
    <n v="1"/>
    <n v="0.06"/>
  </r>
  <r>
    <x v="472"/>
    <s v="SCREW-COUNT-HEAD M1.6 X 5"/>
    <s v="Bossard"/>
    <s v="BN357 M1.6 x 5"/>
    <s v="MYR"/>
    <n v="0.155"/>
    <s v="ea"/>
    <n v="200"/>
    <n v="0.06"/>
  </r>
  <r>
    <x v="473"/>
    <s v="Hex standoffs int/ext thrds st znb"/>
    <s v="Bossard"/>
    <s v="BN3318 M5 x 10"/>
    <s v="MYR"/>
    <n v="0.73499999999999999"/>
    <s v="ea"/>
    <n v="100"/>
    <n v="0.06"/>
  </r>
  <r>
    <x v="474"/>
    <s v="SCREW-CYL.HEAD-LOW HEX. M 8x16 A.T."/>
    <s v="Bossard"/>
    <s v="BN1206"/>
    <s v="MYR"/>
    <n v="0.60399999999999998"/>
    <s v="ea"/>
    <n v="100"/>
    <n v="0.06"/>
  </r>
  <r>
    <x v="475"/>
    <s v="SCREW-HEADLESS HEX.F.P. M2.5x16"/>
    <s v="Bossard"/>
    <s v="DIN913-BN617"/>
    <s v="MYR"/>
    <n v="0.32899999999999996"/>
    <s v="ea"/>
    <n v="100"/>
    <n v="0.06"/>
  </r>
  <r>
    <x v="476"/>
    <s v="SCREW-HEADLESS 6P CR.B.PT.M 2X3 ENT. FIL"/>
    <s v="Bossard"/>
    <s v="BN 618 INOX A2"/>
    <s v="MYR"/>
    <n v="0.29399999999999998"/>
    <s v="ea"/>
    <n v="100"/>
    <n v="0.06"/>
  </r>
  <r>
    <x v="477"/>
    <s v="Hex soc set scr flat point st st A2 I4026"/>
    <s v="Bossard"/>
    <s v="BN617 M4 x 40"/>
    <s v="MYR"/>
    <n v="1.575"/>
    <s v="ea"/>
    <n v="100"/>
    <n v="0.06"/>
  </r>
  <r>
    <x v="478"/>
    <s v="Hexagon socket head cap screws M3x25 "/>
    <s v="Bossard"/>
    <s v="(BN2844)"/>
    <s v="MYR"/>
    <n v="0.18400000000000002"/>
    <s v="ea"/>
    <n v="100"/>
    <n v="0.06"/>
  </r>
  <r>
    <x v="479"/>
    <s v="NUT-BLIND M4 HUC/FEKS 3.0"/>
    <s v="Bossard"/>
    <s v="KVT M4 HUC/FEKS3"/>
    <s v="MYR"/>
    <n v="1.7329999999999999"/>
    <s v="ea"/>
    <n v="1000"/>
    <n v="0.06"/>
  </r>
  <r>
    <x v="480"/>
    <s v="NUT-BLIND  M5  HUC FEKS 3.5"/>
    <s v="Bossard"/>
    <s v="KVT M5  HUC FEKS 3.5"/>
    <s v="MYR"/>
    <n v="2.5830000000000002"/>
    <s v="ea"/>
    <n v="1000"/>
    <n v="0.06"/>
  </r>
  <r>
    <x v="481"/>
    <s v="NUT-BLIND M6 HUC/FEKS 3.5"/>
    <s v="Bossard"/>
    <s v=" M6 HUC FEKS 3.5"/>
    <s v="MYR"/>
    <n v="1.4280000000000002"/>
    <s v="ea"/>
    <n v="1000"/>
    <n v="0.06"/>
  </r>
  <r>
    <x v="482"/>
    <s v="NUT-WELDING WN-M6-0-CU"/>
    <s v="Bossard"/>
    <s v="WN-M6-0-CU"/>
    <s v="MYR"/>
    <n v="0.77500000000000002"/>
    <s v="ea"/>
    <n v="1000"/>
    <n v="0.06"/>
  </r>
  <r>
    <x v="483"/>
    <s v="NUT-BLIND M8 HUC/FEKS 5.0"/>
    <s v="Bossard"/>
    <s v="M8 HUC/FEKS 5.0"/>
    <s v="MYR"/>
    <n v="2.17"/>
    <s v="ea"/>
    <n v="1000"/>
    <n v="0.06"/>
  </r>
  <r>
    <x v="484"/>
    <s v="BOLT-WELDING M8X25 STAINLESS STEEL"/>
    <s v="Bossard"/>
    <s v="BN1457 M8X25/N°1109251"/>
    <s v="MYR"/>
    <n v="2.0269999999999997"/>
    <s v="ea"/>
    <n v="100"/>
    <n v="0.06"/>
  </r>
  <r>
    <x v="485"/>
    <s v="NUT-WELDING M5-DIN929"/>
    <s v="Bossard"/>
    <s v="BN193-M5/ ART. 1097377"/>
    <s v="MYR"/>
    <n v="0.17600000000000002"/>
    <s v="ea"/>
    <n v="100"/>
    <n v="0.06"/>
  </r>
  <r>
    <x v="486"/>
    <s v="Hexagon weld nuts steel D929"/>
    <s v="Bossard"/>
    <s v="BN193 M8"/>
    <s v="MYR"/>
    <n v="0.29399999999999998"/>
    <s v="ea"/>
    <n v="100"/>
    <n v="0.06"/>
  </r>
  <r>
    <x v="487"/>
    <s v="NUT-WELDING M4-DIN929"/>
    <s v="Bossard"/>
    <s v="BN193-M4/ART.1097369"/>
    <s v="MYR"/>
    <n v="0.13"/>
    <s v="ea"/>
    <n v="100"/>
    <n v="0.06"/>
  </r>
  <r>
    <x v="488"/>
    <s v="Flat round head rivets aluminium DIN674 RoHS"/>
    <s v="Bossard"/>
    <s v="BN252 2x3"/>
    <s v="MYR"/>
    <n v="0.33899999999999997"/>
    <s v="ea"/>
    <n v="200"/>
    <n v="0.06"/>
  </r>
  <r>
    <x v="489"/>
    <s v="SCREW,M5 X 8MM,LG BUTTONHEAD"/>
    <s v="Bossard"/>
    <s v="BN1593 M5x8"/>
    <s v="MYR"/>
    <n v="0.23100000000000001"/>
    <s v="ea"/>
    <n v="100"/>
    <n v="0.06"/>
  </r>
  <r>
    <x v="490"/>
    <s v="SCREW-HEAD-COUNTERSUNK M1.6X4"/>
    <s v="Bossard"/>
    <n v="1435086"/>
    <s v="MYR"/>
    <n v="5.5E-2"/>
    <s v="ea"/>
    <n v="200"/>
    <n v="0.06"/>
  </r>
  <r>
    <x v="491"/>
    <s v="WASHER-FLAT 2.7X6X0.5 POLYAMIDE"/>
    <s v="Bossard"/>
    <s v="BN1074"/>
    <s v="MYR"/>
    <n v="5.2999999999999999E-2"/>
    <s v="ea"/>
    <n v="100"/>
    <n v="0.06"/>
  </r>
  <r>
    <x v="492"/>
    <s v="SCREW-HEQADLESS-SLOTTED M5X25 PARTIAL"/>
    <s v="Bossard"/>
    <s v="BN433 M5x25"/>
    <s v="MYR"/>
    <n v="0.441"/>
    <s v="ea"/>
    <n v="100"/>
    <n v="0.06"/>
  </r>
  <r>
    <x v="493"/>
    <s v="BOLT-WELDING M6X12-DIN32501-1"/>
    <s v="Bossard"/>
    <s v="DIN32501-1 M6X12"/>
    <s v="MYR"/>
    <n v="0.30499999999999999"/>
    <s v="ea"/>
    <n v="200"/>
    <n v="0.06"/>
  </r>
  <r>
    <x v="494"/>
    <s v="NUT-BLIND M5 UT/FEF 3"/>
    <s v="Bossard"/>
    <s v="M5 UT/FEF 3"/>
    <s v="MYR"/>
    <n v="2.048"/>
    <s v="ea"/>
    <n v="100"/>
    <n v="0.06"/>
  </r>
  <r>
    <x v="495"/>
    <s v="WASHER-FLAT-CHAMFERLESS 17X50X3"/>
    <s v="Bossard"/>
    <s v="M16-BN729"/>
    <s v="MYR"/>
    <n v="1.4969999999999999"/>
    <s v="ea"/>
    <n v="100"/>
    <n v="0.06"/>
  </r>
  <r>
    <x v="496"/>
    <s v="SCREW-CYL.HEAD HEXA M 6X 8 ALL THR."/>
    <s v="Bossard"/>
    <s v="BN610 M6x8"/>
    <s v="MYR"/>
    <n v="0.22700000000000004"/>
    <s v="ea"/>
    <n v="100"/>
    <n v="0.06"/>
  </r>
  <r>
    <x v="497"/>
    <s v="PIN-PARALLEL D= 6.00X120 BN857"/>
    <s v="Bossard"/>
    <n v="1138928"/>
    <s v="MYR"/>
    <n v="12.408999999999999"/>
    <s v="ea"/>
    <n v="100"/>
    <n v="0.06"/>
  </r>
  <r>
    <x v="498"/>
    <s v="SCREW-HEADLESS SLOT.B.PL M2X4 ALL THR."/>
    <s v="Bossard"/>
    <s v="DIN551/BN 1406"/>
    <s v="MYR"/>
    <n v="0.441"/>
    <s v="ea"/>
    <n v="100"/>
    <n v="0.06"/>
  </r>
  <r>
    <x v="499"/>
    <s v="Hex nuts ~0,8d brass D934"/>
    <s v="Bossard"/>
    <s v="BN504 M3"/>
    <s v="MYR"/>
    <n v="0.105"/>
    <s v="ea"/>
    <n v="200"/>
    <n v="0.06"/>
  </r>
  <r>
    <x v="500"/>
    <s v="Sltd set scr flat point brass D551"/>
    <s v="Bossard"/>
    <s v="BN1406 M3 x 10"/>
    <s v="MYR"/>
    <n v="0.315"/>
    <s v="ea"/>
    <n v="100"/>
    <n v="0.06"/>
  </r>
  <r>
    <x v="501"/>
    <s v="SPACER M5X80 HEX."/>
    <s v="Bossard"/>
    <s v="N/A"/>
    <s v="MYR"/>
    <n v="2.411"/>
    <s v="ea"/>
    <n v="100"/>
    <n v="0.06"/>
  </r>
  <r>
    <x v="502"/>
    <s v="PIN-PARALLEL D= 1.50h8x 8 A1"/>
    <s v="Bossard"/>
    <s v="1255584-BN684"/>
    <s v="MYR"/>
    <n v="7.1999999999999995E-2"/>
    <s v="ea"/>
    <n v="100"/>
    <n v="0.06"/>
  </r>
  <r>
    <x v="503"/>
    <s v="NUT-HEX. 0.5D M12X1"/>
    <s v="Bossard"/>
    <s v="BN1207"/>
    <s v="MYR"/>
    <n v="0.55700000000000005"/>
    <s v="ea"/>
    <n v="100"/>
    <n v="0.06"/>
  </r>
  <r>
    <x v="504"/>
    <s v="SCREW-HEAD-MILLED-SLOT M 1.0X 2 ALL THR."/>
    <s v="Bossard"/>
    <s v="BN406 M1X2"/>
    <s v="MYR"/>
    <n v="0.314"/>
    <s v="ea"/>
    <n v="100"/>
    <n v="0.06"/>
  </r>
  <r>
    <x v="505"/>
    <s v="PIN-PARALLEL D= 1.00M6X2"/>
    <s v="Bossard"/>
    <s v="BN1208 1 x 2"/>
    <s v="MYR"/>
    <n v="0.26800000000000002"/>
    <s v="ea"/>
    <n v="100"/>
    <n v="0.06"/>
  </r>
  <r>
    <x v="506"/>
    <s v="Hex soc set scr flat point ST BLACK I4026"/>
    <s v="Bossard"/>
    <s v="BN24"/>
    <s v="MYR"/>
    <n v="0.17900000000000002"/>
    <s v="ea"/>
    <n v="100"/>
    <n v="0.06"/>
  </r>
  <r>
    <x v="507"/>
    <s v="Hex soc set scr flat point ST BLACK I4026"/>
    <s v="Bossard"/>
    <s v="BN24 M2.5 x 8"/>
    <s v="MYR"/>
    <n v="0.75599999999999989"/>
    <s v="ea"/>
    <n v="100"/>
    <n v="0.06"/>
  </r>
  <r>
    <x v="508"/>
    <s v="SCREW-HEADLESS HEX.F.P. M 8x40 A.T."/>
    <s v="Bossard"/>
    <s v="DIN913-BN617"/>
    <s v="MYR"/>
    <n v="0.77099999999999991"/>
    <s v="ea"/>
    <n v="100"/>
    <n v="0.06"/>
  </r>
  <r>
    <x v="509"/>
    <s v="SCREW-HEADLESS HEX.F.P. M 8X60 A.T. ISO4026"/>
    <s v="Bossard"/>
    <s v="BN 617 M8x60"/>
    <s v="MYR"/>
    <n v="2.1630000000000003"/>
    <s v="ea"/>
    <n v="100"/>
    <n v="0.06"/>
  </r>
  <r>
    <x v="510"/>
    <s v="Hex soc set scr flat point st st A2 I4026"/>
    <s v="Bossard"/>
    <s v="BN617 M10 x 20"/>
    <s v="MYR"/>
    <n v="0.94499999999999995"/>
    <s v="ea"/>
    <n v="100"/>
    <n v="0.06"/>
  </r>
  <r>
    <x v="511"/>
    <s v="Hex soc set scr flat point st st A2 I4026"/>
    <s v="Bossard"/>
    <s v="BN617 M10 x 40"/>
    <s v="MYR"/>
    <n v="3.15"/>
    <s v="ea"/>
    <n v="100"/>
    <n v="0.06"/>
  </r>
  <r>
    <x v="512"/>
    <s v="Screw Headless Hexa F.P. M10x60 A.T"/>
    <s v="Bossard"/>
    <s v="BN617 M10x60"/>
    <s v="MYR"/>
    <n v="1.7849999999999999"/>
    <s v="ea"/>
    <n v="100"/>
    <n v="0.06"/>
  </r>
  <r>
    <x v="513"/>
    <s v="SCREW-HEADLESS HEX.C.P. M 4X 5 ALL THR. ISO4027"/>
    <s v="Bossard"/>
    <s v="BN618 M4x5"/>
    <s v="MYR"/>
    <n v="0.2"/>
    <s v="ea"/>
    <n v="200"/>
    <n v="0.06"/>
  </r>
  <r>
    <x v="514"/>
    <s v="SCREW-HEADLESS HEXA.C.P. M 4X10 ALL THR."/>
    <s v="Bossard"/>
    <s v="BN618 M4 x 10"/>
    <s v="MYR"/>
    <n v="0.159"/>
    <s v="ea"/>
    <n v="100"/>
    <n v="0.06"/>
  </r>
  <r>
    <x v="515"/>
    <s v="SCREW-HEADLESS HEX.C.P. M 4X16 ALL THR. ISO4027"/>
    <s v="Bossard"/>
    <s v="BN618 M4x16"/>
    <s v="MYR"/>
    <n v="0.32"/>
    <s v="ea"/>
    <n v="100"/>
    <n v="0.06"/>
  </r>
  <r>
    <x v="516"/>
    <s v="SCREW-HEADLESS HEXA.C.P. M 4X20 ALL THR"/>
    <s v="Bossard"/>
    <s v="DIN 914 A2"/>
    <s v="MYR"/>
    <n v="0.46399999999999997"/>
    <s v="ea"/>
    <n v="100"/>
    <n v="0.06"/>
  </r>
  <r>
    <x v="517"/>
    <s v="SCREW-HEADLESS HEX.C.P. M 5X16 ALL THR. ISO4027"/>
    <s v="Bossard"/>
    <s v="N/A"/>
    <s v="MYR"/>
    <n v="0.51900000000000002"/>
    <s v="ea"/>
    <n v="100"/>
    <n v="0.06"/>
  </r>
  <r>
    <x v="518"/>
    <s v="SCREW-HEADLESS HEX.F.P. M 2x2.5 A.T."/>
    <s v="Bossard"/>
    <s v="DIN913-BN24"/>
    <s v="MYR"/>
    <n v="0.21299999999999999"/>
    <s v="ea"/>
    <n v="100"/>
    <n v="0.06"/>
  </r>
  <r>
    <x v="519"/>
    <s v="SCREW-HEADLESS HEX.F.P. M 5x25 A.T."/>
    <s v="Bossard"/>
    <s v="BN617 M5x25"/>
    <s v="MYR"/>
    <n v="0.47300000000000003"/>
    <s v="ea"/>
    <n v="100"/>
    <n v="0.06"/>
  </r>
  <r>
    <x v="520"/>
    <s v="SCREW-CYL.HEAD HEX. M 2X 3 A.T."/>
    <s v="Bossard"/>
    <s v="DIN912-BN610 (A2)"/>
    <s v="MYR"/>
    <n v="7.9000000000000001E-2"/>
    <s v="ea"/>
    <n v="100"/>
    <n v="0.06"/>
  </r>
  <r>
    <x v="521"/>
    <s v="SCREW-CYL.HEAD HEX. M 2x 4 A.T."/>
    <s v="Bossard"/>
    <s v="DIN912-BN610 (A2)"/>
    <s v="MYR"/>
    <n v="0.11"/>
    <s v="ea"/>
    <n v="100"/>
    <n v="0.06"/>
  </r>
  <r>
    <x v="522"/>
    <s v="SCREW-CYL.HEAD HEX. M 2X 5 A.T."/>
    <s v="Bossard"/>
    <s v="DIN912-BN610 (A2)"/>
    <s v="MYR"/>
    <n v="7.9000000000000001E-2"/>
    <s v="ea"/>
    <n v="100"/>
    <n v="0.06"/>
  </r>
  <r>
    <x v="523"/>
    <s v="SCREW-CYL.HEAD HEX. M 2x12 A.T."/>
    <s v="Bossard"/>
    <s v="DIN912-BN610 (A2)"/>
    <s v="MYR"/>
    <n v="0.14000000000000001"/>
    <s v="ea"/>
    <n v="100"/>
    <n v="0.06"/>
  </r>
  <r>
    <x v="524"/>
    <s v="SCREW-CYL.HEAD HEX. M2.5x10 A.T."/>
    <s v="Bossard"/>
    <s v="DIN912-BN610 (A2)"/>
    <s v="MYR"/>
    <n v="6.8999999999999992E-2"/>
    <s v="ea"/>
    <n v="100"/>
    <n v="0.06"/>
  </r>
  <r>
    <x v="525"/>
    <s v="Hx soc hd cp scr ful thrd st st A2 D912"/>
    <s v="Bossard"/>
    <s v="BN610 M 2,5 x 16"/>
    <s v="MYR"/>
    <n v="0.18899999999999997"/>
    <s v="ea"/>
    <n v="100"/>
    <n v="0.06"/>
  </r>
  <r>
    <x v="526"/>
    <s v="SCREW-CYL.HEAD HEX. M2.5x20 A.T."/>
    <s v="Bossard"/>
    <s v="DIN912-BN610 (A2)"/>
    <s v="MYR"/>
    <n v="0.23100000000000001"/>
    <s v="ea"/>
    <n v="200"/>
    <n v="0.06"/>
  </r>
  <r>
    <x v="527"/>
    <s v="Screw-h.l. hex.sock. M 2.5x  3 all thr. ss A2"/>
    <s v="Bossard"/>
    <s v="DIN913 Inox A2"/>
    <s v="MYR"/>
    <n v="0.28000000000000003"/>
    <s v="ea"/>
    <n v="100"/>
    <n v="0.06"/>
  </r>
  <r>
    <x v="528"/>
    <s v="SCREW HEADLESS HEX.F.P. M4X 4 A.T."/>
    <s v="Bossard"/>
    <n v="1235583"/>
    <s v="MYR"/>
    <n v="5.2999999999999999E-2"/>
    <s v="ea"/>
    <n v="100"/>
    <n v="0.06"/>
  </r>
  <r>
    <x v="529"/>
    <s v="SCREW-HEADLESS HEX.F.P. M 4x30 A.T."/>
    <s v="Bossard"/>
    <s v="DIN913-BN617"/>
    <s v="MYR"/>
    <n v="0.53900000000000003"/>
    <s v="ea"/>
    <n v="100"/>
    <n v="0.06"/>
  </r>
  <r>
    <x v="530"/>
    <s v="SCREW-HEADLESS HEX.F.P. M 4x 5 A.T."/>
    <s v="Bossard"/>
    <s v="DIN913-BN617"/>
    <s v="MYR"/>
    <n v="7.3999999999999996E-2"/>
    <s v="ea"/>
    <n v="100"/>
    <n v="0.06"/>
  </r>
  <r>
    <x v="531"/>
    <s v="Hex soc set scr flat point st st A2 I4026"/>
    <s v="Bossard"/>
    <s v="BN617 M5X35"/>
    <s v="MYR"/>
    <n v="0.7"/>
    <s v="ea"/>
    <n v="100"/>
    <n v="0.06"/>
  </r>
  <r>
    <x v="532"/>
    <s v="SCREW-HEADLESS HEX.F.P. M 5X40 A.T."/>
    <s v="Bossard"/>
    <s v="DIN913 A2"/>
    <s v="MYR"/>
    <n v="0.56600000000000006"/>
    <s v="ea"/>
    <n v="100"/>
    <n v="0.06"/>
  </r>
  <r>
    <x v="533"/>
    <s v="SCREW-CYL.HEAD HEXA. M 6x 22 ALL THR."/>
    <s v="Bossard"/>
    <s v="DIN912 ZP"/>
    <s v="MYR"/>
    <n v="0.35"/>
    <s v="ea"/>
    <n v="100"/>
    <n v="0.06"/>
  </r>
  <r>
    <x v="534"/>
    <s v="Hex soc set scr cone point st st A2 I4027"/>
    <s v="Bossard"/>
    <s v="BN618 M3 x 5"/>
    <s v="MYR"/>
    <n v="0.36800000000000005"/>
    <s v="ea"/>
    <n v="100"/>
    <n v="0.06"/>
  </r>
  <r>
    <x v="535"/>
    <s v="SCREW-HEADLESS HEX.C.P. M 3X 8 ALL THR. ISO4027"/>
    <s v="Bossard"/>
    <s v="BN618 M3x8"/>
    <s v="MYR"/>
    <n v="0.22"/>
    <s v="ea"/>
    <n v="200"/>
    <n v="0.06"/>
  </r>
  <r>
    <x v="536"/>
    <s v="Hex soc set scr cone point st st A2 I4027"/>
    <s v="Bossard"/>
    <s v="BN618 M4 x 6"/>
    <s v="MYR"/>
    <n v="0.36800000000000005"/>
    <s v="ea"/>
    <n v="100"/>
    <n v="0.06"/>
  </r>
  <r>
    <x v="537"/>
    <s v="SCREW-HEADLESS HEX.C.P. M 4X 8 ALL THR. ISO4027"/>
    <s v="Bossard"/>
    <s v="BN618 M4x8"/>
    <s v="MYR"/>
    <n v="0.25"/>
    <s v="ea"/>
    <n v="200"/>
    <n v="0.06"/>
  </r>
  <r>
    <x v="538"/>
    <s v="SCREW-HEADLESS HEX.F.P M6X30 A.T DIN913"/>
    <s v="Bossard"/>
    <s v="BN617 M6x30"/>
    <s v="MYR"/>
    <n v="0.52500000000000002"/>
    <s v="ea"/>
    <n v="100"/>
    <n v="0.06"/>
  </r>
  <r>
    <x v="539"/>
    <s v="SCREW-HEADLESS HEX.F.P. M 8x10 A.T."/>
    <s v="Bossard"/>
    <s v="BN617 - 1235982"/>
    <s v="MYR"/>
    <n v="0.26800000000000002"/>
    <s v="ea"/>
    <n v="100"/>
    <n v="0.06"/>
  </r>
  <r>
    <x v="540"/>
    <s v="Hex soc set scr flat point ST ZF I4026"/>
    <s v="Bossard"/>
    <s v="BN1424 M8 x 40"/>
    <s v="MYR"/>
    <n v="1.5119999999999998"/>
    <s v="ea"/>
    <n v="100"/>
    <n v="0.06"/>
  </r>
  <r>
    <x v="541"/>
    <s v="SCREW-HEADLESS HEX.F.P. M10x12 A.T."/>
    <s v="Bossard"/>
    <s v="BN617 - 1406663"/>
    <s v="MYR"/>
    <n v="0.56700000000000006"/>
    <s v="ea"/>
    <n v="100"/>
    <n v="0.06"/>
  </r>
  <r>
    <x v="542"/>
    <s v="SCREW-HEADLESS HEXA.C.P. M 5X10 ALL THR."/>
    <s v="Bossard"/>
    <s v="BN618 M5x10"/>
    <s v="MYR"/>
    <n v="0.15"/>
    <s v="ea"/>
    <n v="100"/>
    <n v="0.06"/>
  </r>
  <r>
    <x v="543"/>
    <s v="SCREW HEADLESS HEX.F.P. M4X 10 A.T."/>
    <s v="Bossard"/>
    <s v="DIN915 A2"/>
    <s v="MYR"/>
    <n v="0.13799999999999998"/>
    <s v="ea"/>
    <n v="100"/>
    <n v="0.06"/>
  </r>
  <r>
    <x v="544"/>
    <s v="SCREW-CYL.HEAD HEXA.M4 X 20 ALL THR "/>
    <s v="Bossard"/>
    <s v="DIN7984 A20"/>
    <s v="MYR"/>
    <n v="1.3479999999999999"/>
    <s v="ea"/>
    <n v="100"/>
    <n v="0.06"/>
  </r>
  <r>
    <x v="545"/>
    <s v="SCREW-CYL.HEAD-LOW HEX. M 4x25 P.T. DIN7984"/>
    <s v="Bossard"/>
    <s v="BN2844 M4x25"/>
    <s v="MYR"/>
    <n v="0.26300000000000001"/>
    <s v="ea"/>
    <n v="100"/>
    <n v="0.06"/>
  </r>
  <r>
    <x v="546"/>
    <s v="SCREW-CYL.HEAD-LOW HEX. M 5x10 A.T."/>
    <s v="Bossard"/>
    <s v="DIN7984-BN2844"/>
    <s v="MYR"/>
    <n v="0.20100000000000001"/>
    <s v="ea"/>
    <n v="100"/>
    <n v="0.06"/>
  </r>
  <r>
    <x v="547"/>
    <s v="Hex soc hd cap scr low head A2 D7984"/>
    <s v="Bossard"/>
    <s v="BN2844 M5 x16"/>
    <s v="MYR"/>
    <n v="0.51500000000000001"/>
    <s v="ea"/>
    <n v="100"/>
    <n v="0.06"/>
  </r>
  <r>
    <x v="548"/>
    <s v="SCREW-CYL.HEAD-LOW HEX. M 5X20 A.T. DIN7984"/>
    <s v="Bossard"/>
    <s v="BN2844 M5x20"/>
    <s v="MYR"/>
    <n v="0.46399999999999997"/>
    <s v="ea"/>
    <n v="100"/>
    <n v="0.06"/>
  </r>
  <r>
    <x v="549"/>
    <s v="SCREW-CYL.HEAD-LOW HEX. M 5X25 A.T."/>
    <s v="Bossard"/>
    <s v="DIN7984-BN2844"/>
    <s v="MYR"/>
    <n v="0.42800000000000005"/>
    <s v="ea"/>
    <n v="100"/>
    <n v="0.06"/>
  </r>
  <r>
    <x v="550"/>
    <s v="SCREW-COUNT.HEAD HEX. M 8x55 A.T."/>
    <s v="Bossard"/>
    <s v="BN616 - 5505746"/>
    <s v="MYR"/>
    <n v="1.5449999999999999"/>
    <s v="ea"/>
    <n v="100"/>
    <n v="0.06"/>
  </r>
  <r>
    <x v="551"/>
    <s v="SCREW-COUNT.HEAD HEX. M  8x70 A.T."/>
    <s v="Bossard"/>
    <s v="BN616 - 1115642"/>
    <s v="MYR"/>
    <n v="1.9569999999999999"/>
    <s v="ea"/>
    <n v="100"/>
    <n v="0.06"/>
  </r>
  <r>
    <x v="552"/>
    <s v="Self-locking Nut M8 DIN985 CL 6/8"/>
    <s v="Bossard"/>
    <s v="BN161 M8"/>
    <s v="MYR"/>
    <n v="0.21"/>
    <s v="ea"/>
    <n v="100"/>
    <n v="0.06"/>
  </r>
  <r>
    <x v="553"/>
    <s v="Pozi flat countersunk head machine screws, form Z, stainless steel A2"/>
    <s v="Bossard"/>
    <s v="BN 82213, M2.5x5"/>
    <s v="MYR"/>
    <n v="7.2999999999999995E-2"/>
    <s v="ea"/>
    <n v="100"/>
    <n v="0.06"/>
  </r>
  <r>
    <x v="554"/>
    <s v="SPACER M3x 8 HEX."/>
    <s v="Bossard"/>
    <n v="557.30799999999999"/>
    <s v="MYR"/>
    <n v="0.376"/>
    <s v="ea"/>
    <n v="100"/>
    <n v="0.06"/>
  </r>
  <r>
    <x v="555"/>
    <s v="Cross rec flat hd scr Pozi st st A4 D965A"/>
    <s v="Bossard"/>
    <s v="BN3310 M 2 x 4"/>
    <s v="MYR"/>
    <n v="7.1999999999999995E-2"/>
    <s v="ea"/>
    <n v="100"/>
    <n v="0.06"/>
  </r>
  <r>
    <x v="556"/>
    <s v="SCREW-COUNT.HEAD RECESS M 4x10 ALL THR."/>
    <s v="Bossard"/>
    <s v="DIN965A A4"/>
    <s v="MYR"/>
    <n v="0.3"/>
    <s v="ea"/>
    <n v="100"/>
    <n v="0.06"/>
  </r>
  <r>
    <x v="557"/>
    <s v="Hex soc hd cap scr sp low hd ~010.9"/>
    <s v="Bossard"/>
    <s v="BN1206 M4x8"/>
    <s v="MYR"/>
    <n v="0.18899999999999997"/>
    <s v="ea"/>
    <n v="100"/>
    <n v="0.06"/>
  </r>
  <r>
    <x v="558"/>
    <s v="SCREW-COUNT.HEAD HEX. M 5x 8 A.T."/>
    <s v="Bossard"/>
    <s v="BN616 M5x8"/>
    <s v="MYR"/>
    <n v="0.21"/>
    <s v="ea"/>
    <n v="100"/>
    <n v="0.06"/>
  </r>
  <r>
    <x v="559"/>
    <s v="SCREW-COUNT.HEAD HEX. M 5x14 A.T."/>
    <s v="Bossard"/>
    <s v="BN616 M5x14"/>
    <s v="MYR"/>
    <n v="0.315"/>
    <s v="ea"/>
    <n v="100"/>
    <n v="0.06"/>
  </r>
  <r>
    <x v="560"/>
    <s v="SCREW-HEADLESS HEX.F.P. M 3X 5 A.T."/>
    <s v="Bossard"/>
    <s v="BN617 M3 x 5"/>
    <s v="MYR"/>
    <n v="0.1"/>
    <s v="ea"/>
    <n v="100"/>
    <n v="0.06"/>
  </r>
  <r>
    <x v="561"/>
    <s v="Hex soc set scr flat point st st A2 I4026"/>
    <s v="Bossard"/>
    <s v="BN617 M3 x 10"/>
    <s v="MYR"/>
    <n v="0.126"/>
    <s v="ea"/>
    <n v="100"/>
    <n v="0.06"/>
  </r>
  <r>
    <x v="562"/>
    <s v="SCREW-HEADLESS HEX.F.P. M 3x12 A.T."/>
    <s v="Bossard"/>
    <s v="DIN913-BN617"/>
    <s v="MYR"/>
    <n v="0.10199999999999999"/>
    <s v="ea"/>
    <n v="100"/>
    <n v="0.06"/>
  </r>
  <r>
    <x v="563"/>
    <s v="SCREW-HEADLESS HEX.F.P. M 3X16 A.T."/>
    <s v="Bossard"/>
    <s v="BN617 DIN913"/>
    <s v="MYR"/>
    <n v="0.18600000000000003"/>
    <s v="ea"/>
    <n v="100"/>
    <n v="0.06"/>
  </r>
  <r>
    <x v="564"/>
    <s v="SCREW-HEADLESS HEX.F.P. M 3x20"/>
    <s v="Bossard"/>
    <s v="DIN913-BN617"/>
    <s v="MYR"/>
    <n v="0.21"/>
    <s v="ea"/>
    <n v="100"/>
    <n v="0.06"/>
  </r>
  <r>
    <x v="565"/>
    <s v="SCREW-HEADLESS HEX.F.P. M 5x 5 A.T."/>
    <s v="Bossard"/>
    <s v="DIN913-BN617"/>
    <s v="MYR"/>
    <n v="0.13100000000000001"/>
    <s v="ea"/>
    <n v="100"/>
    <n v="0.06"/>
  </r>
  <r>
    <x v="566"/>
    <s v="SCREW-HEADLESS HEX.F.P. M 4x 8 A.T."/>
    <s v="Bossard"/>
    <s v="DIN913-BN617"/>
    <s v="MYR"/>
    <n v="0.11799999999999999"/>
    <s v="ea"/>
    <n v="100"/>
    <n v="0.06"/>
  </r>
  <r>
    <x v="567"/>
    <s v="SCREW-HEADLESS HEX.F.P. M 4X10 A.T."/>
    <s v="Bossard"/>
    <s v="DIN913-BN617"/>
    <s v="MYR"/>
    <n v="0.13799999999999998"/>
    <s v="ea"/>
    <n v="100"/>
    <n v="0.06"/>
  </r>
  <r>
    <x v="568"/>
    <s v="SCREW-HEADLESS HEX.F.P. M 4x12"/>
    <s v="Bossard"/>
    <s v="DIN913-BN617"/>
    <s v="MYR"/>
    <n v="0.16300000000000001"/>
    <s v="ea"/>
    <n v="100"/>
    <n v="0.06"/>
  </r>
  <r>
    <x v="569"/>
    <s v="SCREW-HEADLESS HEX.F.P. M 4x20 A.T."/>
    <s v="Bossard"/>
    <s v="DIN913-BN617"/>
    <s v="MYR"/>
    <n v="0.439"/>
    <s v="ea"/>
    <n v="100"/>
    <n v="0.06"/>
  </r>
  <r>
    <x v="570"/>
    <s v="SCREW-HEADLESS HEX.F.P. M 5x 8 A.T."/>
    <s v="Bossard"/>
    <s v="DIN913-BN617"/>
    <s v="MYR"/>
    <n v="0.17"/>
    <s v="ea"/>
    <n v="100"/>
    <n v="0.06"/>
  </r>
  <r>
    <x v="571"/>
    <s v="SCREW HEADLESS HEX. F.P. M5X10 AT"/>
    <s v="Bossard"/>
    <n v="1235745"/>
    <s v="MYR"/>
    <n v="0.16600000000000001"/>
    <s v="ea"/>
    <n v="100"/>
    <n v="0.06"/>
  </r>
  <r>
    <x v="572"/>
    <s v="Hex soc set scr flat point st st A2 I4026"/>
    <s v="Bossard"/>
    <s v="BN617 M5 X 12"/>
    <s v="MYR"/>
    <n v="0.26300000000000001"/>
    <s v="ea"/>
    <n v="100"/>
    <n v="0.06"/>
  </r>
  <r>
    <x v="573"/>
    <s v="SCREW-HEADLESS HEX.F.P. M 5x16 A.T."/>
    <s v="Bossard"/>
    <s v="DIN913-BN617"/>
    <s v="MYR"/>
    <n v="0.23300000000000001"/>
    <s v="ea"/>
    <n v="100"/>
    <n v="0.06"/>
  </r>
  <r>
    <x v="574"/>
    <s v="SCREW-HEADLESS HEX.F.P. M 5x20 A.T."/>
    <s v="Bossard"/>
    <s v="DIN913 A2"/>
    <s v="MYR"/>
    <n v="0.21700000000000003"/>
    <s v="ea"/>
    <n v="100"/>
    <n v="0.06"/>
  </r>
  <r>
    <x v="575"/>
    <s v="SCREW-HEADLESS HEX.F.P. M 2X 3 A.T."/>
    <s v="Bossard"/>
    <s v="DIN913-BN24"/>
    <s v="MYR"/>
    <n v="0.26500000000000001"/>
    <s v="ea"/>
    <n v="100"/>
    <n v="0.06"/>
  </r>
  <r>
    <x v="576"/>
    <s v="SCREW-HEADLESS HEX.F.P. M 2x 6 A.T."/>
    <s v="Bossard"/>
    <s v="DIN913-BN24"/>
    <s v="MYR"/>
    <n v="0.13500000000000001"/>
    <s v="ea"/>
    <n v="100"/>
    <n v="0.06"/>
  </r>
  <r>
    <x v="577"/>
    <s v="SCREW-HEADLESS HEX.F.P. M2.5x 3 A.T."/>
    <s v="Bossard"/>
    <s v="DIN913-BN24"/>
    <s v="MYR"/>
    <n v="0.111"/>
    <s v="ea"/>
    <n v="100"/>
    <n v="0.06"/>
  </r>
  <r>
    <x v="578"/>
    <s v="SCREW-HEADLESS HEX.F.P. M 3X 3 A.T."/>
    <s v="Bossard"/>
    <s v="DIN913-BN24"/>
    <s v="MYR"/>
    <n v="6.5000000000000002E-2"/>
    <s v="ea"/>
    <n v="100"/>
    <n v="0.06"/>
  </r>
  <r>
    <x v="579"/>
    <s v="SCREW-HEADLESS HEX.F.P. M 3x14 A.T."/>
    <s v="Bossard"/>
    <s v="DIN913-BN24"/>
    <s v="MYR"/>
    <n v="0.126"/>
    <s v="ea"/>
    <n v="100"/>
    <n v="0.06"/>
  </r>
  <r>
    <x v="580"/>
    <s v="SCREW-HEADLESS HEX.F.P. M 3X30 A.T."/>
    <s v="Bossard"/>
    <s v="DIN913-BN24"/>
    <s v="MYR"/>
    <n v="0.45200000000000001"/>
    <s v="ea"/>
    <n v="100"/>
    <n v="0.06"/>
  </r>
  <r>
    <x v="581"/>
    <s v="SCREW HEADLESS SLOT P.P. M3X3 AT"/>
    <s v="Bossard"/>
    <n v="1080407"/>
    <s v="MYR"/>
    <n v="0.29200000000000004"/>
    <s v="ea"/>
    <n v="100"/>
    <n v="0.06"/>
  </r>
  <r>
    <x v="582"/>
    <s v="Hex soc set scr flat point st st A2 I4026"/>
    <s v="Bossard"/>
    <s v="BN617 M3 x 6"/>
    <s v="MYR"/>
    <n v="0.126"/>
    <s v="ea"/>
    <n v="100"/>
    <n v="0.06"/>
  </r>
  <r>
    <x v="583"/>
    <s v="SCREW HEADLESS HEX F.P. M8X 20 A.T."/>
    <s v="Bossard"/>
    <n v="1236032"/>
    <s v="MYR"/>
    <n v="0.76300000000000001"/>
    <s v="ea"/>
    <n v="100"/>
    <n v="0.06"/>
  </r>
  <r>
    <x v="584"/>
    <s v="SCREW-HEADLESS HEX.F.P. M 8X25 A.T. ISO4026"/>
    <s v="Bossard"/>
    <s v="BN617 M8x25"/>
    <s v="MYR"/>
    <n v="0.85"/>
    <s v="ea"/>
    <n v="100"/>
    <n v="0.06"/>
  </r>
  <r>
    <x v="585"/>
    <s v="Hex soc set scr flat point st st A2 I4026"/>
    <s v="Bossard"/>
    <s v="BN617 M10 x 10"/>
    <s v="MYR"/>
    <n v="1.365"/>
    <s v="ea"/>
    <n v="100"/>
    <n v="0.06"/>
  </r>
  <r>
    <x v="586"/>
    <s v="Hex soc set scr flat point st st A2 I4026"/>
    <s v="Bossard"/>
    <s v="BN617 M10 x 16"/>
    <s v="MYR"/>
    <n v="1.05"/>
    <s v="ea"/>
    <n v="100"/>
    <n v="0.06"/>
  </r>
  <r>
    <x v="587"/>
    <s v="SCREW-HEADLESS HEX.F.P. M 5x 6 A.T."/>
    <s v="Bossard"/>
    <s v="DIN913-BN617"/>
    <s v="MYR"/>
    <n v="9.9000000000000005E-2"/>
    <s v="ea"/>
    <n v="100"/>
    <n v="0.06"/>
  </r>
  <r>
    <x v="588"/>
    <s v="SCREW-HEADLESS HEX.F.P. M 5x18"/>
    <s v="Bossard"/>
    <s v="DIN913-BN617"/>
    <s v="MYR"/>
    <n v="0.308"/>
    <s v="ea"/>
    <n v="100"/>
    <n v="0.06"/>
  </r>
  <r>
    <x v="589"/>
    <s v="SCREW-HEADLESS HEXA.C.P. M 3X10 ALL THR. DIN914 A2"/>
    <s v="Bossard"/>
    <s v="BN618 M3x10"/>
    <s v="MYR"/>
    <n v="0.28900000000000003"/>
    <s v="ea"/>
    <n v="100"/>
    <n v="0.06"/>
  </r>
  <r>
    <x v="590"/>
    <s v="SCREW-HEADLESS SLOT.P.P. M 8x80 ALL THR."/>
    <s v="Bossard"/>
    <s v="DIN551 ZP"/>
    <s v="MYR"/>
    <n v="1.482"/>
    <s v="ea"/>
    <n v="100"/>
    <n v="0.06"/>
  </r>
  <r>
    <x v="591"/>
    <s v="SCREW-CYL.HEAD-LOW HEX. M 6x10 A.T."/>
    <s v="Bossard"/>
    <s v="DIN7984-BN17"/>
    <s v="MYR"/>
    <n v="0.29399999999999998"/>
    <s v="ea"/>
    <n v="100"/>
    <n v="0.06"/>
  </r>
  <r>
    <x v="592"/>
    <s v="SCREW-CYL.HEAD-LOW HEX. M 6x16 A.T."/>
    <s v="Bossard"/>
    <s v="DIN7984-BN17"/>
    <s v="MYR"/>
    <n v="0.26800000000000002"/>
    <s v="ea"/>
    <n v="100"/>
    <n v="0.06"/>
  </r>
  <r>
    <x v="593"/>
    <s v="SCREW-CYL.HEAD-LOW HEX. M 6X20 A.T."/>
    <s v="Bossard"/>
    <s v="DIN7984-BN17"/>
    <s v="MYR"/>
    <n v="0.55899999999999994"/>
    <s v="ea"/>
    <n v="100"/>
    <n v="0.06"/>
  </r>
  <r>
    <x v="594"/>
    <s v="He soc ca sc low hd ST 08.8/8.8 ZNB D7984"/>
    <s v="Bossard"/>
    <s v="BN17 M6X25"/>
    <s v="MYR"/>
    <n v="0.66199999999999992"/>
    <s v="ea"/>
    <n v="100"/>
    <n v="0.06"/>
  </r>
  <r>
    <x v="595"/>
    <s v="SCREW HEADLESS HEXA. C.P M6X16 AT"/>
    <s v="Bossard"/>
    <n v="1236989"/>
    <s v="MYR"/>
    <n v="0.309"/>
    <s v="ea"/>
    <n v="100"/>
    <n v="0.06"/>
  </r>
  <r>
    <x v="596"/>
    <s v="SCREW-HEADLESS HEXA.C.P. M 6X20 ALL THR."/>
    <s v="Bossard"/>
    <s v="BN618 M6x20"/>
    <s v="MYR"/>
    <n v="0.48300000000000004"/>
    <s v="ea"/>
    <n v="100"/>
    <n v="0.06"/>
  </r>
  <r>
    <x v="597"/>
    <s v="Hex soc set scr flat point ST ZNB I4026"/>
    <s v="Bossard"/>
    <s v="BN28 M6 x 6"/>
    <s v="MYR"/>
    <n v="0.16300000000000001"/>
    <s v="ea"/>
    <n v="100"/>
    <n v="0.06"/>
  </r>
  <r>
    <x v="598"/>
    <s v="Hex soc set scr flat point ST ZNB I4026"/>
    <s v="Bossard"/>
    <s v="BN28 M6 x 10"/>
    <s v="MYR"/>
    <n v="0.128"/>
    <s v="ea"/>
    <n v="100"/>
    <n v="0.06"/>
  </r>
  <r>
    <x v="599"/>
    <s v="SCREW-HEADLESS HEX.F.P. M 6x20 A.T."/>
    <s v="Bossard"/>
    <s v="DIN913-BN617"/>
    <s v="MYR"/>
    <n v="0.255"/>
    <s v="ea"/>
    <n v="100"/>
    <n v="0.06"/>
  </r>
  <r>
    <x v="600"/>
    <s v="SCREW HEADLESS HEX.F.P. M6X40 AT"/>
    <s v="Bossard"/>
    <n v="1169815"/>
    <s v="MYR"/>
    <n v="1.5959999999999999"/>
    <s v="ea"/>
    <n v="100"/>
    <n v="0.06"/>
  </r>
  <r>
    <x v="601"/>
    <s v="SCREW-HEADLESS HEX.C.P. M 8X16 ALL THR. ISO4027"/>
    <s v="Bossard"/>
    <s v="BN618 M8x16"/>
    <s v="MYR"/>
    <n v="0.55000000000000004"/>
    <s v="ea"/>
    <n v="100"/>
    <n v="0.06"/>
  </r>
  <r>
    <x v="602"/>
    <s v="Set scews uncon. slot polyamide 6.6"/>
    <s v="Bossard"/>
    <s v="BN1073 M5 x 10"/>
    <s v="MYR"/>
    <n v="0.38700000000000001"/>
    <s v="ea"/>
    <n v="100"/>
    <n v="0.06"/>
  </r>
  <r>
    <x v="603"/>
    <s v="SCREW-COUNT.HEAD HEX. M 3x10 A.T."/>
    <s v="Bossard"/>
    <s v="BN616 M3x10"/>
    <s v="MYR"/>
    <n v="0.21"/>
    <s v="ea"/>
    <n v="100"/>
    <n v="0.06"/>
  </r>
  <r>
    <x v="604"/>
    <s v="SCREW-COUNT.HEAD HEX. M 3x16 A.T."/>
    <s v="Bossard"/>
    <s v="BN616 M3x16"/>
    <s v="MYR"/>
    <n v="0.21"/>
    <s v="ea"/>
    <n v="100"/>
    <n v="0.06"/>
  </r>
  <r>
    <x v="605"/>
    <s v="SCREW-COUNT.HEAD HEX. M 3x20 A.T."/>
    <s v="Bossard"/>
    <s v="BN616 M3x20"/>
    <s v="MYR"/>
    <n v="0.13699999999999998"/>
    <s v="ea"/>
    <n v="100"/>
    <n v="0.06"/>
  </r>
  <r>
    <x v="606"/>
    <s v="SCREW-COUNT.HEAD HEX. M 4x10 A.T."/>
    <s v="Bossard"/>
    <s v="BN616 M4x10"/>
    <s v="MYR"/>
    <n v="0.126"/>
    <s v="ea"/>
    <n v="100"/>
    <n v="0.06"/>
  </r>
  <r>
    <x v="607"/>
    <s v="SCREW-COUNT.HEAD HEX. M 4x20 A.T."/>
    <s v="Bossard"/>
    <s v="BN616 M4x20"/>
    <s v="MYR"/>
    <n v="0.27300000000000002"/>
    <s v="ea"/>
    <n v="100"/>
    <n v="0.06"/>
  </r>
  <r>
    <x v="608"/>
    <s v="SCREW-COUNT.HEAD HEX. M 4X25 A.T."/>
    <s v="Bossard"/>
    <s v="BN616 M4x25"/>
    <s v="MYR"/>
    <n v="0.48299999999999998"/>
    <s v="ea"/>
    <n v="100"/>
    <n v="0.06"/>
  </r>
  <r>
    <x v="609"/>
    <s v="SCREW-COUNT.HEAD HEX. M 5x10 A.T."/>
    <s v="Bossard"/>
    <s v="BN616, M5x10"/>
    <s v="MYR"/>
    <n v="0.161"/>
    <s v="ea"/>
    <n v="100"/>
    <n v="0.06"/>
  </r>
  <r>
    <x v="610"/>
    <s v="SCREW-COUNT.HEAD HEX. M 5x16 A.T."/>
    <s v="Bossard"/>
    <s v="BN616 M5x16"/>
    <s v="MYR"/>
    <n v="0.29399999999999998"/>
    <s v="ea"/>
    <n v="100"/>
    <n v="0.06"/>
  </r>
  <r>
    <x v="611"/>
    <s v="SCREW-COUNT.HEAD HEX. M 5X20 A.T. ISO10642"/>
    <s v="Bossard"/>
    <s v="DIN7991 BN616"/>
    <s v="MYR"/>
    <n v="0.23499999999999999"/>
    <s v="ea"/>
    <n v="100"/>
    <n v="0.06"/>
  </r>
  <r>
    <x v="612"/>
    <s v="SCREW-COUNT.HEAD HEX. M 5X25 A.T."/>
    <s v="Bossard"/>
    <s v="BN616 M5x25"/>
    <s v="MYR"/>
    <n v="0.37799999999999995"/>
    <s v="ea"/>
    <n v="100"/>
    <n v="0.06"/>
  </r>
  <r>
    <x v="613"/>
    <s v="SCREW-COUNT.HEAD HEX. M 5x30 A.T."/>
    <s v="Bossard"/>
    <s v="BN616 M5x30"/>
    <s v="MYR"/>
    <n v="0.61799999999999999"/>
    <s v="ea"/>
    <n v="100"/>
    <n v="0.06"/>
  </r>
  <r>
    <x v="614"/>
    <s v="SCREW-COUNT.HEAD HEX. M 6x10 A.T."/>
    <s v="Bossard"/>
    <s v="BN616 M6x10"/>
    <s v="MYR"/>
    <n v="0.315"/>
    <s v="ea"/>
    <n v="100"/>
    <n v="0.06"/>
  </r>
  <r>
    <x v="615"/>
    <s v="Hex soc set scr flat point st st A2 I4026"/>
    <s v="Bossard"/>
    <s v="BN617 M8 x 30"/>
    <s v="MYR"/>
    <n v="1.365"/>
    <s v="ea"/>
    <n v="100"/>
    <n v="0.06"/>
  </r>
  <r>
    <x v="616"/>
    <s v="SCREW-CYL.HEAD-LOW HEX. M 8x16 A.T."/>
    <s v="Bossard"/>
    <s v="DIN7984-BN17"/>
    <s v="MYR"/>
    <n v="0.61699999999999999"/>
    <s v="ea"/>
    <n v="100"/>
    <n v="0.06"/>
  </r>
  <r>
    <x v="617"/>
    <s v="SCREW-HEADLESS HEX.F.P. M10x25 A.T. ISO4026"/>
    <s v="Bossard"/>
    <s v="BN617 M10X25"/>
    <s v="MYR"/>
    <n v="1.05"/>
    <s v="ea"/>
    <n v="100"/>
    <n v="0.06"/>
  </r>
  <r>
    <x v="618"/>
    <s v="He soc ca sc low hd ST 08.8/8.8 ZNB D7984"/>
    <s v="Bossard"/>
    <s v="BN17 M8 x 20"/>
    <s v="MYR"/>
    <n v="0.65099999999999991"/>
    <s v="ea"/>
    <n v="100"/>
    <n v="0.06"/>
  </r>
  <r>
    <x v="619"/>
    <s v="SCREW-CYL.HEAD-LOW HEX. M 8 X 25 A.T. DIN7984"/>
    <s v="Bossard"/>
    <s v="BN17 M8x25"/>
    <s v="MYR"/>
    <n v="1.236"/>
    <s v="ea"/>
    <n v="100"/>
    <n v="0.06"/>
  </r>
  <r>
    <x v="620"/>
    <s v="Hex soc set scr flat point ST ZF I4026"/>
    <s v="Bossard"/>
    <s v="BN1424 M12 x 60"/>
    <s v="MYR"/>
    <n v="3.4649999999999999"/>
    <s v="ea"/>
    <n v="100"/>
    <n v="0.06"/>
  </r>
  <r>
    <x v="621"/>
    <s v="SCREW-HEADLESS HEXA.C.P. M 3x 4 ALL THR."/>
    <s v="Bossard"/>
    <s v="BN 29"/>
    <s v="MYR"/>
    <n v="0.38200000000000001"/>
    <s v="ea"/>
    <n v="100"/>
    <n v="0.06"/>
  </r>
  <r>
    <x v="622"/>
    <s v="Hex soc set scr cone point ST BLACK I4027"/>
    <s v="Bossard"/>
    <s v="BN25 M3 x 5"/>
    <s v="MYR"/>
    <n v="0.52500000000000002"/>
    <s v="ea"/>
    <n v="100"/>
    <n v="0.06"/>
  </r>
  <r>
    <x v="623"/>
    <s v="SCREW-HEADLESS HEXA.C.P. M 4X 5 ALL THR."/>
    <s v="Bossard"/>
    <s v="BN29 M4 x 5"/>
    <s v="MYR"/>
    <n v="0.21"/>
    <s v="ea"/>
    <n v="100"/>
    <n v="0.06"/>
  </r>
  <r>
    <x v="624"/>
    <s v="Hex soc set scr cone point ST BLACK I4027"/>
    <s v="Bossard"/>
    <s v="BN25 M 4 x 8"/>
    <s v="MYR"/>
    <n v="0.26300000000000001"/>
    <s v="ea"/>
    <n v="100"/>
    <n v="0.06"/>
  </r>
  <r>
    <x v="625"/>
    <s v="Hex soc set scr cone point ST BLACK I4027"/>
    <s v="Bossard"/>
    <s v="BN25 M 4 x 16"/>
    <s v="MYR"/>
    <n v="0.315"/>
    <s v="ea"/>
    <n v="100"/>
    <n v="0.06"/>
  </r>
  <r>
    <x v="626"/>
    <s v="SCREW-HEADLESS HEXA.C.P. M 4X20 ALL THR"/>
    <s v="Bossard"/>
    <s v="BN 25 M4x20"/>
    <s v="MYR"/>
    <n v="0.41200000000000003"/>
    <s v="ea"/>
    <n v="100"/>
    <n v="0.06"/>
  </r>
  <r>
    <x v="627"/>
    <s v="SCREW-CYL.HEAD HEXA. M 3x 16"/>
    <s v="Bossard"/>
    <s v="BN610 M3x16"/>
    <s v="MYR"/>
    <n v="0.25"/>
    <s v="ea"/>
    <n v="100"/>
    <n v="0.06"/>
  </r>
  <r>
    <x v="628"/>
    <s v="SCREW-CYL.HEAD HEXA. M 3X 50 PART.THR."/>
    <s v="Bossard"/>
    <s v="DIN912 A4"/>
    <s v="MYR"/>
    <n v="0.33600000000000002"/>
    <s v="ea"/>
    <n v="100"/>
    <n v="0.06"/>
  </r>
  <r>
    <x v="629"/>
    <s v="SCREW-CYL.HEAD HEXA. M 4x 10 ALL THR."/>
    <s v="Bossard"/>
    <s v="DIN912 A2"/>
    <s v="MYR"/>
    <n v="0.20499999999999999"/>
    <s v="ea"/>
    <n v="100"/>
    <n v="0.06"/>
  </r>
  <r>
    <x v="630"/>
    <s v="SCREW-HEADLESS HEXA. PIN M 3x 5 DIN915 BLACK PHOSPHATED STEEL"/>
    <s v="Bossard"/>
    <s v="BN26 M3x5"/>
    <s v="MYR"/>
    <n v="0.18899999999999997"/>
    <s v="ea"/>
    <n v="100"/>
    <n v="0.06"/>
  </r>
  <r>
    <x v="631"/>
    <s v="SCREW-RAISED HEAD HEX. M 3x10 A.T. A2"/>
    <s v="Bossard"/>
    <s v="BN1593 M3x10"/>
    <s v="MYR"/>
    <n v="9.5000000000000001E-2"/>
    <s v="ea"/>
    <n v="100"/>
    <n v="0.06"/>
  </r>
  <r>
    <x v="632"/>
    <s v="SCREW-CYL.HEAD HEX. M 3x 5 A.T."/>
    <s v="Bossard"/>
    <s v="BN610 M3x5"/>
    <s v="MYR"/>
    <n v="0.105"/>
    <s v="ea"/>
    <n v="100"/>
    <n v="0.06"/>
  </r>
  <r>
    <x v="633"/>
    <s v="SCREW M3 X 6MM SHCS SS"/>
    <s v="Bossard"/>
    <s v="DIN912-BN610 M3x6"/>
    <s v="MYR"/>
    <n v="0.25"/>
    <s v="ea"/>
    <n v="100"/>
    <n v="0.06"/>
  </r>
  <r>
    <x v="634"/>
    <s v="SCREW-CYL.HEAD HEX. M 3x 8 A.T."/>
    <s v="Bossard"/>
    <s v="BN610 M3x8"/>
    <s v="MYR"/>
    <n v="0.126"/>
    <s v="ea"/>
    <n v="100"/>
    <n v="0.06"/>
  </r>
  <r>
    <x v="635"/>
    <s v="SCREW-CYL.HEAD HEX. M 3X14 A.T."/>
    <s v="Bossard"/>
    <s v="BN610, M3x14"/>
    <s v="MYR"/>
    <n v="0.16500000000000001"/>
    <s v="ea"/>
    <n v="100"/>
    <n v="0.06"/>
  </r>
  <r>
    <x v="636"/>
    <s v="SCREW-CYL.HEAD HEX. M 3X18 A.T."/>
    <s v="Bossard"/>
    <s v="BN610 M3x18"/>
    <s v="MYR"/>
    <n v="0.17900000000000002"/>
    <s v="ea"/>
    <n v="100"/>
    <n v="0.06"/>
  </r>
  <r>
    <x v="637"/>
    <s v="SCREW-CYL.HEAD HEXA. M 3x 22 ALL THR."/>
    <s v="Bossard"/>
    <s v="DIN912 A4"/>
    <s v="MYR"/>
    <n v="0.18"/>
    <s v="ea"/>
    <n v="100"/>
    <n v="0.06"/>
  </r>
  <r>
    <x v="638"/>
    <s v="SCREW-CYL.HEAD HEXA. M 3X 25 PART.THR."/>
    <s v="Bossard"/>
    <s v="N/A"/>
    <s v="MYR"/>
    <n v="0.21"/>
    <s v="ea"/>
    <n v="100"/>
    <n v="0.06"/>
  </r>
  <r>
    <x v="639"/>
    <s v="SCREW-CYL.HEAD HEXA. M 3X 40 PART.THR."/>
    <s v="Bossard"/>
    <s v="BN611, M3x40"/>
    <s v="MYR"/>
    <n v="0.41200000000000003"/>
    <s v="ea"/>
    <n v="100"/>
    <n v="0.06"/>
  </r>
  <r>
    <x v="640"/>
    <s v="Hx soc hd cp scr prt thrd st st A4 D912"/>
    <s v="Bossard"/>
    <s v="BN613 M3 x 45"/>
    <s v="MYR"/>
    <n v="1.26"/>
    <s v="ea"/>
    <n v="100"/>
    <n v="0.06"/>
  </r>
  <r>
    <x v="641"/>
    <s v="SCREW-CYL.HEAD HEXA. M 4x  5 ALL THR."/>
    <s v="Bossard"/>
    <s v="DIN912 A2"/>
    <s v="MYR"/>
    <n v="0.23499999999999999"/>
    <s v="ea"/>
    <n v="100"/>
    <n v="0.06"/>
  </r>
  <r>
    <x v="642"/>
    <s v="SCREW CYL HEAD LOW HEX. M4X 8 AT"/>
    <s v="Bossard"/>
    <s v="BN2844 "/>
    <s v="MYR"/>
    <n v="0.375"/>
    <s v="ea"/>
    <n v="100"/>
    <n v="0.06"/>
  </r>
  <r>
    <x v="643"/>
    <s v="SCREW-CYL.HEAD-LOW HEX. M 4x10 A.T."/>
    <s v="Bossard"/>
    <s v="DIN7984-BN2844"/>
    <s v="MYR"/>
    <n v="0.24299999999999999"/>
    <s v="ea"/>
    <n v="100"/>
    <n v="0.06"/>
  </r>
  <r>
    <x v="644"/>
    <s v="SCREW SHCS M04X25 SS"/>
    <s v="Bossard"/>
    <s v="DIN912 BN612 A4"/>
    <s v="MYR"/>
    <n v="0.3"/>
    <s v="ea"/>
    <n v="100"/>
    <n v="0.06"/>
  </r>
  <r>
    <x v="645"/>
    <s v="SCREW-CYL.HEAD HEX. M 4X 30 ALL THR."/>
    <s v="Bossard"/>
    <s v="DIN912 ZP"/>
    <s v="MYR"/>
    <n v="0.22700000000000004"/>
    <s v="ea"/>
    <n v="100"/>
    <n v="0.06"/>
  </r>
  <r>
    <x v="646"/>
    <s v="SCREW-CYL.HEAD HEXA. M 4x 50 PART.THR."/>
    <s v="Bossard"/>
    <s v="DIN912 A2"/>
    <s v="MYR"/>
    <n v="0.68799999999999994"/>
    <s v="ea"/>
    <n v="200"/>
    <n v="0.06"/>
  </r>
  <r>
    <x v="647"/>
    <s v="SCREW-CYL.HEAD HEXA. M 4X 60 PART.THR."/>
    <s v="Bossard"/>
    <s v="BN611 M4x60"/>
    <s v="MYR"/>
    <n v="0.80899999999999994"/>
    <s v="ea"/>
    <n v="100"/>
    <n v="0.06"/>
  </r>
  <r>
    <x v="648"/>
    <s v="Hx soc hd cp scr prt thrd st st A4 D912"/>
    <s v="Bossard"/>
    <s v="BN 613 M4 x 70"/>
    <s v="MYR"/>
    <n v="1.03"/>
    <s v="ea"/>
    <n v="100"/>
    <n v="0.06"/>
  </r>
  <r>
    <x v="649"/>
    <s v="SCREW-CYL.HEAD HEXA. M 4X 80 PART.THR."/>
    <s v="Bossard"/>
    <s v="BN2 M4x80"/>
    <s v="MYR"/>
    <n v="1.236"/>
    <s v="ea"/>
    <n v="100"/>
    <n v="0.06"/>
  </r>
  <r>
    <x v="650"/>
    <s v="SCREW M3 X 6MM SS LOW SHC"/>
    <s v="Bossard"/>
    <s v="DIN7984-BN2844"/>
    <s v="MYR"/>
    <n v="0.215"/>
    <s v="ea"/>
    <n v="100"/>
    <n v="0.06"/>
  </r>
  <r>
    <x v="651"/>
    <s v="SCREW CYL HEAD LOW M5X12 AT"/>
    <s v="Bossard"/>
    <n v="1489526"/>
    <s v="MYR"/>
    <n v="0.43099999999999999"/>
    <s v="ea"/>
    <n v="100"/>
    <n v="0.06"/>
  </r>
  <r>
    <x v="652"/>
    <s v="SCREW SHCS M05X25 ZINC"/>
    <s v="Bossard"/>
    <s v="DIN912 8.8 BN3"/>
    <s v="MYR"/>
    <n v="0.248"/>
    <s v="ea"/>
    <n v="100"/>
    <n v="0.06"/>
  </r>
  <r>
    <x v="653"/>
    <s v="SCREW-CYL.HEAD HEXA. M 5x 45 PART.THR."/>
    <s v="Bossard"/>
    <s v="DIN912 A2"/>
    <s v="MYR"/>
    <n v="0.67399999999999993"/>
    <s v="ea"/>
    <n v="100"/>
    <n v="0.06"/>
  </r>
  <r>
    <x v="654"/>
    <s v="SCREW CYL HEAD HEXA M5X50 PART THR BN611"/>
    <s v="Bossard"/>
    <s v="'1112376"/>
    <s v="MYR"/>
    <n v="0.70199999999999985"/>
    <s v="ea"/>
    <n v="100"/>
    <n v="0.06"/>
  </r>
  <r>
    <x v="655"/>
    <s v="SCREW-CYL.HEAD HEXA. M 5X 55 PART.THR."/>
    <s v="Bossard"/>
    <s v="BN611 M5x55"/>
    <s v="MYR"/>
    <n v="0.91399999999999992"/>
    <s v="ea"/>
    <n v="100"/>
    <n v="0.06"/>
  </r>
  <r>
    <x v="656"/>
    <s v="SCREW-CYL.HEAD HEXA. M 5x 65 PART.THR."/>
    <s v="Bossard"/>
    <s v="DIN912 NOIRCIE"/>
    <s v="MYR"/>
    <n v="0.52500000000000002"/>
    <s v="ea"/>
    <n v="100"/>
    <n v="0.06"/>
  </r>
  <r>
    <x v="657"/>
    <s v="SCREW-CYL.HEAD HEXA. M 5X 70 PART.THR."/>
    <s v="Bossard"/>
    <s v="DIN912 A2"/>
    <s v="MYR"/>
    <n v="0.80799999999999994"/>
    <s v="ea"/>
    <n v="100"/>
    <n v="0.06"/>
  </r>
  <r>
    <x v="658"/>
    <s v="Hx soc hd cp scr prt thrd st st A2 D912"/>
    <s v="Bossard"/>
    <s v="BN611 M5 x 80"/>
    <s v="MYR"/>
    <n v="2.415"/>
    <s v="ea"/>
    <n v="100"/>
    <n v="0.06"/>
  </r>
  <r>
    <x v="659"/>
    <s v="SCREW-CYL.HEAD HEXA. M 5X 90 PART.THR."/>
    <s v="Bossard"/>
    <s v="BN611 - 3143347"/>
    <s v="MYR"/>
    <n v="2.8839999999999999"/>
    <s v="ea"/>
    <n v="100"/>
    <n v="0.06"/>
  </r>
  <r>
    <x v="660"/>
    <s v="Hex soc hd cap scr low head A2 D7984"/>
    <s v="Bossard"/>
    <s v="BN2844 M4 x 12"/>
    <s v="MYR"/>
    <n v="0.47399999999999998"/>
    <s v="ea"/>
    <n v="100"/>
    <n v="0.06"/>
  </r>
  <r>
    <x v="661"/>
    <s v="SCREW-CYL.HEAD-LOW HEX. M 3X 5 A.T."/>
    <s v="Bossard"/>
    <s v="DIN7984-BN2844"/>
    <s v="MYR"/>
    <n v="9.0999999999999998E-2"/>
    <s v="ea"/>
    <n v="100"/>
    <n v="0.06"/>
  </r>
  <r>
    <x v="662"/>
    <s v="SCREW-CYL.HEAD HEX. M2.5X 8 A.T."/>
    <s v="Bossard"/>
    <s v="BN610, M2.5x8"/>
    <s v="MYR"/>
    <n v="0.124"/>
    <s v="ea"/>
    <n v="100"/>
    <n v="0.06"/>
  </r>
  <r>
    <x v="663"/>
    <s v="SCREW-COUNT.HEAD HEX. M 6x16 A.T."/>
    <s v="Bossard"/>
    <s v="BN616, M6x16"/>
    <s v="MYR"/>
    <n v="0.51500000000000001"/>
    <s v="ea"/>
    <n v="100"/>
    <n v="0.06"/>
  </r>
  <r>
    <x v="664"/>
    <s v="SCREW-CYL.HEAD HEXA. M 6x  8 A"/>
    <s v="Bossard"/>
    <s v="DIN912 ZP"/>
    <s v="MYR"/>
    <n v="0.24600000000000002"/>
    <s v="ea"/>
    <n v="100"/>
    <n v="0.06"/>
  </r>
  <r>
    <x v="665"/>
    <s v="SCREW CYL HEAD HEXA M6X10 A.T."/>
    <s v="Bossard"/>
    <n v="1004263"/>
    <s v="MYR"/>
    <n v="0.22"/>
    <s v="ea"/>
    <n v="100"/>
    <n v="0.06"/>
  </r>
  <r>
    <x v="666"/>
    <s v="SCREW-CYL.HEAD HEXA. M 6x 12 ALL THR."/>
    <s v="Bossard"/>
    <s v="DIN912 ZP"/>
    <s v="MYR"/>
    <n v="0.26700000000000002"/>
    <s v="ea"/>
    <n v="100"/>
    <n v="0.06"/>
  </r>
  <r>
    <x v="667"/>
    <s v="SCREW-CYL.HEAD HEXA. M 6x 14 ALL THR."/>
    <s v="Bossard"/>
    <s v="DIN912 ZP"/>
    <s v="MYR"/>
    <n v="0.37"/>
    <s v="ea"/>
    <n v="100"/>
    <n v="0.06"/>
  </r>
  <r>
    <x v="668"/>
    <s v="SCREW-CYL.HEAD HEXA. M 6x 16 ALL THR."/>
    <s v="Bossard"/>
    <s v="DIN912 ZP"/>
    <s v="MYR"/>
    <n v="0.24"/>
    <s v="ea"/>
    <n v="100"/>
    <n v="0.06"/>
  </r>
  <r>
    <x v="669"/>
    <s v="Hx soc hd cp scr ful thrd ST8.8 ZNB"/>
    <s v="Bossard"/>
    <s v="D912 - BN3"/>
    <s v="MYR"/>
    <n v="0.7"/>
    <s v="ea"/>
    <n v="200"/>
    <n v="0.06"/>
  </r>
  <r>
    <x v="670"/>
    <s v="SCREW-CYL.HEAD HEXA. M 6x 20 ALL THR."/>
    <s v="Bossard"/>
    <s v="DIN912 ZP"/>
    <s v="MYR"/>
    <n v="0.26"/>
    <s v="ea"/>
    <n v="100"/>
    <n v="0.06"/>
  </r>
  <r>
    <x v="671"/>
    <s v="SCREW-CYL.HEAD HEXA. M 6x 25 ALL THR."/>
    <s v="Bossard"/>
    <s v="DIN912 ZP"/>
    <s v="MYR"/>
    <n v="0.20300000000000001"/>
    <s v="ea"/>
    <n v="100"/>
    <n v="0.06"/>
  </r>
  <r>
    <x v="672"/>
    <s v="SCREW-CYL.HEAD HEXA. M 6X 30 ALL THR."/>
    <s v="Bossard"/>
    <s v="DIN912 ZP"/>
    <s v="MYR"/>
    <n v="0.22200000000000003"/>
    <s v="ea"/>
    <n v="100"/>
    <n v="0.06"/>
  </r>
  <r>
    <x v="673"/>
    <s v="SCREW-CYL.HEAD HEXA. M 6X 35 A.T."/>
    <s v="Bossard"/>
    <s v="BN3 M6x35"/>
    <s v="MYR"/>
    <n v="0.57800000000000007"/>
    <s v="ea"/>
    <n v="100"/>
    <n v="0.06"/>
  </r>
  <r>
    <x v="674"/>
    <s v="SCREW-CYL.HEAD HEXA. M 6x 40 ALL THR."/>
    <s v="Bossard"/>
    <s v="DIN912 ZP"/>
    <s v="MYR"/>
    <n v="1.1059999999999999"/>
    <s v="ea"/>
    <n v="200"/>
    <n v="0.06"/>
  </r>
  <r>
    <x v="675"/>
    <s v="SCREW-CYL.HEAD HEXA. M 6x 45 PART.THR."/>
    <s v="Bossard"/>
    <s v="DIN912 ZP"/>
    <s v="MYR"/>
    <n v="0.78299999999999992"/>
    <s v="ea"/>
    <n v="100"/>
    <n v="0.06"/>
  </r>
  <r>
    <x v="676"/>
    <s v="SCREW-CYL.HEAD HEXA. M 6X 50 PART.THR."/>
    <s v="Bossard"/>
    <s v="DIN912 ZP"/>
    <s v="MYR"/>
    <n v="0.47600000000000003"/>
    <s v="ea"/>
    <n v="100"/>
    <n v="0.06"/>
  </r>
  <r>
    <x v="677"/>
    <s v="Hx soc hd cp scr prt thrd ST8.8 ZNB D912"/>
    <s v="Bossard"/>
    <s v="BN4 M6 x55"/>
    <s v="MYR"/>
    <n v="0.36800000000000005"/>
    <s v="ea"/>
    <n v="100"/>
    <n v="0.06"/>
  </r>
  <r>
    <x v="678"/>
    <s v="Hx soc hd cp scr prt thrd ST8.8 ZNB D912"/>
    <s v="Bossard"/>
    <s v="BN4 M 6 x 60"/>
    <s v="MYR"/>
    <n v="0.84"/>
    <s v="ea"/>
    <n v="100"/>
    <n v="0.06"/>
  </r>
  <r>
    <x v="679"/>
    <s v="SCREW-CYL.HEAD HEX. M 6X 70 PART.THR. ISO4762 A"/>
    <s v="Bossard"/>
    <s v="BN4 M6 x 70"/>
    <s v="MYR"/>
    <n v="0.97899999999999987"/>
    <s v="ea"/>
    <n v="100"/>
    <n v="0.06"/>
  </r>
  <r>
    <x v="680"/>
    <s v="SCREW-CYL.HEAD HEXA. M 6x 80 PART.THR"/>
    <s v="Bossard"/>
    <s v="DIN912 ZP"/>
    <s v="MYR"/>
    <n v="1.05"/>
    <s v="ea"/>
    <n v="100"/>
    <n v="0.06"/>
  </r>
  <r>
    <x v="681"/>
    <s v="SCREW-CYL.HEAD HEXA. M 4x 30 PART.THR."/>
    <s v="Bossard"/>
    <s v="DIN912 A2"/>
    <s v="MYR"/>
    <n v="0.28300000000000003"/>
    <s v="ea"/>
    <n v="100"/>
    <n v="0.06"/>
  </r>
  <r>
    <x v="682"/>
    <s v="SCREW-CYL.HEAD HEX. M 8X 12 ALL THR. ISO4762"/>
    <s v="Bossard"/>
    <s v="BN 3 M8x12"/>
    <s v="MYR"/>
    <n v="0.98450000000000004"/>
    <s v="ea"/>
    <n v="100"/>
    <n v="0.06"/>
  </r>
  <r>
    <x v="683"/>
    <s v="SCREW-CYL.HEAD HEXA. M 8X 16 ALL THR"/>
    <s v="Bossard"/>
    <s v="1233424"/>
    <s v="MYR"/>
    <n v="0.54400000000000004"/>
    <s v="ea"/>
    <n v="100"/>
    <n v="0.06"/>
  </r>
  <r>
    <x v="684"/>
    <s v="SCREW-CYL.HEAD HEX. M 8X18 ALL THR. ISO4762"/>
    <s v="Bossard"/>
    <s v="BN3 M8x18"/>
    <s v="MYR"/>
    <n v="0.6"/>
    <s v="ea"/>
    <n v="100"/>
    <n v="0.06"/>
  </r>
  <r>
    <x v="685"/>
    <s v="SCREW-CYL.HEAD HEXA. M 8x 20 ALL THR."/>
    <s v="Bossard"/>
    <s v="DIN912 ZP"/>
    <s v="MYR"/>
    <n v="0.50900000000000001"/>
    <s v="ea"/>
    <n v="100"/>
    <n v="0.06"/>
  </r>
  <r>
    <x v="686"/>
    <s v="SCREW-CYL.HEAD HEX. M 8x25 A.T."/>
    <s v="Bossard"/>
    <s v="DIN912-BN3"/>
    <s v="MYR"/>
    <n v="0.93799999999999994"/>
    <s v="ea"/>
    <n v="100"/>
    <n v="0.06"/>
  </r>
  <r>
    <x v="687"/>
    <s v="SCREW CYL HEAD HEXA M8X30 AT"/>
    <s v="Bossard"/>
    <n v="1004603"/>
    <s v="MYR"/>
    <n v="0.66899999999999993"/>
    <s v="ea"/>
    <n v="100"/>
    <n v="0.06"/>
  </r>
  <r>
    <x v="688"/>
    <s v="SCREW-CYL.HEAD HEXA. M 8x 30 PART.THR."/>
    <s v="Bossard"/>
    <s v="BN1057 M8x30 DIN912 PA"/>
    <s v="MYR"/>
    <n v="0.68299999999999994"/>
    <s v="ea"/>
    <n v="100"/>
    <n v="0.06"/>
  </r>
  <r>
    <x v="689"/>
    <s v="SCREW-CYL.HEAD HEXA. M 8x 35 ALL THR."/>
    <s v="Bossard"/>
    <s v="DIN912 ZP"/>
    <s v="MYR"/>
    <n v="1.617"/>
    <s v="ea"/>
    <n v="100"/>
    <n v="0.06"/>
  </r>
  <r>
    <x v="690"/>
    <s v="SCREW-CYL.HEAD HEXA. M 8x 40 ALL THR."/>
    <s v="Bossard"/>
    <s v="DIN912 ZP"/>
    <s v="MYR"/>
    <n v="2.2559999999999998"/>
    <s v="ea"/>
    <n v="100"/>
    <n v="0.06"/>
  </r>
  <r>
    <x v="691"/>
    <s v="SCREW-CYL.HEAD HEXA. M 8x 45 PART.THR."/>
    <s v="Bossard"/>
    <s v="DIN912 ZP BN4"/>
    <s v="MYR"/>
    <n v="1.5409999999999999"/>
    <s v="ea"/>
    <n v="200"/>
    <n v="0.06"/>
  </r>
  <r>
    <x v="692"/>
    <s v="Hx soc hd cp scr ful thrd ST8.8 ZNB"/>
    <s v="Bossard"/>
    <s v="D912 - BN3"/>
    <s v="MYR"/>
    <n v="1.68"/>
    <s v="ea"/>
    <n v="100"/>
    <n v="0.06"/>
  </r>
  <r>
    <x v="693"/>
    <s v="SCREW-CYL.HEAD HEX. M 8x55 P.T."/>
    <s v="Bossard"/>
    <s v="DIN912-BN4 (ZP)"/>
    <s v="MYR"/>
    <n v="1.0119999999999998"/>
    <s v="ea"/>
    <n v="100"/>
    <n v="0.06"/>
  </r>
  <r>
    <x v="694"/>
    <s v="SCREW-CYL.HEAD HEXA. M 8x 60 PART.THR."/>
    <s v="Bossard"/>
    <s v="DIN912 ZP"/>
    <s v="MYR"/>
    <n v="1.0349999999999999"/>
    <s v="ea"/>
    <n v="100"/>
    <n v="0.06"/>
  </r>
  <r>
    <x v="695"/>
    <s v="SCREW-CYL.HEAD HEX. M 8x65 P.T."/>
    <s v="Bossard"/>
    <s v="BN4, M8x65"/>
    <s v="MYR"/>
    <n v="0.63"/>
    <s v="ea"/>
    <n v="100"/>
    <n v="0.06"/>
  </r>
  <r>
    <x v="696"/>
    <s v="Hx so hd cp sc fu td ST12.9 BLACK D912"/>
    <s v="Bossard"/>
    <s v="BN7 M8 x 70"/>
    <s v="MYR"/>
    <n v="2.4209999999999998"/>
    <s v="ea"/>
    <n v="100"/>
    <n v="0.06"/>
  </r>
  <r>
    <x v="697"/>
    <s v="Hx soc hd cp scr prt thrd ST8.8 ZNB D912"/>
    <s v="Bossard"/>
    <s v="BN4 M8 x 80"/>
    <s v="MYR"/>
    <n v="1.8540000000000001"/>
    <s v="ea"/>
    <n v="100"/>
    <n v="0.06"/>
  </r>
  <r>
    <x v="698"/>
    <s v="Hx soc hd cp scr prt thrd ST8.8 ZNB D912"/>
    <s v="Bossard"/>
    <s v="BN4 M8 x 90"/>
    <s v="MYR"/>
    <n v="1.4219999999999999"/>
    <s v="ea"/>
    <n v="100"/>
    <n v="0.06"/>
  </r>
  <r>
    <x v="699"/>
    <s v="SCREW-CYL.HEAD HEXA. M 8X100 PART.THR."/>
    <s v="Bossard"/>
    <s v="DIN912 ZP"/>
    <s v="MYR"/>
    <n v="1.536"/>
    <s v="ea"/>
    <n v="100"/>
    <n v="0.06"/>
  </r>
  <r>
    <x v="700"/>
    <s v="Hx soc hd cp scr prt thrd ST8.8 ZNB D912"/>
    <s v="Bossard"/>
    <s v="BN4 M8 x 10"/>
    <s v="MYR"/>
    <n v="2.52"/>
    <s v="ea"/>
    <n v="100"/>
    <n v="0.06"/>
  </r>
  <r>
    <x v="701"/>
    <s v="SCREW-CYL.HEAD HEXA. M 5x 30 PART.THR."/>
    <s v="Bossard"/>
    <s v="DIN912 A2"/>
    <s v="MYR"/>
    <n v="0.33399999999999996"/>
    <s v="ea"/>
    <n v="100"/>
    <n v="0.06"/>
  </r>
  <r>
    <x v="702"/>
    <s v="Hx soc hd cp scr ful thrd ST8.8 ZNB D912"/>
    <s v="Bossard"/>
    <s v="BN3 M10 x 16"/>
    <s v="MYR"/>
    <n v="1.155"/>
    <s v="ea"/>
    <n v="100"/>
    <n v="0.06"/>
  </r>
  <r>
    <x v="703"/>
    <s v="Hx soc hd cp scr ful thrd ST8.8 ZNB D912"/>
    <s v="Bossard"/>
    <s v="BN3 M10 x 20"/>
    <s v="MYR"/>
    <n v="0.77300000000000002"/>
    <s v="ea"/>
    <n v="100"/>
    <n v="0.06"/>
  </r>
  <r>
    <x v="704"/>
    <s v="Hx soc hd cp scr ful thrd ST8.8 ZNB D912"/>
    <s v="Bossard"/>
    <s v="BN3 M10 x 25"/>
    <s v="MYR"/>
    <n v="0.68299999999999994"/>
    <s v="ea"/>
    <n v="100"/>
    <n v="0.06"/>
  </r>
  <r>
    <x v="705"/>
    <s v="SCREW-CYL.HEAD HEXA. M10x 30 ALL THR."/>
    <s v="Bossard"/>
    <s v="DIN912 ZP"/>
    <s v="MYR"/>
    <n v="0.87899999999999989"/>
    <s v="ea"/>
    <n v="100"/>
    <n v="0.06"/>
  </r>
  <r>
    <x v="706"/>
    <s v="SCREW-CYL.HEAD HEXA. M10x 35 ALL THR."/>
    <s v="Bossard"/>
    <s v="DIN912 ZP"/>
    <s v="MYR"/>
    <n v="0.78399999999999992"/>
    <s v="ea"/>
    <n v="100"/>
    <n v="0.06"/>
  </r>
  <r>
    <x v="707"/>
    <s v="Hx soc hd cp scr ful thrd ST8.8 ZNB D912"/>
    <s v="Bossard"/>
    <s v="BN3 M10 x 40"/>
    <s v="MYR"/>
    <n v="1.103"/>
    <s v="ea"/>
    <n v="100"/>
    <n v="0.06"/>
  </r>
  <r>
    <x v="708"/>
    <s v="Hx soc hd cp scr ful thrd ST8.8 ZNB D912"/>
    <s v="Bossard"/>
    <s v="BN3 M10 x 45"/>
    <s v="MYR"/>
    <n v="1.05"/>
    <s v="ea"/>
    <n v="100"/>
    <n v="0.06"/>
  </r>
  <r>
    <x v="709"/>
    <s v="Hx soc hd cp scr prt thrd ST8.8 ZNB D912"/>
    <s v="Bossard"/>
    <s v="BN4 M10 x 50"/>
    <s v="MYR"/>
    <n v="0.92700000000000005"/>
    <s v="ea"/>
    <n v="100"/>
    <n v="0.06"/>
  </r>
  <r>
    <x v="710"/>
    <s v="SCREW-CYL.HEAD HEXA. M10x 55 PART.THR"/>
    <s v="Bossard"/>
    <s v="DIN912 ZP BN4"/>
    <s v="MYR"/>
    <n v="0.52500000000000002"/>
    <s v="ea"/>
    <n v="100"/>
    <n v="0.06"/>
  </r>
  <r>
    <x v="711"/>
    <s v="SCREW-CYL.HEAD HEXA. M10X 60 PART.THR."/>
    <s v="Bossard"/>
    <s v="BN7 M10 x 60"/>
    <s v="MYR"/>
    <n v="1.5449999999999999"/>
    <s v="ea"/>
    <n v="100"/>
    <n v="0.06"/>
  </r>
  <r>
    <x v="712"/>
    <s v="SCREW-CYL.HEAD HEX.M10X 70 PART THR. ISO4762"/>
    <s v="Bossard"/>
    <s v="BN4 M10x70"/>
    <s v="MYR"/>
    <n v="1.7509999999999999"/>
    <s v="ea"/>
    <n v="100"/>
    <n v="0.06"/>
  </r>
  <r>
    <x v="713"/>
    <s v="SCREW-CYL.HEAD HEXA. M10X 80 PART.THR."/>
    <s v="Bossard"/>
    <s v="DIN912 ZP"/>
    <s v="MYR"/>
    <n v="2.2149999999999999"/>
    <s v="ea"/>
    <n v="100"/>
    <n v="0.06"/>
  </r>
  <r>
    <x v="714"/>
    <s v="SCREW-CYL.HEAD HEX.M12X 30 ALL.THR. ISO4762"/>
    <s v="Bossard"/>
    <s v="BN7 M12x30"/>
    <s v="MYR"/>
    <n v="1.9569999999999999"/>
    <s v="ea"/>
    <n v="100"/>
    <n v="0.06"/>
  </r>
  <r>
    <x v="715"/>
    <s v="Hx soc hd cp scr prt thrd st st A2 D912"/>
    <s v="Bossard"/>
    <s v="BN611 M6 x 55"/>
    <s v="MYR"/>
    <n v="1.89"/>
    <s v="ea"/>
    <n v="100"/>
    <n v="0.06"/>
  </r>
  <r>
    <x v="716"/>
    <s v="SCREW-HEADLESS-SLOTTED M 2X 2"/>
    <s v="Bossard"/>
    <s v="DIN551 ZP"/>
    <s v="MYR"/>
    <n v="0.21600000000000003"/>
    <s v="ea"/>
    <n v="100"/>
    <n v="0.06"/>
  </r>
  <r>
    <x v="717"/>
    <s v="SCREW-HEADLESS-SLOTTED M 2x 5"/>
    <s v="Bossard"/>
    <s v="DIN551 ZP"/>
    <s v="MYR"/>
    <n v="0.13400000000000001"/>
    <s v="ea"/>
    <n v="100"/>
    <n v="0.06"/>
  </r>
  <r>
    <x v="718"/>
    <s v="SCREW-HEADLESS SLOT.F.P. M 2X 10 ALL THR"/>
    <s v="Bossard"/>
    <s v="BN427 M2 x 10"/>
    <s v="MYR"/>
    <n v="0.19500000000000001"/>
    <s v="ea"/>
    <n v="100"/>
    <n v="0.06"/>
  </r>
  <r>
    <x v="719"/>
    <s v="Sltd set scr flat point st znb D551"/>
    <s v="Bossard"/>
    <s v="BN 427 M5 x 50"/>
    <s v="MYR"/>
    <n v="0.627"/>
    <s v="ea"/>
    <n v="100"/>
    <n v="0.06"/>
  </r>
  <r>
    <x v="720"/>
    <s v="SCREW-HEADLESS HEX.F.P. M 8x35 A.T."/>
    <s v="Bossard"/>
    <s v="BN617 M8x35"/>
    <s v="MYR"/>
    <n v="1.47"/>
    <s v="ea"/>
    <n v="100"/>
    <n v="0.06"/>
  </r>
  <r>
    <x v="721"/>
    <s v="SCREW-CYL.HEAD HEX. M 12X 35 ALL THR. ISO4762"/>
    <s v="Bossard"/>
    <s v="BN3 M12x35"/>
    <s v="MYR"/>
    <n v="1.3"/>
    <s v="ea"/>
    <n v="100"/>
    <n v="0.06"/>
  </r>
  <r>
    <x v="722"/>
    <s v="SCREW-COUNT.HEAD SLOT. M 2x 3 ALL THR."/>
    <s v="Bossard"/>
    <s v="DIN963A A2"/>
    <s v="MYR"/>
    <n v="0.26500000000000001"/>
    <s v="ea"/>
    <n v="100"/>
    <n v="0.06"/>
  </r>
  <r>
    <x v="723"/>
    <s v="Sltd flat hd mach scr st 4.8 znb D963A"/>
    <s v="Bossard"/>
    <s v="BN357 M2 x 4"/>
    <s v="MYR"/>
    <n v="8.4000000000000005E-2"/>
    <s v="ea"/>
    <n v="200"/>
    <n v="0.06"/>
  </r>
  <r>
    <x v="724"/>
    <s v="SCREW-COUNT.HEAD SLOT. M 2 x 5"/>
    <s v="Bossard"/>
    <s v="DIN963A ZP"/>
    <s v="MYR"/>
    <n v="2.8000000000000004E-2"/>
    <s v="ea"/>
    <n v="200"/>
    <n v="0.06"/>
  </r>
  <r>
    <x v="725"/>
    <s v="SCREW-COUNT.HEAD SLOT. M 2 x 6"/>
    <s v="Bossard"/>
    <s v="DIN963A ZP"/>
    <s v="MYR"/>
    <n v="3.7000000000000005E-2"/>
    <s v="ea"/>
    <n v="200"/>
    <n v="0.06"/>
  </r>
  <r>
    <x v="726"/>
    <s v="SCREW-COUNT.HEAD SLOT.M 2X10 ALL THR."/>
    <s v="Bossard"/>
    <s v="BN357 M2x10"/>
    <s v="MYR"/>
    <n v="8.299999999999999E-2"/>
    <s v="ea"/>
    <n v="200"/>
    <n v="0.06"/>
  </r>
  <r>
    <x v="727"/>
    <s v="Hx soc hd cp scr prt thrd ST8.8 ZNB D912"/>
    <s v="Bossard"/>
    <s v="BN4 M12 x 120"/>
    <s v="MYR"/>
    <n v="5.25"/>
    <s v="ea"/>
    <n v="50"/>
    <n v="0.06"/>
  </r>
  <r>
    <x v="728"/>
    <s v="SCREW-COUNT.HEAD SLOT. M 2.5x 5 ALL THR."/>
    <s v="Bossard"/>
    <s v="DIN963A ZP"/>
    <s v="MYR"/>
    <n v="0.05"/>
    <s v="ea"/>
    <n v="100"/>
    <n v="0.06"/>
  </r>
  <r>
    <x v="729"/>
    <s v="SCREW-COUNT-HEAD 90°AV.FENT.M 2.5X6"/>
    <s v="Bossard"/>
    <s v="DIN963A A2"/>
    <s v="MYR"/>
    <n v="4.8999999999999995E-2"/>
    <s v="ea"/>
    <n v="100"/>
    <n v="0.06"/>
  </r>
  <r>
    <x v="730"/>
    <s v="SCREW-COUNT.HEAD SLOT. M 2.5x10 ALL THR."/>
    <s v="Bossard"/>
    <s v="DIN963A ZP"/>
    <s v="MYR"/>
    <n v="8.1000000000000003E-2"/>
    <s v="ea"/>
    <n v="200"/>
    <n v="0.06"/>
  </r>
  <r>
    <x v="731"/>
    <s v="Hex soc set scr flat point st st A2 I4026"/>
    <s v="Bossard"/>
    <s v="BN 617 M8x16"/>
    <s v="MYR"/>
    <n v="0.45"/>
    <s v="ea"/>
    <n v="100"/>
    <n v="0.06"/>
  </r>
  <r>
    <x v="732"/>
    <s v="SCREW-COUNT.HEAD HEX. M 6x20 A.T."/>
    <s v="Bossard"/>
    <s v="BN616 M6x20"/>
    <s v="MYR"/>
    <n v="0.58799999999999997"/>
    <s v="ea"/>
    <n v="100"/>
    <n v="0.06"/>
  </r>
  <r>
    <x v="733"/>
    <s v="SCREW-COUNT.HEAD HEX. M 6x25 A.T."/>
    <s v="Bossard"/>
    <s v="BN616 - 1235389"/>
    <s v="MYR"/>
    <n v="0.61799999999999999"/>
    <s v="ea"/>
    <n v="100"/>
    <n v="0.06"/>
  </r>
  <r>
    <x v="734"/>
    <s v="SCREW-COUNT.HEAD SLOT. M3 x 5"/>
    <s v="Bossard"/>
    <s v="DIN963A ZP"/>
    <s v="MYR"/>
    <n v="4.5999999999999999E-2"/>
    <s v="ea"/>
    <n v="200"/>
    <n v="0.06"/>
  </r>
  <r>
    <x v="735"/>
    <s v="Sltd flat hd mach scr st 4.8 znb D963 A"/>
    <s v="Bossard"/>
    <s v="BN357 M3 X 6"/>
    <s v="MYR"/>
    <n v="4.3999999999999997E-2"/>
    <s v="ea"/>
    <n v="200"/>
    <n v="0.06"/>
  </r>
  <r>
    <x v="736"/>
    <s v="SCREW-COUNT.HEAD HEX. M 6x30 A.T."/>
    <s v="Bossard"/>
    <s v="BN616 - 1235397"/>
    <s v="MYR"/>
    <n v="0.67"/>
    <s v="ea"/>
    <n v="100"/>
    <n v="0.06"/>
  </r>
  <r>
    <x v="737"/>
    <s v="SCREW-COUNT.HEAD HEX. M 8x20 A.T."/>
    <s v="Bossard"/>
    <s v="BN616, M8x20"/>
    <s v="MYR"/>
    <n v="0.87599999999999989"/>
    <s v="ea"/>
    <n v="100"/>
    <n v="0.06"/>
  </r>
  <r>
    <x v="738"/>
    <s v="SCREW-COUNT.HEAD HEX. M 8x25 A.T."/>
    <s v="Bossard"/>
    <s v="BN616 M8 x 25"/>
    <s v="MYR"/>
    <n v="0.89300000000000002"/>
    <s v="ea"/>
    <n v="100"/>
    <n v="0.06"/>
  </r>
  <r>
    <x v="739"/>
    <s v="SCREW-COUNT.HEAD HEX. M 8x30 A.T."/>
    <s v="Bossard"/>
    <s v="BN616 - 1235435"/>
    <s v="MYR"/>
    <n v="0.86599999999999999"/>
    <s v="ea"/>
    <n v="100"/>
    <n v="0.06"/>
  </r>
  <r>
    <x v="740"/>
    <s v="SCREW-COUNT.HEAD HEX. M 8x40 A.T."/>
    <s v="Bossard"/>
    <s v="BN616 - 1235443"/>
    <s v="MYR"/>
    <n v="0.90699999999999992"/>
    <s v="ea"/>
    <n v="100"/>
    <n v="0.06"/>
  </r>
  <r>
    <x v="741"/>
    <s v="SCREW-COUNT.HEAD HEX. M10x16 A.T."/>
    <s v="Bossard"/>
    <s v="BN2104 - 3807192"/>
    <s v="MYR"/>
    <n v="0.92700000000000005"/>
    <s v="ea"/>
    <n v="100"/>
    <n v="0.06"/>
  </r>
  <r>
    <x v="742"/>
    <s v="SCREW-COUNT.HEAD HEX. M10x20 A.T."/>
    <s v="Bossard"/>
    <s v="BN2104 - 3807194"/>
    <s v="MYR"/>
    <n v="1.155"/>
    <s v="ea"/>
    <n v="100"/>
    <n v="0.06"/>
  </r>
  <r>
    <x v="743"/>
    <s v="SCREW-COUNT.HEAD HEX. M10x25 A.T."/>
    <s v="Bossard"/>
    <s v="BN2104 - 3807196"/>
    <s v="MYR"/>
    <n v="1.4419999999999999"/>
    <s v="ea"/>
    <n v="100"/>
    <n v="0.06"/>
  </r>
  <r>
    <x v="744"/>
    <s v="SCREW-COUNT.HEAD HEX. M10x30 A.T."/>
    <s v="Bossard"/>
    <s v="BN2104 - 3807197"/>
    <s v="MYR"/>
    <n v="1.7509999999999999"/>
    <s v="ea"/>
    <n v="100"/>
    <n v="0.06"/>
  </r>
  <r>
    <x v="745"/>
    <s v="SCREW-COUNT.HEAD HEX. M10x40 A.T."/>
    <s v="Bossard"/>
    <s v="BN2104 - 3807199"/>
    <s v="MYR"/>
    <n v="2.06"/>
    <s v="ea"/>
    <n v="100"/>
    <n v="0.06"/>
  </r>
  <r>
    <x v="746"/>
    <s v="Sltd flat hd mach scr st 4.8 znb D963A"/>
    <s v="Bossard"/>
    <s v="BN357 M4 x 10"/>
    <s v="MYR"/>
    <n v="0.11599999999999999"/>
    <s v="ea"/>
    <n v="200"/>
    <n v="0.06"/>
  </r>
  <r>
    <x v="747"/>
    <s v="SCREW-COUNT.HEAD SLOT. M4 X14"/>
    <s v="Bossard"/>
    <s v="BN357 M4 x 14"/>
    <s v="MYR"/>
    <n v="0.114"/>
    <s v="ea"/>
    <n v="200"/>
    <n v="0.06"/>
  </r>
  <r>
    <x v="748"/>
    <s v="SCREW COUNT HEAD REDUC M3 X 4"/>
    <s v="Bossard"/>
    <n v="1148982"/>
    <s v="MYR"/>
    <n v="4.0999999999999995E-2"/>
    <s v="ea"/>
    <n v="200"/>
    <n v="0.06"/>
  </r>
  <r>
    <x v="749"/>
    <s v="SCREW COUNT HEAD HEX M3X 5 A.T."/>
    <s v="Bossard"/>
    <n v="1148990"/>
    <s v="MYR"/>
    <n v="0.16300000000000001"/>
    <s v="ea"/>
    <n v="200"/>
    <n v="0.06"/>
  </r>
  <r>
    <x v="750"/>
    <s v="SCREW-RAISED HEAD HEX. M 3x 6 A.T."/>
    <s v="Bossard"/>
    <s v="ISO7380-BN1593"/>
    <s v="MYR"/>
    <n v="7.9000000000000001E-2"/>
    <s v="ea"/>
    <n v="100"/>
    <n v="0.06"/>
  </r>
  <r>
    <x v="751"/>
    <s v="SCREW-RAISED HEAD HEX. M 3X20 P.T."/>
    <s v="Bossard"/>
    <s v="ISO7380-BN1593"/>
    <s v="MYR"/>
    <n v="0.13400000000000001"/>
    <s v="ea"/>
    <n v="100"/>
    <n v="0.06"/>
  </r>
  <r>
    <x v="752"/>
    <s v="Hex hd scr ful thrd st 8.8 znb D933"/>
    <s v="Bossard"/>
    <s v="BN56 M3 x 25"/>
    <s v="MYR"/>
    <n v="0.315"/>
    <s v="ea"/>
    <n v="100"/>
    <n v="0.06"/>
  </r>
  <r>
    <x v="753"/>
    <s v="SCREW-RAISED HEAD HEX. M 6x20 A.T."/>
    <s v="Bossard"/>
    <s v="ISO7380 A2 BN1593"/>
    <s v="MYR"/>
    <n v="0.47899999999999998"/>
    <s v="ea"/>
    <n v="100"/>
    <n v="0.06"/>
  </r>
  <r>
    <x v="754"/>
    <s v="SCREW-HEX.HEAD CAP M 4x10 ALL THR."/>
    <s v="Bossard"/>
    <s v="DIN933 ZP"/>
    <s v="MYR"/>
    <n v="0.18400000000000002"/>
    <s v="ea"/>
    <n v="100"/>
    <n v="0.06"/>
  </r>
  <r>
    <x v="755"/>
    <s v="SCREW-RAISED HEAD HEX. M 8x10 A.T ISO7380"/>
    <s v="Bossard"/>
    <s v="BN1593 M8 x 10"/>
    <s v="MYR"/>
    <n v="0.52500000000000002"/>
    <s v="ea"/>
    <n v="100"/>
    <n v="0.06"/>
  </r>
  <r>
    <x v="756"/>
    <s v="SCREW-CYL.HEAD HEX. M2.5x12 A.T."/>
    <s v="Bossard"/>
    <s v="DIN912-BN610 (A2)"/>
    <s v="MYR"/>
    <n v="0.1"/>
    <s v="ea"/>
    <n v="100"/>
    <n v="0.06"/>
  </r>
  <r>
    <x v="757"/>
    <s v="SCREW-COUNT.HEAD HEX. M 4x 6 A.T."/>
    <s v="Bossard"/>
    <s v="BN 616 M4x6"/>
    <s v="MYR"/>
    <n v="0.25800000000000001"/>
    <s v="ea"/>
    <n v="100"/>
    <n v="0.06"/>
  </r>
  <r>
    <x v="758"/>
    <s v="SCREW-HEX.HEAD CAP M 4x20 ALL THR."/>
    <s v="Bossard"/>
    <s v="DIN933 ZP"/>
    <s v="MYR"/>
    <n v="0.23700000000000002"/>
    <s v="ea"/>
    <n v="100"/>
    <n v="0.06"/>
  </r>
  <r>
    <x v="759"/>
    <s v="Hex hd scr ful thrd st 8.8 znb D933"/>
    <s v="Bossard"/>
    <s v="BN56 M4 x 30"/>
    <s v="MYR"/>
    <n v="0.158"/>
    <s v="ea"/>
    <n v="100"/>
    <n v="0.06"/>
  </r>
  <r>
    <x v="760"/>
    <s v="SCREW-HEX.HEAD CAP M 5x10 ALL THR."/>
    <s v="Bossard"/>
    <s v="DIN933 ZP"/>
    <s v="MYR"/>
    <n v="0.17800000000000002"/>
    <s v="ea"/>
    <n v="100"/>
    <n v="0.06"/>
  </r>
  <r>
    <x v="761"/>
    <s v="SCREW-HEADLESS HEX.F.P. M2.5x10 A.T."/>
    <s v="Bossard"/>
    <s v="DIN913-BN24"/>
    <s v="MYR"/>
    <n v="0.35600000000000004"/>
    <s v="ea"/>
    <n v="100"/>
    <n v="0.06"/>
  </r>
  <r>
    <x v="762"/>
    <s v="SCREW-COUNT.HEAD SLOT.M3 X 25 ALL THR (DIN963A ZP)"/>
    <s v="Bossard"/>
    <s v="N/A"/>
    <s v="MYR"/>
    <n v="0.1"/>
    <s v="ea"/>
    <n v="100"/>
    <n v="0.06"/>
  </r>
  <r>
    <x v="763"/>
    <s v="Hex hd scr ful thrd st 8.8 znb D933"/>
    <s v="Bossard"/>
    <s v="BN56 M5 x 16"/>
    <s v="MYR"/>
    <n v="0.24200000000000002"/>
    <s v="ea"/>
    <n v="100"/>
    <n v="0.06"/>
  </r>
  <r>
    <x v="764"/>
    <s v="Sltd cheese head mach scr st st A2 D84A"/>
    <s v="Bossard"/>
    <s v="BN650 M2x5"/>
    <s v="MYR"/>
    <n v="0.24200000000000002"/>
    <s v="ea"/>
    <n v="100"/>
    <n v="0.06"/>
  </r>
  <r>
    <x v="765"/>
    <s v="SCREW-HEX.HEAD CAP M 6X16 ALL THR."/>
    <s v="Bossard"/>
    <s v="BN56 M6 x 16"/>
    <s v="MYR"/>
    <n v="0.158"/>
    <s v="ea"/>
    <n v="100"/>
    <n v="0.06"/>
  </r>
  <r>
    <x v="766"/>
    <s v="Hex hd scr ful thrd st st A2 D933"/>
    <s v="Bossard"/>
    <s v="BN622 M 6 x 40"/>
    <s v="MYR"/>
    <n v="1.26"/>
    <s v="ea"/>
    <n v="100"/>
    <n v="0.06"/>
  </r>
  <r>
    <x v="767"/>
    <s v="Hex hd scr ful thrd st st A2 D933"/>
    <s v="Bossard"/>
    <s v="BN622 M6 x 50"/>
    <s v="MYR"/>
    <n v="0.73899999999999988"/>
    <s v="ea"/>
    <n v="100"/>
    <n v="0.06"/>
  </r>
  <r>
    <x v="768"/>
    <s v="SCREW-HEX.HEAD CAP M 8X16 ALL THR."/>
    <s v="Bossard"/>
    <s v="BN56 M8 x 16"/>
    <s v="MYR"/>
    <n v="0.309"/>
    <s v="ea"/>
    <n v="100"/>
    <n v="0.06"/>
  </r>
  <r>
    <x v="769"/>
    <s v="SCREW-CYL.HEAD SLOT. M 1.6x 5 ALL THR."/>
    <s v="Bossard"/>
    <s v="DIN84A ZP"/>
    <s v="MYR"/>
    <n v="8.5999999999999993E-2"/>
    <s v="ea"/>
    <n v="200"/>
    <n v="0.06"/>
  </r>
  <r>
    <x v="770"/>
    <s v="SCREW-CYL.HEAD SLOT. M 2x 3 ALL THR."/>
    <s v="Bossard"/>
    <s v="DIN84A CLAIRE"/>
    <s v="MYR"/>
    <n v="0.10799999999999998"/>
    <s v="ea"/>
    <n v="200"/>
    <n v="0.06"/>
  </r>
  <r>
    <x v="771"/>
    <s v="SCREW-CYL.HEAD SLOT. M 2x 4 ALL THR."/>
    <s v="Bossard"/>
    <s v="DIN84A BN328"/>
    <s v="MYR"/>
    <n v="5.5999999999999994E-2"/>
    <s v="ea"/>
    <n v="200"/>
    <n v="0.06"/>
  </r>
  <r>
    <x v="772"/>
    <s v="Sltd cheese head machine scr st 4.8 D84A"/>
    <s v="Bossard"/>
    <s v="BN328 M2 x 6"/>
    <s v="MYR"/>
    <n v="0.111"/>
    <s v="ea"/>
    <n v="200"/>
    <n v="0.06"/>
  </r>
  <r>
    <x v="773"/>
    <s v="SCREW-CYL.HEAD SLOT. M 2x 5 ALL THR"/>
    <s v="Bossard"/>
    <s v="DIN84A BN328"/>
    <s v="MYR"/>
    <n v="3.9E-2"/>
    <s v="ea"/>
    <n v="200"/>
    <n v="0.06"/>
  </r>
  <r>
    <x v="774"/>
    <s v="Sltd cheese head machine scr st 4.8 D84A"/>
    <s v="Bossard"/>
    <s v="BN328 M2.5 x 4"/>
    <s v="MYR"/>
    <n v="5.1999999999999991E-2"/>
    <s v="ea"/>
    <n v="100"/>
    <n v="0.06"/>
  </r>
  <r>
    <x v="775"/>
    <s v="Sltd cheese head machine scr st 4.8 D84A"/>
    <s v="Bossard"/>
    <s v="BN328 M2.5 x 5"/>
    <s v="MYR"/>
    <n v="0.121"/>
    <s v="ea"/>
    <n v="200"/>
    <n v="0.06"/>
  </r>
  <r>
    <x v="776"/>
    <s v="Sltd cheese head machine scr st 4.8 D84A"/>
    <s v="Bossard"/>
    <s v="BN328 M2.5 x 12"/>
    <s v="MYR"/>
    <n v="0.11599999999999999"/>
    <s v="ea"/>
    <n v="200"/>
    <n v="0.06"/>
  </r>
  <r>
    <x v="777"/>
    <s v="SCREW-CYL.HEAD SLOT. M 3x 3 ALL THR."/>
    <s v="Bossard"/>
    <s v="DIN84A ZP"/>
    <s v="MYR"/>
    <n v="0.05"/>
    <s v="ea"/>
    <n v="200"/>
    <n v="0.06"/>
  </r>
  <r>
    <x v="778"/>
    <s v="SCREW-CYL.HEAD SLOT. M 3x 4 ALL THR DIN84A ZP"/>
    <s v="Bossard"/>
    <s v="BN330 M3x4"/>
    <s v="MYR"/>
    <n v="0.14699999999999999"/>
    <s v="ea"/>
    <n v="200"/>
    <n v="0.06"/>
  </r>
  <r>
    <x v="779"/>
    <s v="Screw Cyl head Slot M3x6 All Thr"/>
    <s v="Bossard"/>
    <s v="DIN84A ZP"/>
    <s v="MYR"/>
    <n v="0.17400000000000002"/>
    <s v="ea"/>
    <n v="200"/>
    <n v="0.06"/>
  </r>
  <r>
    <x v="780"/>
    <s v="SCREW-CYL.HEAD SLOT. M 3x10 ALL THR."/>
    <s v="Bossard"/>
    <s v="BN 330 M3 x 10"/>
    <s v="MYR"/>
    <n v="6.699999999999999E-2"/>
    <s v="ea"/>
    <n v="200"/>
    <n v="0.06"/>
  </r>
  <r>
    <x v="781"/>
    <s v="SCREW-SLOTTED-CYL.HEAD M 3x10"/>
    <s v="Bossard"/>
    <s v="BN1061 M3 x 10"/>
    <s v="MYR"/>
    <n v="0.315"/>
    <s v="ea"/>
    <n v="100"/>
    <n v="0.06"/>
  </r>
  <r>
    <x v="782"/>
    <s v="Sltd cheese hd mach scr st 8.8 znb D84A"/>
    <s v="Bossard"/>
    <s v="BN341 M3 x40"/>
    <s v="MYR"/>
    <n v="0.84"/>
    <s v="ea"/>
    <n v="100"/>
    <n v="0.06"/>
  </r>
  <r>
    <x v="783"/>
    <s v="SCREW-CYL.HEAD SLOT. M 3x50 ALL THR."/>
    <s v="Bossard"/>
    <s v="DIN 84A"/>
    <s v="MYR"/>
    <n v="0.28900000000000003"/>
    <s v="ea"/>
    <n v="200"/>
    <n v="0.06"/>
  </r>
  <r>
    <x v="784"/>
    <s v="Sltd cheese hd ma scr polyamide 6.6 D84A"/>
    <s v="Bossard"/>
    <s v="BN1061 M4 x 12"/>
    <s v="MYR"/>
    <n v="0.315"/>
    <s v="ea"/>
    <n v="100"/>
    <n v="0.06"/>
  </r>
  <r>
    <x v="785"/>
    <s v="SCREW-CYL.HEAD HEX. M 2x16 A.T."/>
    <s v="Bossard"/>
    <s v="DIN912-BN610 (A2)"/>
    <s v="MYR"/>
    <n v="0.31"/>
    <s v="ea"/>
    <n v="100"/>
    <n v="0.06"/>
  </r>
  <r>
    <x v="786"/>
    <s v="Hex soc set scr flat point st st A2 I4026"/>
    <s v="Bossard"/>
    <s v="BN617 M 6 x 25"/>
    <s v="MYR"/>
    <n v="1.155"/>
    <s v="ea"/>
    <n v="100"/>
    <n v="0.06"/>
  </r>
  <r>
    <x v="787"/>
    <s v="SCREW-CYL.HEAD SLOT. M 2x10 ALL THR. ISO1207"/>
    <s v="Bossard"/>
    <s v="BN 1061 M2 x 10"/>
    <s v="MYR"/>
    <n v="0.248"/>
    <s v="ea"/>
    <n v="100"/>
    <n v="0.06"/>
  </r>
  <r>
    <x v="788"/>
    <s v="SCREW-PAN HEAD SLOT. M 3X 5 ALL THR."/>
    <s v="Bossard"/>
    <s v="BN351 M3 x 5"/>
    <s v="MYR"/>
    <n v="0.14400000000000002"/>
    <s v="ea"/>
    <n v="100"/>
    <n v="0.06"/>
  </r>
  <r>
    <x v="789"/>
    <s v="Hx soc hd cp scr ful thrd ST8.8 ZNB D912"/>
    <s v="Bossard"/>
    <s v="BN3 M5 x 12"/>
    <s v="MYR"/>
    <n v="0.3"/>
    <s v="ea"/>
    <n v="100"/>
    <n v="0.06"/>
  </r>
  <r>
    <x v="790"/>
    <s v="Slotted pan head screws st 8.8 znb D85A"/>
    <s v="Bossard"/>
    <s v="BN351 M 4 x 8"/>
    <s v="MYR"/>
    <n v="0.26300000000000001"/>
    <s v="ea"/>
    <n v="100"/>
    <n v="0.06"/>
  </r>
  <r>
    <x v="791"/>
    <s v="SCREW-PAN HEAD SLOT. M 4X 6 ALL THR."/>
    <s v="Bossard"/>
    <s v="BN344 M4 x 6"/>
    <s v="MYR"/>
    <n v="9.2999999999999985E-2"/>
    <s v="ea"/>
    <n v="200"/>
    <n v="0.06"/>
  </r>
  <r>
    <x v="792"/>
    <s v="SCREW-HEADLESS HEX.F.P. M 6X50 A.T."/>
    <s v="Bossard"/>
    <s v="BN617 M6 x 50"/>
    <s v="MYR"/>
    <n v="1.391"/>
    <s v="ea"/>
    <n v="100"/>
    <n v="0.06"/>
  </r>
  <r>
    <x v="793"/>
    <s v="SCREW-COUNT.HEAD RECESS M 3X 6 ALL THR."/>
    <s v="Bossard"/>
    <s v="DIN966A ZP"/>
    <s v="MYR"/>
    <n v="4.8999999999999995E-2"/>
    <s v="ea"/>
    <n v="200"/>
    <n v="0.06"/>
  </r>
  <r>
    <x v="794"/>
    <s v="SCREW HEADLESS HEX.F.P. M 4X25 A.T."/>
    <s v="Bossard"/>
    <n v="1235699"/>
    <s v="MYR"/>
    <n v="0.42499999999999999"/>
    <s v="ea"/>
    <n v="100"/>
    <n v="0.06"/>
  </r>
  <r>
    <x v="795"/>
    <s v="SCREW-HEADLESS HEX.F.P. M 4x 6 A.T."/>
    <s v="Bossard"/>
    <s v="DIN913-BN617"/>
    <s v="MYR"/>
    <n v="0.13699999999999998"/>
    <s v="ea"/>
    <n v="100"/>
    <n v="0.06"/>
  </r>
  <r>
    <x v="796"/>
    <s v="SCREW-HEADLESS HEXA.P.P.M6 X 5 ALL THR (DIN913 A2)"/>
    <s v="Bossard"/>
    <s v="N/A"/>
    <s v="MYR"/>
    <n v="0.12"/>
    <s v="ea"/>
    <n v="100"/>
    <n v="0.06"/>
  </r>
  <r>
    <x v="797"/>
    <s v="SCREW-HEADLESS HEX.F.P. M 6x 6 A.T."/>
    <s v="Bossard"/>
    <s v="DIN913-BN617"/>
    <s v="MYR"/>
    <n v="0.15"/>
    <s v="ea"/>
    <n v="100"/>
    <n v="0.06"/>
  </r>
  <r>
    <x v="798"/>
    <s v="SCREW-HEADLESS HEX.F.P. M 6x 8 A.T."/>
    <s v="Bossard"/>
    <s v="DIN913-BN617"/>
    <s v="MYR"/>
    <n v="0.13299999999999998"/>
    <s v="ea"/>
    <n v="100"/>
    <n v="0.06"/>
  </r>
  <r>
    <x v="799"/>
    <s v="SCREW-HEADLESS HEX.F.P. M 6X10 A.T."/>
    <s v="Bossard"/>
    <s v="DIN913-BN617"/>
    <s v="MYR"/>
    <n v="0.21"/>
    <s v="ea"/>
    <n v="100"/>
    <n v="0.06"/>
  </r>
  <r>
    <x v="800"/>
    <s v="SCREW-HEADLESS HEX.F.P. M 6x12 A.T."/>
    <s v="Bossard"/>
    <s v="DIN913-BN617"/>
    <s v="MYR"/>
    <n v="0.24700000000000003"/>
    <s v="ea"/>
    <n v="100"/>
    <n v="0.06"/>
  </r>
  <r>
    <x v="801"/>
    <s v="SCREW-HEADLESS HEX.F.P. M 6x16 A.T."/>
    <s v="Bossard"/>
    <s v="DIN913-BN617"/>
    <s v="MYR"/>
    <n v="0.26200000000000001"/>
    <s v="ea"/>
    <n v="100"/>
    <n v="0.06"/>
  </r>
  <r>
    <x v="802"/>
    <s v="SCREW-HEADLESS HEX.F.P. M2.5x 4 A.T."/>
    <s v="Bossard"/>
    <s v="DIN913-BN24"/>
    <s v="MYR"/>
    <n v="0.27700000000000002"/>
    <s v="ea"/>
    <n v="100"/>
    <n v="0.06"/>
  </r>
  <r>
    <x v="803"/>
    <s v="Hex hd scr ful thrd st 8.8 znb D933"/>
    <s v="Bossard"/>
    <s v="BN56 M3 x 16"/>
    <s v="MYR"/>
    <n v="0.126"/>
    <s v="ea"/>
    <n v="100"/>
    <n v="0.06"/>
  </r>
  <r>
    <x v="804"/>
    <s v="Hex hd scr ful thrd st 8.8 znb D933"/>
    <s v="Bossard"/>
    <s v="BN56 M4 X x 12"/>
    <s v="MYR"/>
    <n v="0.441"/>
    <s v="ea"/>
    <n v="100"/>
    <n v="0.06"/>
  </r>
  <r>
    <x v="805"/>
    <s v="SCREW-HEX.HEAD CAP M 4X16 ALL THR. ISO4017"/>
    <s v="Bossard"/>
    <s v="BN56 4x16"/>
    <s v="MYR"/>
    <n v="0.30400000000000005"/>
    <s v="ea"/>
    <n v="100"/>
    <n v="0.06"/>
  </r>
  <r>
    <x v="806"/>
    <s v="SCREW HEX.HEAD CAP M 5X25 ALL THR. ISO4017"/>
    <s v="Bossard"/>
    <s v="BN 63 M5x25"/>
    <s v="MYR"/>
    <n v="0.56000000000000005"/>
    <s v="ea"/>
    <n v="100"/>
    <n v="0.06"/>
  </r>
  <r>
    <x v="807"/>
    <s v="Hex hd scr ful thrd st 8.8 znb D933"/>
    <s v="Bossard"/>
    <s v="BN56 M3 x 8"/>
    <s v="MYR"/>
    <n v="0.26700000000000002"/>
    <s v="ea"/>
    <n v="100"/>
    <n v="0.06"/>
  </r>
  <r>
    <x v="808"/>
    <s v="Hex screws UNC st 8.8/Grade 5.2 znb"/>
    <s v="Bossard"/>
    <s v="BN67 1/4 x 1 1/2&quot;"/>
    <s v="MYR"/>
    <n v="1.26"/>
    <s v="ea"/>
    <n v="100"/>
    <n v="0.06"/>
  </r>
  <r>
    <x v="809"/>
    <s v="SCREW-HEX.HEAD CAP M 6X20 ALL THR."/>
    <s v="Bossard"/>
    <s v="DIN933 ZP"/>
    <s v="MYR"/>
    <n v="9.6000000000000002E-2"/>
    <s v="ea"/>
    <n v="100"/>
    <n v="0.06"/>
  </r>
  <r>
    <x v="810"/>
    <s v="Hex hd scr ful thrd st 8.8 znb D933"/>
    <s v="Bossard"/>
    <s v="BN56 M6 X 30"/>
    <s v="MYR"/>
    <n v="0.30499999999999999"/>
    <s v="ea"/>
    <n v="100"/>
    <n v="0.06"/>
  </r>
  <r>
    <x v="811"/>
    <s v="Hex hd scr ful thrd st 8.8 znb D933"/>
    <s v="Bossard"/>
    <s v="BN56 M8 x 30"/>
    <s v="MYR"/>
    <n v="0.42"/>
    <s v="ea"/>
    <n v="100"/>
    <n v="0.06"/>
  </r>
  <r>
    <x v="812"/>
    <s v="Hx soc hd shd bo ST012.9/12.9 BLACK I7379"/>
    <s v="Bossard"/>
    <s v="BN1359 8 x 12 / M 6"/>
    <s v="MYR"/>
    <n v="1.68"/>
    <s v="ea"/>
    <n v="100"/>
    <n v="0.06"/>
  </r>
  <r>
    <x v="813"/>
    <s v="SCREW-ADJUSTABLE  6X25/M 5"/>
    <s v="Bossard"/>
    <s v="BN1359 M6 x 25"/>
    <s v="MYR"/>
    <n v="1.6480000000000001"/>
    <s v="ea"/>
    <n v="100"/>
    <n v="0.06"/>
  </r>
  <r>
    <x v="814"/>
    <s v="SCREW ADJUSTABLE 6X16/M5 ISO7379 NOIRCIE"/>
    <s v="Bossard"/>
    <s v="BN1359 6x16"/>
    <s v="MYR"/>
    <n v="0.998"/>
    <s v="ea"/>
    <n v="100"/>
    <n v="0.06"/>
  </r>
  <r>
    <x v="815"/>
    <s v="Hx soc hd shd bo ST012.9/12.9 BLACK I7379"/>
    <s v="Bossard"/>
    <s v="BN1359 6 x 12"/>
    <s v="MYR"/>
    <n v="1.4179999999999999"/>
    <s v="ea"/>
    <n v="100"/>
    <n v="0.06"/>
  </r>
  <r>
    <x v="816"/>
    <s v="SCREW ADJUSTABLE 6X10/ M5"/>
    <s v="Bossard"/>
    <n v="1079891"/>
    <s v="MYR"/>
    <n v="1.1279999999999999"/>
    <s v="ea"/>
    <n v="100"/>
    <n v="0.06"/>
  </r>
  <r>
    <x v="817"/>
    <s v="Slott pan hd mach screws st 4.8 znb D85 A"/>
    <s v="Bossard"/>
    <s v="BN344 M3 x 5"/>
    <s v="MYR"/>
    <n v="6.8000000000000005E-2"/>
    <s v="ea"/>
    <n v="200"/>
    <n v="0.06"/>
  </r>
  <r>
    <x v="818"/>
    <s v="SCREW-PAN HEAD SLOT M3x8 ALL THR DIN85A A2"/>
    <s v="Bossard"/>
    <s v="BN652 M3x8"/>
    <s v="MYR"/>
    <n v="0.158"/>
    <s v="ea"/>
    <n v="100"/>
    <n v="0.06"/>
  </r>
  <r>
    <x v="819"/>
    <s v="Hx soc hd shd bo ST012.9/12.9 BLACK I7379"/>
    <s v="Bossard"/>
    <s v="BN1359 M5"/>
    <s v="MYR"/>
    <n v="2.2050000000000001"/>
    <s v="ea"/>
    <n v="100"/>
    <n v="0.06"/>
  </r>
  <r>
    <x v="820"/>
    <s v="SCREW-CYL.HEAD HEXA. M 2x  6 ALL THR."/>
    <s v="Bossard"/>
    <s v="BN610 M2x6"/>
    <s v="MYR"/>
    <n v="0.35300000000000004"/>
    <s v="ea"/>
    <n v="100"/>
    <n v="0.06"/>
  </r>
  <r>
    <x v="821"/>
    <s v="Hex soc set scr flat point ST ZF I4026"/>
    <s v="Bossard"/>
    <s v="BN1424"/>
    <s v="MYR"/>
    <n v="0.47300000000000003"/>
    <s v="ea"/>
    <n v="100"/>
    <n v="0.06"/>
  </r>
  <r>
    <x v="822"/>
    <s v="SCREW-CYL.HEAD HEX. M 2x 8 A.T."/>
    <s v="Bossard"/>
    <s v="BN610 M2x8"/>
    <s v="MYR"/>
    <n v="0.36800000000000005"/>
    <s v="ea"/>
    <n v="100"/>
    <n v="0.06"/>
  </r>
  <r>
    <x v="823"/>
    <s v="SCREW-CYL.HEAD HEX. M2.5X 6 A.T."/>
    <s v="Bossard"/>
    <n v="1422103"/>
    <s v="MYR"/>
    <n v="8.5999999999999993E-2"/>
    <s v="ea"/>
    <n v="100"/>
    <n v="0.06"/>
  </r>
  <r>
    <x v="824"/>
    <s v="SCREW-HEX.HEAD CAP M 6x 12 ALL THR."/>
    <s v="Bossard"/>
    <s v="DIN933 ZP"/>
    <s v="MYR"/>
    <n v="0.13699999999999998"/>
    <s v="ea"/>
    <n v="100"/>
    <n v="0.06"/>
  </r>
  <r>
    <x v="825"/>
    <s v="SPACER-HEX. M3x  5 MALE/FEMALE"/>
    <s v="Bossard"/>
    <s v="BN3318 ZP"/>
    <s v="MYR"/>
    <n v="0.47499999999999998"/>
    <s v="ea"/>
    <n v="100"/>
    <n v="0.06"/>
  </r>
  <r>
    <x v="826"/>
    <s v="SPACER-HEX. M3x 10 MALE/FEMALE"/>
    <s v="Bossard"/>
    <s v="BN3318 ZP"/>
    <s v="MYR"/>
    <n v="0.376"/>
    <s v="ea"/>
    <n v="100"/>
    <n v="0.06"/>
  </r>
  <r>
    <x v="827"/>
    <s v="SPACER M3X12 HEX"/>
    <s v="Bossard"/>
    <n v="1385151"/>
    <s v="MYR"/>
    <n v="1.0019999999999998"/>
    <s v="ea"/>
    <n v="100"/>
    <n v="0.06"/>
  </r>
  <r>
    <x v="828"/>
    <s v="SPACER M3X15 HEX."/>
    <s v="Bossard"/>
    <s v="BN3321 M3 x 15"/>
    <s v="MYR"/>
    <n v="0.77300000000000002"/>
    <s v="ea"/>
    <n v="100"/>
    <n v="0.06"/>
  </r>
  <r>
    <x v="829"/>
    <s v="SPACER-HEX. M3x 20 MALE/FEMALE"/>
    <s v="Bossard"/>
    <s v="1384821"/>
    <s v="MYR"/>
    <n v="0.85799999999999998"/>
    <s v="ea"/>
    <n v="100"/>
    <n v="0.06"/>
  </r>
  <r>
    <x v="830"/>
    <s v="SPACER M3X25"/>
    <s v="Bossard"/>
    <s v="BN3321"/>
    <s v="MYR"/>
    <n v="0.80899999999999994"/>
    <s v="ea"/>
    <n v="100"/>
    <n v="0.06"/>
  </r>
  <r>
    <x v="831"/>
    <s v="SPACER-HEX. M3x 35 MALE/FEMALE"/>
    <s v="Bossard"/>
    <s v="BN3318 ZP"/>
    <s v="MYR"/>
    <n v="0.68199999999999994"/>
    <s v="ea"/>
    <n v="100"/>
    <n v="0.06"/>
  </r>
  <r>
    <x v="832"/>
    <s v="SPACER-HEX. M3x40 MALE/FEMALE"/>
    <s v="Bossard"/>
    <s v="BN3318 ZP"/>
    <s v="MYR"/>
    <n v="1.607"/>
    <s v="ea"/>
    <n v="100"/>
    <n v="0.06"/>
  </r>
  <r>
    <x v="833"/>
    <s v="SPACER HEX. M4X10 MALE/FEMALE"/>
    <s v="Bossard"/>
    <n v="1539825"/>
    <s v="MYR"/>
    <n v="0.39600000000000002"/>
    <s v="ea"/>
    <n v="100"/>
    <n v="0.06"/>
  </r>
  <r>
    <x v="834"/>
    <s v="SPACER M3X 8 HEX"/>
    <s v="Bossard"/>
    <s v="BN3320 M3 x 8"/>
    <s v="MYR"/>
    <n v="0.61799999999999999"/>
    <s v="ea"/>
    <n v="100"/>
    <n v="0.06"/>
  </r>
  <r>
    <x v="835"/>
    <s v="SPACER-HEX. M3x 10 FEMALE"/>
    <s v="Bossard"/>
    <s v="BN3319 ZP"/>
    <s v="MYR"/>
    <n v="0.45200000000000001"/>
    <s v="ea"/>
    <n v="100"/>
    <n v="0.06"/>
  </r>
  <r>
    <x v="836"/>
    <s v="Hex standoffs with int thrds st znb"/>
    <s v="Bossard"/>
    <s v="BN3319 M3 x 18"/>
    <s v="MYR"/>
    <n v="0.61299999999999999"/>
    <s v="ea"/>
    <n v="100"/>
    <n v="0.06"/>
  </r>
  <r>
    <x v="837"/>
    <s v="SPACER M3X20 HEX."/>
    <s v="Bossard"/>
    <s v="BN3320 M3 x 20"/>
    <s v="MYR"/>
    <n v="1.339"/>
    <s v="ea"/>
    <n v="100"/>
    <n v="0.06"/>
  </r>
  <r>
    <x v="838"/>
    <s v="SPACER-HEX. M3x 25 FEMALE"/>
    <s v="Bossard"/>
    <s v="BN3319 ZP"/>
    <s v="MYR"/>
    <n v="0.63500000000000001"/>
    <s v="ea"/>
    <n v="100"/>
    <n v="0.06"/>
  </r>
  <r>
    <x v="839"/>
    <s v="SPACER M3x30 HEX."/>
    <s v="Bossard"/>
    <s v="BN3320"/>
    <s v="MYR"/>
    <n v="1.165"/>
    <s v="ea"/>
    <n v="100"/>
    <n v="0.06"/>
  </r>
  <r>
    <x v="840"/>
    <s v="SPACER M3x40 HEX."/>
    <s v="Bossard"/>
    <n v="556.34"/>
    <s v="MYR"/>
    <n v="1.119"/>
    <s v="ea"/>
    <n v="100"/>
    <n v="0.06"/>
  </r>
  <r>
    <x v="841"/>
    <s v="SPACER-HEX. M3X 50 FEMALE "/>
    <s v="Bossard"/>
    <s v="(BN3319 ZP) "/>
    <s v="MYR"/>
    <n v="1.8379999999999999"/>
    <s v="ea"/>
    <n v="100"/>
    <n v="0.06"/>
  </r>
  <r>
    <x v="842"/>
    <s v="SPACER-HEX. M4x 10 FEMALE"/>
    <s v="Bossard"/>
    <s v="BN3319 ZP"/>
    <s v="MYR"/>
    <n v="0.53300000000000003"/>
    <s v="ea"/>
    <n v="100"/>
    <n v="0.06"/>
  </r>
  <r>
    <x v="843"/>
    <s v="SPACER M4x16 HEX."/>
    <s v="Bossard"/>
    <s v="4070 M4X16"/>
    <s v="MYR"/>
    <n v="0.63"/>
    <s v="ea"/>
    <n v="100"/>
    <n v="0.06"/>
  </r>
  <r>
    <x v="844"/>
    <s v="SPACER-HEX. M4X 20 FEMALE"/>
    <s v="Bossard"/>
    <s v="BN3319 M4x20"/>
    <s v="MYR"/>
    <n v="1.236"/>
    <s v="ea"/>
    <n v="100"/>
    <n v="0.06"/>
  </r>
  <r>
    <x v="845"/>
    <s v="SPACER-HEX M4x25 FEMALE BN3319 ZP"/>
    <s v="Bossard"/>
    <s v="BN3319 M4x25"/>
    <s v="MYR"/>
    <n v="0.998"/>
    <s v="ea"/>
    <n v="100"/>
    <n v="0.06"/>
  </r>
  <r>
    <x v="846"/>
    <s v="SPACER-HEX M4x30 Female"/>
    <s v="Bossard"/>
    <s v="BN3319 M4X30 ZP"/>
    <s v="MYR"/>
    <n v="1.3019999999999998"/>
    <s v="ea"/>
    <n v="100"/>
    <n v="0.06"/>
  </r>
  <r>
    <x v="847"/>
    <s v="SPACER M4X50 HEX."/>
    <s v="Bossard"/>
    <s v="BN3320"/>
    <s v="MYR"/>
    <n v="2.1630000000000003"/>
    <s v="ea"/>
    <n v="100"/>
    <n v="0.06"/>
  </r>
  <r>
    <x v="848"/>
    <s v="SPACER-HEX. M4X 45 FEMALE"/>
    <s v="Bossard"/>
    <s v="BN3319 M4x45"/>
    <s v="MYR"/>
    <n v="1.2"/>
    <s v="ea"/>
    <n v="100"/>
    <n v="0.06"/>
  </r>
  <r>
    <x v="849"/>
    <s v="Hex standoffs with int thrds st znb"/>
    <s v="Bossard"/>
    <s v="BN3319 M5 x 18"/>
    <s v="MYR"/>
    <n v="1.6279999999999999"/>
    <s v="ea"/>
    <n v="100"/>
    <n v="0.06"/>
  </r>
  <r>
    <x v="850"/>
    <s v="SPACER-HEX. M5x 30 FEMALE"/>
    <s v="Bossard"/>
    <s v="BN3319 ZP"/>
    <s v="MYR"/>
    <n v="1.0680000000000001"/>
    <s v="ea"/>
    <n v="100"/>
    <n v="0.06"/>
  </r>
  <r>
    <x v="851"/>
    <s v="SPACER-HEX. M5x 50 FEMALE"/>
    <s v="Bossard"/>
    <s v="BN3319 ZP"/>
    <s v="MYR"/>
    <n v="1.3479999999999999"/>
    <s v="ea"/>
    <n v="100"/>
    <n v="0.06"/>
  </r>
  <r>
    <x v="852"/>
    <s v="Hex standoffs with int thrds st znb"/>
    <s v="Bossard"/>
    <s v="BN3319 M5 x 60"/>
    <s v="MYR"/>
    <n v="2.1"/>
    <s v="ea"/>
    <n v="100"/>
    <n v="0.06"/>
  </r>
  <r>
    <x v="853"/>
    <s v="SPACER M4X14 HEX."/>
    <s v="Bossard"/>
    <s v="BN3318"/>
    <s v="MYR"/>
    <n v="0.51600000000000001"/>
    <s v="ea"/>
    <n v="100"/>
    <n v="0.06"/>
  </r>
  <r>
    <x v="854"/>
    <s v="SPACER M6X16 HEX."/>
    <s v="Bossard"/>
    <s v="BN3318"/>
    <s v="MYR"/>
    <n v="1.796"/>
    <s v="ea"/>
    <n v="100"/>
    <n v="0.06"/>
  </r>
  <r>
    <x v="855"/>
    <s v="SPACER-HEX. M4x 20 MALE/FEMALE"/>
    <s v="Bossard"/>
    <s v="BN3318 ZP"/>
    <s v="MYR"/>
    <n v="0.64899999999999991"/>
    <s v="ea"/>
    <n v="100"/>
    <n v="0.06"/>
  </r>
  <r>
    <x v="856"/>
    <s v="spacer hex female - BN3319ZP M3 X 40 "/>
    <s v="Bossard"/>
    <s v="BN3319ZP M3 X 40 "/>
    <s v="MYR"/>
    <n v="0.91799999999999993"/>
    <s v="ea"/>
    <n v="100"/>
    <n v="0.06"/>
  </r>
  <r>
    <x v="857"/>
    <s v="Hex standoffs with int thrds st znb"/>
    <s v="Bossard"/>
    <s v="BN3319 M 5 x 25"/>
    <s v="MYR"/>
    <n v="0.68299999999999994"/>
    <s v="ea"/>
    <n v="100"/>
    <n v="0.06"/>
  </r>
  <r>
    <x v="858"/>
    <s v="SPACER-HEX. M3x 45 FEMALE"/>
    <s v="Bossard"/>
    <s v="BN3319 ZP"/>
    <s v="MYR"/>
    <n v="0.82699999999999985"/>
    <s v="ea"/>
    <n v="100"/>
    <n v="0.06"/>
  </r>
  <r>
    <x v="859"/>
    <s v="Hex standoffs int/ext thrds st znb"/>
    <s v="Bossard"/>
    <s v="BN3318 M4 x 45"/>
    <s v="MYR"/>
    <n v="1.6279999999999999"/>
    <s v="ea"/>
    <n v="100"/>
    <n v="0.06"/>
  </r>
  <r>
    <x v="860"/>
    <s v="SCREW-COUNT.HEAD HEX. M 2x 5 A.T."/>
    <s v="Bossard"/>
    <s v="DIN7991-BN20"/>
    <s v="MYR"/>
    <n v="0.47899999999999998"/>
    <s v="ea"/>
    <n v="100"/>
    <n v="0.06"/>
  </r>
  <r>
    <x v="861"/>
    <s v="SCREW-HEADLESS HEX.F.P. M 2x 8 A.T."/>
    <s v="Bossard"/>
    <s v="DIN913-BN24"/>
    <s v="MYR"/>
    <n v="0.16200000000000003"/>
    <s v="ea"/>
    <n v="100"/>
    <n v="0.06"/>
  </r>
  <r>
    <x v="862"/>
    <s v="SCREW-CYL.HEAD-LOW HEX. M 4x 6 A.T."/>
    <s v="Bossard"/>
    <s v="DIN7984-BN2844"/>
    <s v="MYR"/>
    <n v="0.22"/>
    <s v="ea"/>
    <n v="200"/>
    <n v="0.06"/>
  </r>
  <r>
    <x v="863"/>
    <s v="SCREW-CYL.HEAD SLOT. M 2x 8 ALL THR."/>
    <s v="Bossard"/>
    <s v="DIN84A A2 BN650"/>
    <s v="MYR"/>
    <n v="5.5E-2"/>
    <s v="ea"/>
    <n v="100"/>
    <n v="0.06"/>
  </r>
  <r>
    <x v="864"/>
    <s v="SCREW-CYL.HEAD-LOW HEX. M 4x16 A.T."/>
    <s v="Bossard"/>
    <s v="DIN7984-BN2844"/>
    <s v="MYR"/>
    <n v="0.27800000000000002"/>
    <s v="ea"/>
    <n v="100"/>
    <n v="0.06"/>
  </r>
  <r>
    <x v="865"/>
    <s v="SPACER M5x16 HEX."/>
    <s v="Bossard"/>
    <s v="BN3318"/>
    <s v="MYR"/>
    <n v="0.53700000000000003"/>
    <s v="ea"/>
    <n v="100"/>
    <n v="0.06"/>
  </r>
  <r>
    <x v="866"/>
    <s v="SCREW-CYL.HEAD HEXA. M 8x130 PART.THR."/>
    <s v="Bossard"/>
    <s v="DIN912 NOIRCIE"/>
    <s v="MYR"/>
    <n v="3.78"/>
    <s v="ea"/>
    <n v="100"/>
    <n v="0.06"/>
  </r>
  <r>
    <x v="867"/>
    <s v="SCREW-CYL.HEAD SLOT. M 1.6x 3 ALL THR."/>
    <s v="Bossard"/>
    <s v="DIN84A ZP"/>
    <s v="MYR"/>
    <n v="3.6000000000000004E-2"/>
    <s v="ea"/>
    <n v="200"/>
    <n v="0.06"/>
  </r>
  <r>
    <x v="868"/>
    <s v="Hex standoffs with int thrds st znb"/>
    <s v="Bossard"/>
    <s v="BN 3319 M5x70"/>
    <s v="MYR"/>
    <n v="1.5229999999999999"/>
    <s v="ea"/>
    <n v="100"/>
    <n v="0.06"/>
  </r>
  <r>
    <x v="869"/>
    <s v="SCREW-HEADLESS HEX.F.P. M 6X 60 ALL THR ISO4026"/>
    <s v="Bossard"/>
    <s v="BN617 M6x60"/>
    <s v="MYR"/>
    <n v="0.92700000000000005"/>
    <s v="ea"/>
    <n v="100"/>
    <n v="0.06"/>
  </r>
  <r>
    <x v="870"/>
    <s v="SPACER-HEX. M5X 30 MALE/FEMALE"/>
    <s v="Bossard"/>
    <s v="BN3318 ZP"/>
    <s v="MYR"/>
    <n v="1.4179999999999999"/>
    <s v="ea"/>
    <n v="100"/>
    <n v="0.06"/>
  </r>
  <r>
    <x v="871"/>
    <s v="SPACER M5X12 HEX."/>
    <s v="Bossard"/>
    <s v="BN3318 M5 x 12"/>
    <s v="MYR"/>
    <n v="0.63"/>
    <s v="ea"/>
    <n v="100"/>
    <n v="0.06"/>
  </r>
  <r>
    <x v="872"/>
    <s v="SPACER-HEX. M6X 30 FEMALE"/>
    <s v="Bossard"/>
    <s v="BN3319 M6x30"/>
    <s v="MYR"/>
    <n v="2"/>
    <s v="ea"/>
    <n v="100"/>
    <n v="0.06"/>
  </r>
  <r>
    <x v="873"/>
    <s v="SPACER-HEX. M3x 20 FEMALE"/>
    <s v="Bossard"/>
    <s v="BN3319 ZP"/>
    <s v="MYR"/>
    <n v="0.68299999999999994"/>
    <s v="ea"/>
    <n v="100"/>
    <n v="0.06"/>
  </r>
  <r>
    <x v="874"/>
    <s v="SPACER-HEX. M3x 30 FEMALE"/>
    <s v="Bossard"/>
    <s v="BN3319 ZP"/>
    <s v="MYR"/>
    <n v="1.018"/>
    <s v="ea"/>
    <n v="100"/>
    <n v="0.06"/>
  </r>
  <r>
    <x v="875"/>
    <s v="SPACER-HEX. M4x 25 MALE/FEMALE"/>
    <s v="Bossard"/>
    <s v="BN3318 ZP"/>
    <s v="MYR"/>
    <n v="1.1970000000000001"/>
    <s v="ea"/>
    <n v="100"/>
    <n v="0.06"/>
  </r>
  <r>
    <x v="876"/>
    <s v="SPACER-HEX. M4X 30 MALE/FEMALE"/>
    <s v="Bossard"/>
    <s v="BN3318 "/>
    <s v="MYR"/>
    <n v="1.401"/>
    <s v="ea"/>
    <n v="100"/>
    <n v="0.06"/>
  </r>
  <r>
    <x v="877"/>
    <s v="SPACER-HEX. M6x 40 FEMALE"/>
    <s v="Bossard"/>
    <s v="BN3319 ZP"/>
    <s v="MYR"/>
    <n v="1.6779999999999999"/>
    <s v="ea"/>
    <n v="100"/>
    <n v="0.06"/>
  </r>
  <r>
    <x v="878"/>
    <s v="Hexagon Standoffs WITH INTERNAL THREADS STEEL ZINC PLATED BLUE "/>
    <s v="Bossard"/>
    <s v="BN3318 M5x40"/>
    <s v="MYR"/>
    <n v="1.5449999999999999"/>
    <s v="ea"/>
    <n v="100"/>
    <n v="0.06"/>
  </r>
  <r>
    <x v="879"/>
    <s v="SPACER-HEX. M4x 40 FEMALE"/>
    <s v="Bossard"/>
    <s v="BN3319 ZP"/>
    <s v="MYR"/>
    <n v="0.996"/>
    <s v="ea"/>
    <n v="100"/>
    <n v="0.06"/>
  </r>
  <r>
    <x v="880"/>
    <s v="PIN- GROOVED D= 2X6"/>
    <s v="Bossard"/>
    <s v="BN1385 2x6"/>
    <s v="MYR"/>
    <n v="0.309"/>
    <s v="ea"/>
    <n v="100"/>
    <n v="0.06"/>
  </r>
  <r>
    <x v="881"/>
    <s v="Grooved pins type C KS 67 st D1469C"/>
    <s v="Bossard"/>
    <s v="BN1385 M2 x 8"/>
    <s v="MYR"/>
    <n v="0.39899999999999997"/>
    <s v="ea"/>
    <n v="100"/>
    <n v="0.06"/>
  </r>
  <r>
    <x v="882"/>
    <s v="PIN-GROOVED D= 2X10"/>
    <s v="Bossard"/>
    <s v="DIN1469C"/>
    <s v="MYR"/>
    <n v="0.52200000000000002"/>
    <s v="ea"/>
    <n v="100"/>
    <n v="0.06"/>
  </r>
  <r>
    <x v="883"/>
    <s v="PIN-GROOVED D=3 X 8 "/>
    <s v="Bossard"/>
    <s v="(DIN 1469 BN 1385)"/>
    <s v="MYR"/>
    <n v="0.34"/>
    <s v="ea"/>
    <n v="100"/>
    <n v="0.06"/>
  </r>
  <r>
    <x v="884"/>
    <s v="PIN-GROOVED D=3 X 10 "/>
    <s v="Bossard"/>
    <s v="(DIN 1469 BN 1385)"/>
    <s v="MYR"/>
    <n v="0.38"/>
    <s v="ea"/>
    <n v="100"/>
    <n v="0.06"/>
  </r>
  <r>
    <x v="885"/>
    <s v="PIN-GROOVED D= 3x12"/>
    <s v="Bossard"/>
    <s v="DIN1469C"/>
    <s v="MYR"/>
    <n v="0.29299999999999998"/>
    <s v="ea"/>
    <n v="100"/>
    <n v="0.06"/>
  </r>
  <r>
    <x v="886"/>
    <s v="PIN-GROOVED D= 3x16"/>
    <s v="Bossard"/>
    <s v="DIN1469C"/>
    <s v="MYR"/>
    <n v="0.31200000000000006"/>
    <s v="ea"/>
    <n v="100"/>
    <n v="0.06"/>
  </r>
  <r>
    <x v="887"/>
    <s v="PIN-GROOVED D= 3x20"/>
    <s v="Bossard"/>
    <s v="DIN1469C"/>
    <s v="MYR"/>
    <n v="0.35"/>
    <s v="ea"/>
    <n v="100"/>
    <n v="0.06"/>
  </r>
  <r>
    <x v="888"/>
    <s v="PIN GROOVED D=3X25"/>
    <s v="Bossard"/>
    <n v="1153633"/>
    <s v="MYR"/>
    <n v="1.06"/>
    <s v="ea"/>
    <n v="100"/>
    <n v="0.06"/>
  </r>
  <r>
    <x v="889"/>
    <s v="PIN-GROOVED D= 3.00H6 x 30"/>
    <s v="Bossard"/>
    <s v="(DIN 1469 BN 1385)"/>
    <s v="MYR"/>
    <n v="0.28800000000000003"/>
    <s v="ea"/>
    <n v="100"/>
    <n v="0.06"/>
  </r>
  <r>
    <x v="890"/>
    <s v="Grooved pins type C KS 67 st D1469C"/>
    <s v="Bossard"/>
    <s v="BN1385 4 x 16"/>
    <s v="MYR"/>
    <n v="1.208"/>
    <s v="ea"/>
    <n v="100"/>
    <n v="0.06"/>
  </r>
  <r>
    <x v="891"/>
    <s v="PIN-GROOVED D= 4X20"/>
    <s v="Bossard"/>
    <s v="N/A"/>
    <s v="MYR"/>
    <n v="0.41"/>
    <s v="ea"/>
    <n v="100"/>
    <n v="0.06"/>
  </r>
  <r>
    <x v="892"/>
    <s v="Grooved pins type C KS 67 st D1469C"/>
    <s v="Bossard"/>
    <s v="BN1385 4 x 30"/>
    <s v="MYR"/>
    <n v="1.575"/>
    <s v="ea"/>
    <n v="100"/>
    <n v="0.06"/>
  </r>
  <r>
    <x v="893"/>
    <s v="Sltd spring pins light type st I13337"/>
    <s v="Bossard"/>
    <s v="DIN 7346 BN878 M2 x 10"/>
    <s v="MYR"/>
    <n v="0.26300000000000001"/>
    <s v="ea"/>
    <n v="200"/>
    <n v="0.06"/>
  </r>
  <r>
    <x v="894"/>
    <s v="PIN-SPRING SLIT D= 2X12"/>
    <s v="Bossard"/>
    <s v="BN878"/>
    <s v="MYR"/>
    <n v="0.25800000000000001"/>
    <s v="ea"/>
    <n v="200"/>
    <n v="0.06"/>
  </r>
  <r>
    <x v="895"/>
    <s v="Sltd spring pins light type st I13337"/>
    <s v="Bossard"/>
    <s v="BN878 M5 x 20"/>
    <s v="MYR"/>
    <n v="0.24200000000000002"/>
    <s v="ea"/>
    <n v="100"/>
    <n v="0.06"/>
  </r>
  <r>
    <x v="896"/>
    <s v="Sltd spring pins light type st I13337"/>
    <s v="Bossard"/>
    <s v="BN878 M8 x 20"/>
    <s v="MYR"/>
    <n v="0.31900000000000001"/>
    <s v="ea"/>
    <n v="100"/>
    <n v="0.06"/>
  </r>
  <r>
    <x v="897"/>
    <s v="PIN SPRING SLIT TOOT D=4X10"/>
    <s v="Bossard"/>
    <n v="1333194"/>
    <s v="MYR"/>
    <n v="0.49"/>
    <s v="ea"/>
    <n v="100"/>
    <n v="0.06"/>
  </r>
  <r>
    <x v="898"/>
    <s v="PIN-SPRING-SLIT-TOOT.D= 2x10"/>
    <s v="Bossard"/>
    <s v="VSM12785"/>
    <s v="MYR"/>
    <n v="0.23800000000000002"/>
    <s v="ea"/>
    <n v="100"/>
    <n v="0.06"/>
  </r>
  <r>
    <x v="899"/>
    <s v="PIN SPRING SLIT D=2 x 8 "/>
    <s v="Bossard"/>
    <s v="DIN7346 BN878"/>
    <s v="MYR"/>
    <n v="0.191"/>
    <s v="ea"/>
    <n v="200"/>
    <n v="0.06"/>
  </r>
  <r>
    <x v="900"/>
    <s v="PIN-SPRING SLIT D= 8X10"/>
    <s v="Bossard"/>
    <s v="DIN7346 BN878"/>
    <s v="MYR"/>
    <n v="0.44300000000000006"/>
    <s v="ea"/>
    <n v="100"/>
    <n v="0.06"/>
  </r>
  <r>
    <x v="901"/>
    <s v="PIN-SPRING SPIRAL D= 2X 6"/>
    <s v="Bossard"/>
    <s v="BN875 M2 x 6"/>
    <s v="MYR"/>
    <n v="0.315"/>
    <s v="ea"/>
    <n v="100"/>
    <n v="0.06"/>
  </r>
  <r>
    <x v="902"/>
    <s v="PIN-SPRING SLIT D= 5X24"/>
    <s v="Bossard"/>
    <s v="N/A"/>
    <s v="MYR"/>
    <n v="0.23"/>
    <s v="ea"/>
    <n v="100"/>
    <n v="0.06"/>
  </r>
  <r>
    <x v="903"/>
    <s v="PIN-SPRING SLIT D= 5x10"/>
    <s v="Bossard"/>
    <s v="DIN7346"/>
    <s v="MYR"/>
    <n v="0.17400000000000002"/>
    <s v="ea"/>
    <n v="100"/>
    <n v="0.06"/>
  </r>
  <r>
    <x v="904"/>
    <s v="Sltd spring pins light type st I13337"/>
    <s v="Bossard"/>
    <s v="BN878  M2 x 4"/>
    <s v="MYR"/>
    <n v="0.2"/>
    <s v="ea"/>
    <n v="200"/>
    <n v="0.06"/>
  </r>
  <r>
    <x v="905"/>
    <s v="PIN-SPRING SLIT D= 3X 6"/>
    <s v="Bossard"/>
    <s v="DIN7346"/>
    <s v="MYR"/>
    <n v="0.12"/>
    <s v="ea"/>
    <n v="100"/>
    <n v="0.06"/>
  </r>
  <r>
    <x v="906"/>
    <s v="PIN-SPRING 05X8 LIGHT"/>
    <s v="Bossard"/>
    <s v="DIN7346 BN878 BLACK"/>
    <s v="MYR"/>
    <n v="0.252"/>
    <s v="ea"/>
    <n v="100"/>
    <n v="0.06"/>
  </r>
  <r>
    <x v="907"/>
    <s v="PIN-SPRING SLIT D= 8x16"/>
    <s v="Bossard"/>
    <s v="DIN7346"/>
    <s v="MYR"/>
    <n v="0.44600000000000001"/>
    <s v="ea"/>
    <n v="100"/>
    <n v="0.06"/>
  </r>
  <r>
    <x v="908"/>
    <s v="Heavy duty spring pins serr slot st"/>
    <s v="Bossard"/>
    <s v="BN879 2.5 x 6"/>
    <s v="MYR"/>
    <n v="0.36599999999999999"/>
    <s v="ea"/>
    <n v="100"/>
    <n v="0.06"/>
  </r>
  <r>
    <x v="909"/>
    <s v="ADAX products"/>
    <s v="Bossard"/>
    <s v="ADAX 0.70 x 4.00MM"/>
    <s v="MYR"/>
    <n v="28.84"/>
    <s v="ea"/>
    <n v="1000"/>
    <n v="0.06"/>
  </r>
  <r>
    <x v="910"/>
    <s v="PIN-PARALLEL D= 8.00X 30"/>
    <s v="Bossard"/>
    <s v="ADAX DIN 1.3505"/>
    <s v="MYR"/>
    <n v="28"/>
    <s v="ea"/>
    <n v="100"/>
    <n v="0.06"/>
  </r>
  <r>
    <x v="911"/>
    <s v="Parallel pins tolerance h6"/>
    <s v="Bossard"/>
    <s v="DIN 6325 M8 X 90"/>
    <s v="MYR"/>
    <n v="2.472"/>
    <s v="ea"/>
    <n v="100"/>
    <n v="0.06"/>
  </r>
  <r>
    <x v="912"/>
    <s v="ADAX products"/>
    <s v="Bossard"/>
    <s v="ADAX 8.00 x 12.00 MM"/>
    <s v="MYR"/>
    <n v="41.2"/>
    <s v="ea"/>
    <n v="100"/>
    <n v="0.06"/>
  </r>
  <r>
    <x v="913"/>
    <s v="Parallel pins tol h8 st st A1/A2 I2338"/>
    <s v="Bossard"/>
    <s v="BN684 M2 x 8"/>
    <s v="MYR"/>
    <n v="0.26300000000000001"/>
    <s v="ea"/>
    <n v="100"/>
    <n v="0.06"/>
  </r>
  <r>
    <x v="914"/>
    <s v="Parallel pins tol h8 st st A1/A2 I2338"/>
    <s v="Bossard"/>
    <s v="BN684 M2 x 4"/>
    <s v="MYR"/>
    <n v="0.26300000000000001"/>
    <s v="ea"/>
    <n v="100"/>
    <n v="0.06"/>
  </r>
  <r>
    <x v="915"/>
    <s v="PIN-PARALLEL D= 1.00m6x  3"/>
    <s v="Bossard"/>
    <s v="VSM12771A M6"/>
    <s v="MYR"/>
    <n v="0.46100000000000002"/>
    <s v="ea"/>
    <n v="100"/>
    <n v="0.06"/>
  </r>
  <r>
    <x v="916"/>
    <s v="PIN-PARALLEL D= 2.00X5 "/>
    <s v="Bossard"/>
    <s v="BN684 "/>
    <s v="MYR"/>
    <n v="0.47"/>
    <s v="ea"/>
    <n v="100"/>
    <n v="0.06"/>
  </r>
  <r>
    <x v="917"/>
    <s v="PIN-PARALLEL D=5.00 H6 X 12"/>
    <s v="Bossard"/>
    <s v="DIN6325 H6 BN858"/>
    <s v="MYR"/>
    <n v="0.26300000000000001"/>
    <s v="ea"/>
    <n v="100"/>
    <n v="0.06"/>
  </r>
  <r>
    <x v="918"/>
    <s v="PIN-PARALLEL D= 5.00h6x 16"/>
    <s v="Bossard"/>
    <s v="DIN6325 H6 BN858"/>
    <s v="MYR"/>
    <n v="0.44700000000000001"/>
    <s v="ea"/>
    <n v="100"/>
    <n v="0.06"/>
  </r>
  <r>
    <x v="919"/>
    <s v="PIN-PARALLEL D= 5.00h6x 32"/>
    <s v="Bossard"/>
    <s v="BN858 5x32"/>
    <s v="MYR"/>
    <n v="0.36800000000000005"/>
    <s v="ea"/>
    <n v="100"/>
    <n v="0.06"/>
  </r>
  <r>
    <x v="920"/>
    <s v="Parallel pins st hard+ground tol h6 D6325"/>
    <s v="Bossard"/>
    <s v="BN858 M5 x 40"/>
    <s v="MYR"/>
    <n v="1.47"/>
    <s v="ea"/>
    <n v="100"/>
    <n v="0.06"/>
  </r>
  <r>
    <x v="921"/>
    <s v="PIN-PARALLEL D= 5.00h6x 45"/>
    <s v="Bossard"/>
    <s v="DIN6325 H6"/>
    <s v="MYR"/>
    <n v="1.0680000000000001"/>
    <s v="ea"/>
    <n v="100"/>
    <n v="0.06"/>
  </r>
  <r>
    <x v="922"/>
    <s v="PIN-PARALLEL D= 5.00h6x 50"/>
    <s v="Bossard"/>
    <s v="BN 858 5x50"/>
    <s v="MYR"/>
    <n v="0.84"/>
    <s v="ea"/>
    <n v="100"/>
    <n v="0.06"/>
  </r>
  <r>
    <x v="923"/>
    <s v="PIN-PARALLEL D= 5.00h6x 55 DIN6325 H6"/>
    <s v="Bossard"/>
    <s v="BN858 5x55"/>
    <s v="MYR"/>
    <n v="1.26"/>
    <s v="ea"/>
    <n v="100"/>
    <n v="0.06"/>
  </r>
  <r>
    <x v="924"/>
    <s v="PIN-PARALLEL D= 6.00h6x 10"/>
    <s v="Bossard"/>
    <s v="DIN6325 H6"/>
    <s v="MYR"/>
    <n v="0.43"/>
    <s v="ea"/>
    <n v="100"/>
    <n v="0.06"/>
  </r>
  <r>
    <x v="925"/>
    <s v="PIN-PARALLEL D= 6.00h6x 12"/>
    <s v="Bossard"/>
    <s v="DIN6325 H6"/>
    <s v="MYR"/>
    <n v="0.35499999999999998"/>
    <s v="ea"/>
    <n v="100"/>
    <n v="0.06"/>
  </r>
  <r>
    <x v="926"/>
    <s v="PIN-PARALLEL D= 6.00h6x 14"/>
    <s v="Bossard"/>
    <s v="DIN6325 H6"/>
    <s v="MYR"/>
    <n v="0.32400000000000001"/>
    <s v="ea"/>
    <n v="100"/>
    <n v="0.06"/>
  </r>
  <r>
    <x v="927"/>
    <s v="PIN-PARALLEL D= 6.00H6X 16"/>
    <s v="Bossard"/>
    <s v="BN858"/>
    <s v="MYR"/>
    <n v="0.32400000000000001"/>
    <s v="ea"/>
    <n v="100"/>
    <n v="0.06"/>
  </r>
  <r>
    <x v="928"/>
    <s v="PIN-PARALLEL D= 5.00h6x 20"/>
    <s v="Bossard"/>
    <s v="DIN6325 H6"/>
    <s v="MYR"/>
    <n v="0.308"/>
    <s v="ea"/>
    <n v="100"/>
    <n v="0.06"/>
  </r>
  <r>
    <x v="929"/>
    <s v="Pin-Parallel D=12.0h6X30"/>
    <s v="Bossard"/>
    <s v="N/A"/>
    <s v="MYR"/>
    <n v="3.1190000000000002"/>
    <s v="ea"/>
    <n v="50"/>
    <n v="0.06"/>
  </r>
  <r>
    <x v="930"/>
    <s v="PIN-PARALLEL D= 6.00h6x 24"/>
    <s v="Bossard"/>
    <s v="DIN6325 H6"/>
    <s v="MYR"/>
    <n v="0.52200000000000002"/>
    <s v="ea"/>
    <n v="100"/>
    <n v="0.06"/>
  </r>
  <r>
    <x v="931"/>
    <s v="PIN PARALLEL D=6.00H6X30"/>
    <s v="Bossard"/>
    <n v="1306952"/>
    <s v="MYR"/>
    <n v="0.79799999999999993"/>
    <s v="ea"/>
    <n v="100"/>
    <n v="0.06"/>
  </r>
  <r>
    <x v="932"/>
    <s v="PIN-PARALLEL D= 6.00h6x 36"/>
    <s v="Bossard"/>
    <s v="DIN6325 H6"/>
    <s v="MYR"/>
    <n v="1.028"/>
    <s v="ea"/>
    <n v="100"/>
    <n v="0.06"/>
  </r>
  <r>
    <x v="933"/>
    <s v="PIN-PARALLEL D= 3.00h6x 40"/>
    <s v="Bossard"/>
    <s v="DIN6325 H6"/>
    <s v="MYR"/>
    <n v="0.39300000000000002"/>
    <s v="ea"/>
    <n v="100"/>
    <n v="0.06"/>
  </r>
  <r>
    <x v="934"/>
    <s v="Parallel pins st hard+ground tol h6 D6325"/>
    <s v="Bossard"/>
    <s v="BN858 M6 x 45"/>
    <s v="MYR"/>
    <n v="1.05"/>
    <s v="ea"/>
    <n v="100"/>
    <n v="0.06"/>
  </r>
  <r>
    <x v="935"/>
    <s v="PIN-PARALLEL D= 6.00H6X 50"/>
    <s v="Bossard"/>
    <s v="BN858"/>
    <s v="MYR"/>
    <n v="1.236"/>
    <s v="ea"/>
    <n v="100"/>
    <n v="0.06"/>
  </r>
  <r>
    <x v="936"/>
    <s v="PIN-PARALLEL D= 6.00h6x 60"/>
    <s v="Bossard"/>
    <s v="DIN6325 H6"/>
    <s v="MYR"/>
    <n v="1.54"/>
    <s v="ea"/>
    <n v="100"/>
    <n v="0.06"/>
  </r>
  <r>
    <x v="937"/>
    <s v="PIN-PARALLEL D= 6.00h6x 80, DIN6325 H6"/>
    <s v="Bossard"/>
    <s v="BN858 6x80"/>
    <s v="MYR"/>
    <n v="2.73"/>
    <s v="ea"/>
    <n v="100"/>
    <n v="0.06"/>
  </r>
  <r>
    <x v="938"/>
    <s v="Parallel pins st hard+ground tol h6 D6325"/>
    <s v="Bossard"/>
    <s v="BN858 M6 x100"/>
    <s v="MYR"/>
    <n v="3.4970000000000003"/>
    <s v="ea"/>
    <n v="100"/>
    <n v="0.06"/>
  </r>
  <r>
    <x v="939"/>
    <s v="PIN PARALLEL D=5.00H6X 18"/>
    <s v="Bossard"/>
    <n v="1306685"/>
    <s v="MYR"/>
    <n v="0.41300000000000003"/>
    <s v="ea"/>
    <n v="100"/>
    <n v="0.06"/>
  </r>
  <r>
    <x v="940"/>
    <s v="Parallel pins st hard+ground tol h6 D6325"/>
    <s v="Bossard"/>
    <s v="BN858 M5 x 24"/>
    <s v="MYR"/>
    <n v="1.05"/>
    <s v="ea"/>
    <n v="100"/>
    <n v="0.06"/>
  </r>
  <r>
    <x v="941"/>
    <s v="Parallel pins st hard+ground tol h6 D6325"/>
    <s v="Bossard"/>
    <s v="BN858 M5 x 28"/>
    <s v="MYR"/>
    <n v="1.1340000000000001"/>
    <s v="ea"/>
    <n v="100"/>
    <n v="0.06"/>
  </r>
  <r>
    <x v="942"/>
    <s v="Parallel pins st hard+ground tol h6 D6325"/>
    <s v="Bossard"/>
    <s v="BN858 5 x 30"/>
    <s v="MYR"/>
    <n v="0.47300000000000003"/>
    <s v="ea"/>
    <n v="100"/>
    <n v="0.06"/>
  </r>
  <r>
    <x v="943"/>
    <s v="PIN-PARALLEL D= 5.00H6X36 "/>
    <s v="Bossard"/>
    <s v="(DIN6325 BN858)"/>
    <s v="MYR"/>
    <n v="0.59899999999999998"/>
    <s v="ea"/>
    <n v="100"/>
    <n v="0.06"/>
  </r>
  <r>
    <x v="944"/>
    <s v="PIN-PARALLEL D= 8.00h6x 16"/>
    <s v="Bossard"/>
    <s v="DIN6325 H6"/>
    <s v="MYR"/>
    <n v="1.153"/>
    <s v="ea"/>
    <n v="100"/>
    <n v="0.06"/>
  </r>
  <r>
    <x v="945"/>
    <s v="PIN-PARALLEL D= 8.00h6x 20"/>
    <s v="Bossard"/>
    <s v="BN858 8x20"/>
    <s v="MYR"/>
    <n v="1.2809999999999999"/>
    <s v="ea"/>
    <n v="100"/>
    <n v="0.06"/>
  </r>
  <r>
    <x v="946"/>
    <s v="Parallel pins st hard+ground tol h6 D6325"/>
    <s v="Bossard"/>
    <s v="BN858 M8 x 24"/>
    <s v="MYR"/>
    <n v="1.68"/>
    <s v="ea"/>
    <n v="100"/>
    <n v="0.06"/>
  </r>
  <r>
    <x v="947"/>
    <s v="PIN PARALLEL D=8.00H6X 30"/>
    <s v="Bossard"/>
    <n v="1307150"/>
    <s v="MYR"/>
    <n v="2.1949999999999998"/>
    <s v="ea"/>
    <n v="200"/>
    <n v="0.06"/>
  </r>
  <r>
    <x v="948"/>
    <s v="Parallel pins st hard+ground tol h6 D6325"/>
    <s v="Bossard"/>
    <s v="BN858 M8 x 36"/>
    <s v="MYR"/>
    <n v="2.363"/>
    <s v="ea"/>
    <n v="100"/>
    <n v="0.06"/>
  </r>
  <r>
    <x v="949"/>
    <s v="PIN-PARALLEL D= 8.00h6x 40"/>
    <s v="Bossard"/>
    <s v="DIN6325 H6"/>
    <s v="MYR"/>
    <n v="1.2709999999999999"/>
    <s v="ea"/>
    <n v="100"/>
    <n v="0.06"/>
  </r>
  <r>
    <x v="950"/>
    <s v="Parallel pins st hard+ground tol h6 D6325"/>
    <s v="Bossard"/>
    <s v="BN858 8 x 50"/>
    <s v="MYR"/>
    <n v="4.2"/>
    <s v="ea"/>
    <n v="100"/>
    <n v="0.06"/>
  </r>
  <r>
    <x v="951"/>
    <s v="Parallel pins st hard+ground tol h6 D6325"/>
    <s v="Bossard"/>
    <s v="BN858 M8 x 60"/>
    <s v="MYR"/>
    <n v="3.15"/>
    <s v="ea"/>
    <n v="100"/>
    <n v="0.06"/>
  </r>
  <r>
    <x v="952"/>
    <s v="Parallel pins st hard+ground tol h6 D6325"/>
    <s v="Bossard"/>
    <s v="BN858 8 x 70"/>
    <s v="MYR"/>
    <n v="3.2030000000000003"/>
    <s v="ea"/>
    <n v="100"/>
    <n v="0.06"/>
  </r>
  <r>
    <x v="953"/>
    <s v="Parallel pins tol h8 st unhardened I2338"/>
    <s v="Bossard"/>
    <s v="BN855 M8 x 80"/>
    <s v="MYR"/>
    <n v="2.1"/>
    <s v="ea"/>
    <n v="100"/>
    <n v="0.06"/>
  </r>
  <r>
    <x v="954"/>
    <s v="Parallel pins st hard+ground tol h6 D6325"/>
    <s v="Bossard"/>
    <s v="BN858 M8 x 100"/>
    <s v="MYR"/>
    <n v="4.5149999999999997"/>
    <s v="ea"/>
    <n v="100"/>
    <n v="0.06"/>
  </r>
  <r>
    <x v="955"/>
    <s v="PIN-PARALLEL D=10.00h6x 36"/>
    <s v="Bossard"/>
    <s v="DIN6325 H6"/>
    <s v="MYR"/>
    <n v="2.0699999999999998"/>
    <s v="ea"/>
    <n v="100"/>
    <n v="0.06"/>
  </r>
  <r>
    <x v="956"/>
    <s v="Parallel pins st hard+ground tol h6 D6325"/>
    <s v="Bossard"/>
    <s v="BN858 M10 x 50"/>
    <s v="MYR"/>
    <n v="2.625"/>
    <s v="ea"/>
    <n v="50"/>
    <n v="0.06"/>
  </r>
  <r>
    <x v="957"/>
    <s v="PIN PARALLEL D=10.00H6X24"/>
    <s v="Bossard"/>
    <n v="1307304"/>
    <s v="MYR"/>
    <n v="2.2450000000000001"/>
    <s v="ea"/>
    <n v="100"/>
    <n v="0.06"/>
  </r>
  <r>
    <x v="958"/>
    <s v="Parallel pins st hard+ground tol h6 D6325"/>
    <s v="Bossard"/>
    <s v="BN858 M10 x 30"/>
    <s v="MYR"/>
    <n v="2.4470000000000001"/>
    <s v="ea"/>
    <n v="100"/>
    <n v="0.06"/>
  </r>
  <r>
    <x v="959"/>
    <s v="Parallel pins st hard+ground tol h6 D6325"/>
    <s v="Bossard"/>
    <s v="BN858 10 x 60 "/>
    <s v="MYR"/>
    <n v="8.4"/>
    <s v="ea"/>
    <n v="50"/>
    <n v="0.06"/>
  </r>
  <r>
    <x v="960"/>
    <s v="Parallel pins st hard+ground tol h6 D6325"/>
    <s v="Bossard"/>
    <s v="BN858 10X70"/>
    <s v="MYR"/>
    <n v="3.6749999999999998"/>
    <s v="ea"/>
    <n v="50"/>
    <n v="0.06"/>
  </r>
  <r>
    <x v="961"/>
    <s v="PIN-PARALLEL D=12.00H6X 90"/>
    <s v="Bossard"/>
    <s v="DIN6325 H6"/>
    <s v="MYR"/>
    <n v="8.7779999999999987"/>
    <s v="ea"/>
    <n v="25"/>
    <n v="0.06"/>
  </r>
  <r>
    <x v="962"/>
    <s v="PIN-PARELLEL D = 8.00M6X 28"/>
    <s v="Bossard"/>
    <s v="BN857 8x28"/>
    <s v="MYR"/>
    <n v="0.95"/>
    <s v="ea"/>
    <n v="100"/>
    <n v="0.06"/>
  </r>
  <r>
    <x v="963"/>
    <s v="PIN-PARALLEL D= 1.00h6x 12"/>
    <s v="Bossard"/>
    <s v="DIN6325 H6"/>
    <s v="MYR"/>
    <n v="0.33"/>
    <s v="ea"/>
    <n v="100"/>
    <n v="0.06"/>
  </r>
  <r>
    <x v="964"/>
    <s v="PIN-PARALLEL D= 1.50h6x 10"/>
    <s v="Bossard"/>
    <s v="DIN6325 H6"/>
    <s v="MYR"/>
    <n v="0.17100000000000001"/>
    <s v="ea"/>
    <n v="100"/>
    <n v="0.06"/>
  </r>
  <r>
    <x v="965"/>
    <s v="PIN-PARALLEL D= 1.50h6x 12"/>
    <s v="Bossard"/>
    <s v="DIN6325 H6"/>
    <s v="MYR"/>
    <n v="0.248"/>
    <s v="ea"/>
    <n v="100"/>
    <n v="0.06"/>
  </r>
  <r>
    <x v="966"/>
    <s v="PIN-PARALLEL D= 2.00H6X  6"/>
    <s v="Bossard"/>
    <s v="DIN6325 H6"/>
    <s v="MYR"/>
    <n v="0.13799999999999998"/>
    <s v="ea"/>
    <n v="100"/>
    <n v="0.06"/>
  </r>
  <r>
    <x v="967"/>
    <s v="PIN-PARALLEL D= 2.00h6x  8"/>
    <s v="Bossard"/>
    <s v="DIN6325 H6"/>
    <s v="MYR"/>
    <n v="0.14000000000000001"/>
    <s v="ea"/>
    <n v="100"/>
    <n v="0.06"/>
  </r>
  <r>
    <x v="968"/>
    <s v="PIN-PARALLEL D= 2.00h6x 10"/>
    <s v="Bossard"/>
    <s v="DIN6325 H6"/>
    <s v="MYR"/>
    <n v="0.114"/>
    <s v="ea"/>
    <n v="100"/>
    <n v="0.06"/>
  </r>
  <r>
    <x v="969"/>
    <s v="PIN-PARALLEL D= 2.00h6x 12"/>
    <s v="Bossard"/>
    <s v="DIN6325 H6"/>
    <s v="MYR"/>
    <n v="0.23"/>
    <s v="ea"/>
    <n v="100"/>
    <n v="0.06"/>
  </r>
  <r>
    <x v="970"/>
    <s v="PIN-PARALLEL D= 2.00h6x 14"/>
    <s v="Bossard"/>
    <s v="DIN6325 H6"/>
    <s v="MYR"/>
    <n v="0.28600000000000003"/>
    <s v="ea"/>
    <n v="100"/>
    <n v="0.06"/>
  </r>
  <r>
    <x v="971"/>
    <s v="PIN-PARALLEL D= 2.00h6x 16"/>
    <s v="Bossard"/>
    <s v="DIN6325 H6"/>
    <s v="MYR"/>
    <n v="0.21"/>
    <s v="ea"/>
    <n v="100"/>
    <n v="0.06"/>
  </r>
  <r>
    <x v="972"/>
    <s v="PIN-PARALLEL D= 2.50h6x 10"/>
    <s v="Bossard"/>
    <s v="DIN6325"/>
    <s v="MYR"/>
    <n v="0.16400000000000003"/>
    <s v="ea"/>
    <n v="100"/>
    <n v="0.06"/>
  </r>
  <r>
    <x v="973"/>
    <s v="PIN-PARALLEL D= 2.50h6x 12"/>
    <s v="Bossard"/>
    <s v="DIN6325 H6"/>
    <s v="MYR"/>
    <n v="0.32600000000000001"/>
    <s v="ea"/>
    <n v="100"/>
    <n v="0.06"/>
  </r>
  <r>
    <x v="974"/>
    <s v="PIN-PARALLEL D= 2.50H6X 14"/>
    <s v="Bossard"/>
    <s v="DIN6325 BN858"/>
    <s v="MYR"/>
    <n v="0.27100000000000002"/>
    <s v="ea"/>
    <n v="100"/>
    <n v="0.06"/>
  </r>
  <r>
    <x v="975"/>
    <s v="Parallel pins st hard+ground tol h6 D6325"/>
    <s v="Bossard"/>
    <s v="BN858 M2,5 x 16"/>
    <s v="MYR"/>
    <n v="0.63"/>
    <s v="ea"/>
    <n v="100"/>
    <n v="0.06"/>
  </r>
  <r>
    <x v="976"/>
    <s v="PIN-PARALLEL D= 2.00h6x 20"/>
    <s v="Bossard"/>
    <s v="DIN6325 H6"/>
    <s v="MYR"/>
    <n v="0.39899999999999997"/>
    <s v="ea"/>
    <n v="100"/>
    <n v="0.06"/>
  </r>
  <r>
    <x v="977"/>
    <s v="PIN-PARALLEL D= 2.00h6x 40"/>
    <s v="Bossard"/>
    <s v="DIN6325 H6"/>
    <s v="MYR"/>
    <n v="0.68299999999999994"/>
    <s v="ea"/>
    <n v="100"/>
    <n v="0.06"/>
  </r>
  <r>
    <x v="978"/>
    <s v="PIN-PARALLEL D= 2.00H6X  5"/>
    <s v="Bossard"/>
    <s v="DIN6325 H6"/>
    <s v="MYR"/>
    <n v="0.14299999999999999"/>
    <s v="ea"/>
    <n v="100"/>
    <n v="0.06"/>
  </r>
  <r>
    <x v="979"/>
    <s v="PIN-PARALLEL D= 1.50h6x  6"/>
    <s v="Bossard"/>
    <s v="DIN6325 H6"/>
    <s v="MYR"/>
    <n v="0.13699999999999998"/>
    <s v="ea"/>
    <n v="100"/>
    <n v="0.06"/>
  </r>
  <r>
    <x v="980"/>
    <s v="PIN-PARALLEL D= 1.50h6x  8"/>
    <s v="Bossard"/>
    <s v="DIN6325 H6"/>
    <s v="MYR"/>
    <n v="0.2"/>
    <s v="ea"/>
    <n v="100"/>
    <n v="0.06"/>
  </r>
  <r>
    <x v="981"/>
    <s v="PIN-PARALLEL D= 1.50h6x 14"/>
    <s v="Bossard"/>
    <s v="DIN6325 H6"/>
    <s v="MYR"/>
    <n v="0.248"/>
    <s v="ea"/>
    <n v="100"/>
    <n v="0.06"/>
  </r>
  <r>
    <x v="982"/>
    <s v="PIN-PARALLEL D= 3.00h6x  6"/>
    <s v="Bossard"/>
    <s v="DIN6325 H6"/>
    <s v="MYR"/>
    <n v="0.159"/>
    <s v="ea"/>
    <n v="100"/>
    <n v="0.06"/>
  </r>
  <r>
    <x v="983"/>
    <s v="PIN-PARALLEL D= 3.00h6x  8"/>
    <s v="Bossard"/>
    <s v="DIN6325 H6"/>
    <s v="MYR"/>
    <n v="0.151"/>
    <s v="ea"/>
    <n v="100"/>
    <n v="0.06"/>
  </r>
  <r>
    <x v="984"/>
    <s v="PIN PARALLEL D=3.00H6X 10"/>
    <s v="Bossard"/>
    <n v="1306251"/>
    <s v="MYR"/>
    <n v="0.26400000000000001"/>
    <s v="ea"/>
    <n v="200"/>
    <n v="0.06"/>
  </r>
  <r>
    <x v="985"/>
    <s v="Parallel pins st hard+ground tol h6 D6325"/>
    <s v="Bossard"/>
    <s v="BN858 M8 x 55"/>
    <s v="MYR"/>
    <n v="3.2030000000000003"/>
    <s v="ea"/>
    <n v="100"/>
    <n v="0.06"/>
  </r>
  <r>
    <x v="986"/>
    <s v="PIN-PARALLEL D= 3.00h6x 12"/>
    <s v="Bossard"/>
    <s v="DIN6325 H6"/>
    <s v="MYR"/>
    <n v="0.19900000000000001"/>
    <s v="ea"/>
    <n v="100"/>
    <n v="0.06"/>
  </r>
  <r>
    <x v="987"/>
    <s v="PIN-PARALLEL D= 3.00h6x 14"/>
    <s v="Bossard"/>
    <s v="DIN6325 H6"/>
    <s v="MYR"/>
    <n v="0.32100000000000001"/>
    <s v="ea"/>
    <n v="200"/>
    <n v="0.06"/>
  </r>
  <r>
    <x v="988"/>
    <s v="PIN-PARALLEL D= 3.00h6x 16"/>
    <s v="Bossard"/>
    <s v="DIN6325 H6"/>
    <s v="MYR"/>
    <n v="0.15"/>
    <s v="ea"/>
    <n v="100"/>
    <n v="0.06"/>
  </r>
  <r>
    <x v="989"/>
    <s v="PIN-PARALLEL D= 3.00H6X 18"/>
    <s v="Bossard"/>
    <s v="DIN6325 H6"/>
    <s v="MYR"/>
    <n v="0.21700000000000003"/>
    <s v="ea"/>
    <n v="100"/>
    <n v="0.06"/>
  </r>
  <r>
    <x v="990"/>
    <s v="PIN-PARALLEL D= 3.00h6x 20"/>
    <s v="Bossard"/>
    <s v="DIN6325 H6"/>
    <s v="MYR"/>
    <n v="0.27600000000000002"/>
    <s v="ea"/>
    <n v="100"/>
    <n v="0.06"/>
  </r>
  <r>
    <x v="991"/>
    <s v="PIN-PARALLEL D= 3.00H6X 22"/>
    <s v="Bossard"/>
    <s v="DIN6325 H6"/>
    <s v="MYR"/>
    <n v="0.56600000000000006"/>
    <s v="ea"/>
    <n v="100"/>
    <n v="0.06"/>
  </r>
  <r>
    <x v="992"/>
    <s v="PIN PARALLEL D=3.00H6X 24"/>
    <s v="Bossard"/>
    <n v="1306332"/>
    <s v="MYR"/>
    <n v="0.223"/>
    <s v="ea"/>
    <n v="100"/>
    <n v="0.06"/>
  </r>
  <r>
    <x v="993"/>
    <s v="PIN-PARALLEL D= 3.00H6X 28"/>
    <s v="Bossard"/>
    <s v="(DIN6325 BN858)"/>
    <s v="MYR"/>
    <n v="0.28499999999999998"/>
    <s v="ea"/>
    <n v="100"/>
    <n v="0.06"/>
  </r>
  <r>
    <x v="994"/>
    <s v="PIN-PARALLEL D= 3.00h6x 30"/>
    <s v="Bossard"/>
    <s v="DIN6325 H6"/>
    <s v="MYR"/>
    <n v="0.252"/>
    <s v="ea"/>
    <n v="100"/>
    <n v="0.06"/>
  </r>
  <r>
    <x v="995"/>
    <s v="PIN-PARALLEL D=3.00H6X 50"/>
    <s v="Bossard"/>
    <s v="DIN6325 BN858"/>
    <s v="MYR"/>
    <n v="0.63"/>
    <s v="ea"/>
    <n v="100"/>
    <n v="0.06"/>
  </r>
  <r>
    <x v="996"/>
    <s v="Parallel pins st hard+ground tol h6 D6325"/>
    <s v="Bossard"/>
    <s v="BN858 M3 x 32"/>
    <s v="MYR"/>
    <n v="0.73499999999999999"/>
    <s v="ea"/>
    <n v="100"/>
    <n v="0.06"/>
  </r>
  <r>
    <x v="997"/>
    <s v="PIN-PARALLEL D= 4.00h6x  8"/>
    <s v="Bossard"/>
    <s v="DIN6325 H6"/>
    <s v="MYR"/>
    <n v="0.19700000000000004"/>
    <s v="ea"/>
    <n v="100"/>
    <n v="0.06"/>
  </r>
  <r>
    <x v="998"/>
    <s v="PIN-PARALLEL D= 4.00h6x 10"/>
    <s v="Bossard"/>
    <s v="DIN6325 H6"/>
    <s v="MYR"/>
    <n v="0.38799999999999996"/>
    <s v="ea"/>
    <n v="200"/>
    <n v="0.06"/>
  </r>
  <r>
    <x v="999"/>
    <s v="PIN-PARALLEL D= 4.00h6x 12"/>
    <s v="Bossard"/>
    <s v="DIN6325 H6"/>
    <s v="MYR"/>
    <n v="0.25700000000000001"/>
    <s v="ea"/>
    <n v="100"/>
    <n v="0.06"/>
  </r>
  <r>
    <x v="1000"/>
    <s v="PIN-PARALLEL D= 4.00h6x 14"/>
    <s v="Bossard"/>
    <s v="DIN6325 H6"/>
    <s v="MYR"/>
    <n v="0.36399999999999999"/>
    <s v="ea"/>
    <n v="200"/>
    <n v="0.06"/>
  </r>
  <r>
    <x v="1001"/>
    <s v="PIN-PARALLEL D= 4.00h6x16"/>
    <s v="Bossard"/>
    <s v="DIN6325 H6"/>
    <s v="MYR"/>
    <n v="0.22600000000000001"/>
    <s v="ea"/>
    <n v="100"/>
    <n v="0.06"/>
  </r>
  <r>
    <x v="1002"/>
    <s v="PIN-PARALLEL D= 4.00h6x 18"/>
    <s v="Bossard"/>
    <s v="DIN6325 H6"/>
    <s v="MYR"/>
    <n v="0.36"/>
    <s v="ea"/>
    <n v="100"/>
    <n v="0.06"/>
  </r>
  <r>
    <x v="1003"/>
    <s v="PIN-PARALLEL D= 4.00h6x 20"/>
    <s v="Bossard"/>
    <s v="DIN6325 H6"/>
    <s v="MYR"/>
    <n v="0.27600000000000002"/>
    <s v="ea"/>
    <n v="100"/>
    <n v="0.06"/>
  </r>
  <r>
    <x v="1004"/>
    <s v="PIN- PARALLEL D= 4.00h6x 24"/>
    <s v="Bossard"/>
    <s v="DIN6325 H6"/>
    <s v="MYR"/>
    <n v="0.24900000000000003"/>
    <s v="ea"/>
    <n v="100"/>
    <n v="0.06"/>
  </r>
  <r>
    <x v="1005"/>
    <s v="PIN-PARALLEL D= 4.00h6x 28"/>
    <s v="Bossard"/>
    <s v="DIN6325 H6"/>
    <s v="MYR"/>
    <n v="0.32"/>
    <s v="ea"/>
    <n v="100"/>
    <n v="0.06"/>
  </r>
  <r>
    <x v="1006"/>
    <s v="PIN-PARALLEL D= 4.00h6x 30"/>
    <s v="Bossard"/>
    <s v="DIN6325 H6"/>
    <s v="MYR"/>
    <n v="0.33899999999999997"/>
    <s v="ea"/>
    <n v="100"/>
    <n v="0.06"/>
  </r>
  <r>
    <x v="1007"/>
    <s v="PIN PARALLEL D=4.00H 6X32"/>
    <s v="Bossard"/>
    <n v="1306561"/>
    <s v="MYR"/>
    <n v="0.7619999999999999"/>
    <s v="ea"/>
    <n v="100"/>
    <n v="0.06"/>
  </r>
  <r>
    <x v="1008"/>
    <s v="PIN-PARALLEL D= 4.00h6x 40"/>
    <s v="Bossard"/>
    <s v="DIN6325 H6"/>
    <s v="MYR"/>
    <n v="0.51400000000000001"/>
    <s v="ea"/>
    <n v="100"/>
    <n v="0.06"/>
  </r>
  <r>
    <x v="1009"/>
    <s v="PIN-PARALLEL D= 4.00H6X 50"/>
    <s v="Bossard"/>
    <s v="BN858 M4 x 50"/>
    <s v="MYR"/>
    <n v="1.4909999999999999"/>
    <s v="ea"/>
    <n v="100"/>
    <n v="0.06"/>
  </r>
  <r>
    <x v="1010"/>
    <s v="PIN-PARALLEL D= 4.00h6x 60"/>
    <s v="Bossard"/>
    <s v="DIN6325 H6"/>
    <s v="MYR"/>
    <n v="0.59499999999999997"/>
    <s v="ea"/>
    <n v="100"/>
    <n v="0.06"/>
  </r>
  <r>
    <x v="1011"/>
    <s v="PIN-PARALLEL D= 3.00h6x 36"/>
    <s v="Bossard"/>
    <s v="DIN6325 H6"/>
    <s v="MYR"/>
    <n v="0.45899999999999996"/>
    <s v="ea"/>
    <n v="100"/>
    <n v="0.06"/>
  </r>
  <r>
    <x v="1012"/>
    <s v="PIN-PARALLEL D= 4.00h6x 22"/>
    <s v="Bossard"/>
    <s v="DIN6325 H6"/>
    <s v="MYR"/>
    <n v="0.33200000000000002"/>
    <s v="ea"/>
    <n v="100"/>
    <n v="0.06"/>
  </r>
  <r>
    <x v="1013"/>
    <s v="PIN-PARALLEL D= 4.00h6x 36"/>
    <s v="Bossard"/>
    <s v="BN858 4x36"/>
    <s v="MYR"/>
    <n v="0.47300000000000003"/>
    <s v="ea"/>
    <n v="100"/>
    <n v="0.06"/>
  </r>
  <r>
    <x v="1014"/>
    <s v="PIN-PARALLEL D= 3.00H6X 45"/>
    <s v="Bossard"/>
    <s v="(DIN6325 BN858) "/>
    <s v="MYR"/>
    <n v="0.29299999999999998"/>
    <s v="ea"/>
    <n v="100"/>
    <n v="0.06"/>
  </r>
  <r>
    <x v="1015"/>
    <s v="PIN PARALLEL D=6.00H 6X32"/>
    <s v="Bossard"/>
    <n v="1306960"/>
    <s v="MYR"/>
    <n v="1.0880000000000001"/>
    <s v="ea"/>
    <n v="100"/>
    <n v="0.06"/>
  </r>
  <r>
    <x v="1016"/>
    <s v="PIN-PARALLEL D= 5.00H8X 20"/>
    <s v="Bossard"/>
    <s v="VSM12771B H8"/>
    <s v="MYR"/>
    <n v="0.309"/>
    <s v="ea"/>
    <n v="200"/>
    <n v="0.06"/>
  </r>
  <r>
    <x v="1017"/>
    <s v="PIN-PARALLEL D= 8.00H6X 45"/>
    <s v="Bossard"/>
    <s v="BN 858 8 h6 x 45"/>
    <s v="MYR"/>
    <n v="2.0089999999999999"/>
    <s v="ea"/>
    <n v="100"/>
    <n v="0.06"/>
  </r>
  <r>
    <x v="1018"/>
    <s v="PIN-PARALLEL D= 6.00H8X 50 ISO2338"/>
    <s v="Bossard"/>
    <s v="BN684 6x50"/>
    <s v="MYR"/>
    <n v="1.5"/>
    <s v="ea"/>
    <n v="100"/>
    <n v="0.06"/>
  </r>
  <r>
    <x v="1019"/>
    <s v="PIN-PARALLEL D= 2.00h6x 30"/>
    <s v="Bossard"/>
    <s v="DIN6325 H6"/>
    <s v="MYR"/>
    <n v="0.41"/>
    <s v="ea"/>
    <n v="100"/>
    <n v="0.06"/>
  </r>
  <r>
    <x v="1020"/>
    <s v="PIN-PARALLEL D=2.50H6 X 6 "/>
    <s v="Bossard"/>
    <s v="(DIN6325 BN858)"/>
    <s v="MYR"/>
    <n v="0.32"/>
    <s v="ea"/>
    <n v="100"/>
    <n v="0.06"/>
  </r>
  <r>
    <x v="1021"/>
    <s v="Parallel pins st hard+ground tol h6 D6325"/>
    <s v="Bossard"/>
    <s v="BN858 M10 x 45"/>
    <s v="MYR"/>
    <n v="3.2549999999999999"/>
    <s v="ea"/>
    <n v="100"/>
    <n v="0.06"/>
  </r>
  <r>
    <x v="1022"/>
    <s v="Parallel pins st hard+ground tol h6 D6325"/>
    <s v="Bossard"/>
    <s v="BN858 M8 x 32"/>
    <s v="MYR"/>
    <n v="2.06"/>
    <s v="ea"/>
    <n v="100"/>
    <n v="0.06"/>
  </r>
  <r>
    <x v="1023"/>
    <s v="PIN-PARALLEL D= 6.00h6x 18"/>
    <s v="Bossard"/>
    <s v="DIN6325 H6"/>
    <s v="MYR"/>
    <n v="0.59"/>
    <s v="ea"/>
    <n v="100"/>
    <n v="0.06"/>
  </r>
  <r>
    <x v="1024"/>
    <s v="PIN-PARALLEL D= 1.50h6x 24"/>
    <s v="Bossard"/>
    <s v="DIN6325 H6"/>
    <s v="MYR"/>
    <n v="0.68399999999999994"/>
    <s v="ea"/>
    <n v="100"/>
    <n v="0.06"/>
  </r>
  <r>
    <x v="1025"/>
    <s v="PIN-PARALLEL D= 3.00M6X 10"/>
    <s v="Bossard"/>
    <s v="BN857 3x10"/>
    <s v="MYR"/>
    <n v="0.18600000000000003"/>
    <s v="ea"/>
    <n v="100"/>
    <n v="0.06"/>
  </r>
  <r>
    <x v="1026"/>
    <s v="PIN-PARALLEL D= 4.00H6X 45"/>
    <s v="Bossard"/>
    <s v="DIN6325 H6"/>
    <s v="MYR"/>
    <n v="0.45"/>
    <s v="ea"/>
    <n v="100"/>
    <n v="0.06"/>
  </r>
  <r>
    <x v="1027"/>
    <s v="PIN-PARALLEL D= 6.00h6x 40"/>
    <s v="Bossard"/>
    <s v="DIN6325 H6"/>
    <s v="MYR"/>
    <n v="0.86099999999999999"/>
    <s v="ea"/>
    <n v="100"/>
    <n v="0.06"/>
  </r>
  <r>
    <x v="1028"/>
    <s v="Parallel pins st hard+ground tol h6 D6325"/>
    <s v="Bossard"/>
    <s v="BN858 M5 x 22"/>
    <s v="MYR"/>
    <n v="1.0290000000000001"/>
    <s v="ea"/>
    <n v="100"/>
    <n v="0.06"/>
  </r>
  <r>
    <x v="1029"/>
    <s v="PIN-PARALLEL D= 5.00h6x 60"/>
    <s v="Bossard"/>
    <s v="DIN6325 H6"/>
    <s v="MYR"/>
    <n v="1.242"/>
    <s v="ea"/>
    <n v="100"/>
    <n v="0.06"/>
  </r>
  <r>
    <x v="1030"/>
    <s v="PIN-PARALLEL D=10.00H6X 80"/>
    <s v="Bossard"/>
    <s v="BN858 10x80"/>
    <s v="MYR"/>
    <n v="3.173"/>
    <s v="ea"/>
    <n v="50"/>
    <n v="0.06"/>
  </r>
  <r>
    <x v="1031"/>
    <s v="PIN-PARALLEL D= 2.50h6x 30"/>
    <s v="Bossard"/>
    <s v="DIN6325 H6"/>
    <s v="MYR"/>
    <n v="0.45600000000000002"/>
    <s v="ea"/>
    <n v="100"/>
    <n v="0.06"/>
  </r>
  <r>
    <x v="1032"/>
    <s v="PIN-PARALLEL D= 1.50m6x  4"/>
    <s v="Bossard"/>
    <s v="BN 857 1.5x4"/>
    <s v="MYR"/>
    <n v="0.26300000000000001"/>
    <s v="ea"/>
    <n v="100"/>
    <n v="0.06"/>
  </r>
  <r>
    <x v="1033"/>
    <s v="Pin-Parallel D=12.0h6X20"/>
    <s v="Bossard"/>
    <s v="N/A"/>
    <s v="MYR"/>
    <n v="2.331"/>
    <s v="ea"/>
    <n v="50"/>
    <n v="0.06"/>
  </r>
  <r>
    <x v="1034"/>
    <s v="PIN PARALLEL D=5.00H6X 10"/>
    <s v="Bossard"/>
    <n v="1306642"/>
    <s v="MYR"/>
    <n v="0.26800000000000002"/>
    <s v="ea"/>
    <n v="100"/>
    <n v="0.06"/>
  </r>
  <r>
    <x v="1035"/>
    <s v="PIN-PARALLEL D= 1.50h6x 40"/>
    <s v="Bossard"/>
    <s v="DIN6325 H6"/>
    <s v="MYR"/>
    <n v="0.79199999999999993"/>
    <s v="ea"/>
    <n v="100"/>
    <n v="0.06"/>
  </r>
  <r>
    <x v="1036"/>
    <s v="PIN-PARALLEL D= 4.00h6x  6"/>
    <s v="Bossard"/>
    <s v="DIN6325 H6"/>
    <s v="MYR"/>
    <n v="0.24100000000000002"/>
    <s v="ea"/>
    <n v="100"/>
    <n v="0.06"/>
  </r>
  <r>
    <x v="1037"/>
    <s v="Pin-parallel d= 3.00h8x  8 ss A1"/>
    <s v="Bossard"/>
    <s v="~DIN7 Inox A1"/>
    <s v="MYR"/>
    <n v="0.18"/>
    <s v="ea"/>
    <n v="200"/>
    <n v="0.06"/>
  </r>
  <r>
    <x v="1038"/>
    <s v="PIN-PARALLEL D=4.00h8 x 14 "/>
    <s v="Bossard"/>
    <s v="VSM 12771B BN 684"/>
    <s v="MYR"/>
    <n v="0.30099999999999999"/>
    <s v="ea"/>
    <n v="100"/>
    <n v="0.06"/>
  </r>
  <r>
    <x v="1039"/>
    <s v="PIN DOWEL CYL. D=3.00H8X14 SS"/>
    <s v="Bossard"/>
    <s v="1255835 BN684"/>
    <s v="MYR"/>
    <n v="0.79799999999999993"/>
    <s v="ea"/>
    <n v="100"/>
    <n v="0.06"/>
  </r>
  <r>
    <x v="1040"/>
    <s v="Parallel pins with tolerance h8"/>
    <s v="Bossard"/>
    <s v="BN684 M4 x 16"/>
    <s v="MYR"/>
    <n v="0.87199999999999989"/>
    <s v="ea"/>
    <n v="100"/>
    <n v="0.06"/>
  </r>
  <r>
    <x v="1041"/>
    <s v="Parallel pins (Material: GCr15 / Hardness: HRC58-62 / Finish: Plain"/>
    <s v="Bossard"/>
    <s v="BN90801 4h6x70"/>
    <s v="MYR"/>
    <n v="2.1"/>
    <s v="ea"/>
    <n v="1000"/>
    <n v="0.06"/>
  </r>
  <r>
    <x v="1042"/>
    <s v="Parallel pins w/int thrd m6 hrd gr D7979D"/>
    <s v="Bossard"/>
    <s v="BN1970 M 10 X 28"/>
    <s v="MYR"/>
    <n v="3.57"/>
    <s v="ea"/>
    <n v="100"/>
    <n v="0.06"/>
  </r>
  <r>
    <x v="1043"/>
    <s v="PIN-PARALLEL D= 6.00M6X 32  TAPPED M4"/>
    <s v="Bossard"/>
    <s v="BN1970 M6 x 32"/>
    <s v="MYR"/>
    <n v="2.1640000000000001"/>
    <s v="ea"/>
    <n v="100"/>
    <n v="0.06"/>
  </r>
  <r>
    <x v="1044"/>
    <s v="PIN PARALLEL DIA 6 X 20 TAPPED M4"/>
    <s v="Bossard"/>
    <s v="DIN 7979 / BN 1970"/>
    <s v="MYR"/>
    <n v="1.03"/>
    <s v="ea"/>
    <n v="100"/>
    <n v="0.06"/>
  </r>
  <r>
    <x v="1045"/>
    <s v="PIN-PARALLEL D= 8.00h6x 18"/>
    <s v="Bossard"/>
    <s v="DIN6325 H6"/>
    <s v="MYR"/>
    <n v="0.86599999999999999"/>
    <s v="ea"/>
    <n v="100"/>
    <n v="0.06"/>
  </r>
  <r>
    <x v="1046"/>
    <s v="PIN PARALLEL D=5.00H6X14"/>
    <s v="Bossard"/>
    <n v="1306669"/>
    <s v="MYR"/>
    <n v="0.34300000000000003"/>
    <s v="ea"/>
    <n v="100"/>
    <n v="0.06"/>
  </r>
  <r>
    <x v="1047"/>
    <s v="Parallel pins st hard+ground tol h6 D6325"/>
    <s v="Bossard"/>
    <s v="BN858 M6 x 22"/>
    <s v="MYR"/>
    <n v="1.365"/>
    <s v="ea"/>
    <n v="100"/>
    <n v="0.06"/>
  </r>
  <r>
    <x v="1048"/>
    <s v="PIN-PARALLEL D= 2.50h6x  8"/>
    <s v="Bossard"/>
    <s v="DIN6325 H6"/>
    <s v="MYR"/>
    <n v="0.151"/>
    <s v="ea"/>
    <n v="100"/>
    <n v="0.06"/>
  </r>
  <r>
    <x v="1049"/>
    <s v="Parallel pins st hard+ground tol h6 D6325"/>
    <s v="Bossard"/>
    <s v="BN858 2.5 x 20"/>
    <s v="MYR"/>
    <n v="0.315"/>
    <s v="ea"/>
    <n v="100"/>
    <n v="0.06"/>
  </r>
  <r>
    <x v="1050"/>
    <s v="PIN-PARALLEL D= 1.00h6x  5"/>
    <s v="Bossard"/>
    <s v="DIN6325 H6"/>
    <s v="MYR"/>
    <n v="0.33"/>
    <s v="ea"/>
    <n v="100"/>
    <n v="0.06"/>
  </r>
  <r>
    <x v="1051"/>
    <s v="PIN-PARELLEL D= 1.00h6x10 DIN6325 h6"/>
    <s v="Bossard"/>
    <s v="BN858 1x10"/>
    <s v="MYR"/>
    <n v="0.26300000000000001"/>
    <s v="ea"/>
    <n v="100"/>
    <n v="0.06"/>
  </r>
  <r>
    <x v="1052"/>
    <s v="PIN-PARALLEL D= 1.50h6x  5"/>
    <s v="Bossard"/>
    <s v="DIN6325 H6"/>
    <s v="MYR"/>
    <n v="0.28000000000000003"/>
    <s v="ea"/>
    <n v="100"/>
    <n v="0.06"/>
  </r>
  <r>
    <x v="1053"/>
    <s v="PIN-PARALLEL D=1.50h6X16 DIN 6325 H6"/>
    <s v="Bossard"/>
    <s v="BN858 1.5 x 16"/>
    <s v="MYR"/>
    <n v="0.29399999999999998"/>
    <s v="ea"/>
    <n v="100"/>
    <n v="0.06"/>
  </r>
  <r>
    <x v="1054"/>
    <s v="PIN-PARALLEL D= 2.00h6x 24"/>
    <s v="Bossard"/>
    <s v="DIN6325 H6"/>
    <s v="MYR"/>
    <n v="0.40700000000000003"/>
    <s v="ea"/>
    <n v="100"/>
    <n v="0.06"/>
  </r>
  <r>
    <x v="1055"/>
    <s v="Parallel pins st hard+ground tol h6"/>
    <s v="Bossard"/>
    <s v="BN 858 M2 X 28"/>
    <s v="MYR"/>
    <n v="0.80599999999999994"/>
    <s v="ea"/>
    <n v="100"/>
    <n v="0.06"/>
  </r>
  <r>
    <x v="1056"/>
    <s v="KEY-PARALLEL ROUND ENDED  3X3X16"/>
    <s v="Bossard"/>
    <s v="BN870 3 x 3 x 16"/>
    <s v="MYR"/>
    <n v="0.49099999999999999"/>
    <s v="ea"/>
    <n v="100"/>
    <n v="0.06"/>
  </r>
  <r>
    <x v="1057"/>
    <s v="Crescent rings f shafts Benzing SS"/>
    <s v="Bossard"/>
    <s v="BN831 M3"/>
    <s v="MYR"/>
    <n v="0.109"/>
    <s v="ea"/>
    <n v="200"/>
    <n v="0.06"/>
  </r>
  <r>
    <x v="1058"/>
    <s v="CIR-CLIP FOR SHAFTS D=3 "/>
    <s v="Bossard"/>
    <s v="(DIN471ZP)"/>
    <s v="MYR"/>
    <n v="0.1"/>
    <s v="ea"/>
    <n v="100"/>
    <n v="0.06"/>
  </r>
  <r>
    <x v="1059"/>
    <s v="CIRSCLIP FOR SHAFTS D=4 WITH EYES "/>
    <s v="Bossard"/>
    <s v="DIN471 NOICE"/>
    <s v="MYR"/>
    <n v="0.17600000000000002"/>
    <s v="ea"/>
    <n v="200"/>
    <n v="0.06"/>
  </r>
  <r>
    <x v="1060"/>
    <s v="CIRCLIP FOR SHAFTS D= 5 WITH EYES"/>
    <s v="Bossard"/>
    <s v="DIN471 NOIRCI"/>
    <s v="MYR"/>
    <n v="0.20100000000000001"/>
    <s v="ea"/>
    <n v="200"/>
    <n v="0.06"/>
  </r>
  <r>
    <x v="1061"/>
    <s v="CIRCLIP FOR SHAFTS D= 6 WITH EYES"/>
    <s v="Bossard"/>
    <s v="DIN471 NOIRCI"/>
    <s v="MYR"/>
    <n v="0.17900000000000002"/>
    <s v="ea"/>
    <n v="200"/>
    <n v="0.06"/>
  </r>
  <r>
    <x v="1062"/>
    <s v="CIR-CLIP FOR SHAFTS D=7 WITH EYES "/>
    <s v="Bossard"/>
    <s v="(DIN 471 NOIRCI) BN 820"/>
    <s v="MYR"/>
    <n v="0.34399999999999997"/>
    <s v="ea"/>
    <n v="200"/>
    <n v="0.06"/>
  </r>
  <r>
    <x v="1063"/>
    <s v="CIRCLIP FOR SHAFTS D= 8 DIN471"/>
    <s v="Bossard"/>
    <s v="BN820 8"/>
    <s v="MYR"/>
    <n v="7.8E-2"/>
    <s v="ea"/>
    <n v="200"/>
    <n v="0.06"/>
  </r>
  <r>
    <x v="1064"/>
    <s v="Ret ring for shaft stand design st D471"/>
    <s v="Bossard"/>
    <s v="BN819 D10"/>
    <s v="MYR"/>
    <n v="0.25"/>
    <s v="ea"/>
    <n v="100"/>
    <n v="0.06"/>
  </r>
  <r>
    <x v="1065"/>
    <s v="CIRCLIP FOR SHAFTS D=20"/>
    <s v="Bossard"/>
    <s v="DIN471 ZP"/>
    <s v="MYR"/>
    <n v="0.42800000000000005"/>
    <s v="ea"/>
    <n v="100"/>
    <n v="0.06"/>
  </r>
  <r>
    <x v="1066"/>
    <s v="Circlip for bores d=12 ss"/>
    <s v="Bossard"/>
    <s v="DIN472 Inox"/>
    <s v="MYR"/>
    <n v="0.73"/>
    <s v="ea"/>
    <n v="100"/>
    <n v="0.06"/>
  </r>
  <r>
    <x v="1067"/>
    <s v="CIRCLIP FOR BORES D=15"/>
    <s v="Bossard"/>
    <s v="DIN472 ZP"/>
    <s v="MYR"/>
    <n v="0.35499999999999998"/>
    <s v="ea"/>
    <n v="100"/>
    <n v="0.06"/>
  </r>
  <r>
    <x v="1068"/>
    <s v="V-retaining rings f bores type J st"/>
    <s v="Bossard"/>
    <s v="BN830 26"/>
    <s v="MYR"/>
    <n v="2.52"/>
    <s v="ea"/>
    <n v="100"/>
    <n v="0.06"/>
  </r>
  <r>
    <x v="1069"/>
    <s v="HANDLE WITH FIXING-FRONTAL EBP"/>
    <s v="Bossard"/>
    <s v="ELESA - M.443/140 37101"/>
    <s v="MYR"/>
    <n v="19.3"/>
    <s v="ea"/>
    <n v="1"/>
    <n v="0.06"/>
  </r>
  <r>
    <x v="1070"/>
    <s v="HANDLE-BALL M4 x 12"/>
    <s v="Bossard"/>
    <n v="50511"/>
    <s v="MYR"/>
    <n v="9.4700000000000006"/>
    <s v="ea"/>
    <n v="1"/>
    <n v="0.06"/>
  </r>
  <r>
    <x v="1071"/>
    <s v="Elesa Handle model #50512"/>
    <s v="Bossard"/>
    <s v="BN20530"/>
    <s v="MYR"/>
    <n v="15.75"/>
    <s v="ea"/>
    <n v="1"/>
    <n v="0.06"/>
  </r>
  <r>
    <x v="1072"/>
    <s v="HANDWHEEL-KNOB VC 192/30B-M6 *"/>
    <s v="Bossard"/>
    <n v="66222"/>
    <s v="MYR"/>
    <n v="14.96"/>
    <s v="ea"/>
    <n v="1"/>
    <n v="0.06"/>
  </r>
  <r>
    <x v="1073"/>
    <s v="HANDWHEEL-KNOB VC 192/50B-M8 *"/>
    <s v="Bossard"/>
    <s v="BN 14137 66471"/>
    <s v="MYR"/>
    <n v="24.7"/>
    <s v="ea"/>
    <n v="2"/>
    <n v="0.06"/>
  </r>
  <r>
    <x v="1074"/>
    <s v="HANDLE ELESA I.281+X M12"/>
    <s v="Bossard"/>
    <s v="BN14278 - 22811"/>
    <s v="MYR"/>
    <n v="1.42"/>
    <s v="ea"/>
    <n v="1"/>
    <n v="0.06"/>
  </r>
  <r>
    <x v="1075"/>
    <s v="HANDLE-DISENGAGEABLE BLACK"/>
    <s v="Bossard"/>
    <s v="Elesa 41311"/>
    <s v="MYR"/>
    <n v="17.922000000000001"/>
    <s v="ea"/>
    <n v="1"/>
    <n v="0.06"/>
  </r>
  <r>
    <x v="1076"/>
    <s v="Handles Elesa® P.131"/>
    <s v="Bossard"/>
    <s v="BN14255 M8"/>
    <s v="MYR"/>
    <n v="26.25"/>
    <s v="ea"/>
    <n v="1"/>
    <n v="0.06"/>
  </r>
  <r>
    <x v="1077"/>
    <s v="HANDLE-DISENGAGEABLE MR.63A-M6"/>
    <s v="Bossard"/>
    <s v="ELESA - 41411"/>
    <s v="MYR"/>
    <n v="25.45"/>
    <s v="ea"/>
    <n v="1"/>
    <n v="0.06"/>
  </r>
  <r>
    <x v="1078"/>
    <s v="Adjustable handle Elesa® MR.A black"/>
    <s v="Bossard"/>
    <s v="BN14185 41121 MR.40 A-M4"/>
    <s v="MYR"/>
    <n v="16.8"/>
    <s v="ea"/>
    <n v="1"/>
    <n v="0.06"/>
  </r>
  <r>
    <x v="1079"/>
    <s v="NUT-KNURLED M 3 HIGH"/>
    <s v="Bossard"/>
    <s v="DIN466 INOX"/>
    <s v="MYR"/>
    <n v="1.228"/>
    <s v="ea"/>
    <n v="100"/>
    <n v="0.06"/>
  </r>
  <r>
    <x v="1080"/>
    <s v="NUT-KNURLED M 4 HIGH"/>
    <s v="Bossard"/>
    <s v="DIN466 ZP"/>
    <s v="MYR"/>
    <n v="1.391"/>
    <s v="ea"/>
    <n v="100"/>
    <n v="0.06"/>
  </r>
  <r>
    <x v="1081"/>
    <s v="SCREW-KNURLED-HEAD HIGH M 4x 8"/>
    <s v="Bossard"/>
    <s v="DIN464 ZP"/>
    <s v="MYR"/>
    <n v="1.784"/>
    <s v="ea"/>
    <n v="100"/>
    <n v="0.06"/>
  </r>
  <r>
    <x v="1082"/>
    <s v="Fluted grip knobs Elesa® BT.p"/>
    <s v="Bossard"/>
    <s v="BN14214 M5 x 16"/>
    <s v="MYR"/>
    <n v="10.5"/>
    <s v="ea"/>
    <n v="10"/>
    <n v="0.06"/>
  </r>
  <r>
    <x v="1083"/>
    <s v="KNOB-THUMB M4"/>
    <s v="Bossard"/>
    <s v="BN412-M4"/>
    <s v="MYR"/>
    <n v="2.633"/>
    <s v="ea"/>
    <n v="100"/>
    <n v="0.06"/>
  </r>
  <r>
    <x v="1084"/>
    <s v="KNOB-THUMB M5 "/>
    <s v="Bossard"/>
    <s v="(BN412-M5) "/>
    <s v="MYR"/>
    <n v="3.0630000000000002"/>
    <s v="ea"/>
    <n v="100"/>
    <n v="0.06"/>
  </r>
  <r>
    <x v="1085"/>
    <s v="KNOB-THUMB M3"/>
    <s v="Bossard"/>
    <s v="BN412 M3 NOIR"/>
    <s v="MYR"/>
    <n v="2.31"/>
    <s v="ea"/>
    <n v="100"/>
    <n v="0.06"/>
  </r>
  <r>
    <x v="1086"/>
    <s v="Knobs black for hex soc hd cap scr"/>
    <s v="Bossard"/>
    <s v="BN412 M6K/13/19/7,5"/>
    <s v="MYR"/>
    <n v="3.15"/>
    <s v="ea"/>
    <n v="100"/>
    <n v="0.06"/>
  </r>
  <r>
    <x v="1087"/>
    <s v="SCREW-KNURLED-HEAD HIGH M 4X16"/>
    <s v="Bossard"/>
    <s v="BN1452 M4x16"/>
    <s v="MYR"/>
    <n v="3.605"/>
    <s v="ea"/>
    <n v="100"/>
    <n v="0.06"/>
  </r>
  <r>
    <x v="1088"/>
    <s v="Fluted grip knobs Elesa® BT.p"/>
    <s v="Bossard"/>
    <s v="BN14214 M4 x 16"/>
    <s v="MYR"/>
    <n v="7.21"/>
    <s v="ea"/>
    <n v="1"/>
    <n v="0.06"/>
  </r>
  <r>
    <x v="1089"/>
    <s v="KNOB-THUMB M8"/>
    <s v="Bossard"/>
    <s v="BN412-M8 NOIR"/>
    <s v="MYR"/>
    <n v="2.39"/>
    <s v="ea"/>
    <n v="100"/>
    <n v="0.06"/>
  </r>
  <r>
    <x v="1090"/>
    <s v="SCREW-KNURLED-HEAD HIGH M 3X12"/>
    <s v="Bossard"/>
    <s v="BN1452 M3x12"/>
    <s v="MYR"/>
    <n v="2"/>
    <s v="ea"/>
    <n v="100"/>
    <n v="0.06"/>
  </r>
  <r>
    <x v="1091"/>
    <s v="SCREW-KNURLED-HEAD HIGH M 3x10"/>
    <s v="Bossard"/>
    <s v="DIN464 ZP"/>
    <s v="MYR"/>
    <n v="1.415"/>
    <s v="ea"/>
    <n v="100"/>
    <n v="0.06"/>
  </r>
  <r>
    <x v="1092"/>
    <s v="DIN464 ZP THREADING DIAMETER 3.0mm, THREADING LENGTH 16.00mm"/>
    <s v="Bossard"/>
    <s v="BN1452 M3x16"/>
    <s v="MYR"/>
    <n v="2.1"/>
    <s v="ea"/>
    <n v="100"/>
    <n v="0.06"/>
  </r>
  <r>
    <x v="1093"/>
    <s v="Blind rivets POP® TAPD..BS, domed head, Rivet: aluminum, Mandrel: steel zinc plated"/>
    <s v="Bossard"/>
    <s v="BN924 TAPD 42 BS"/>
    <s v="MYR"/>
    <n v="0.28400000000000003"/>
    <s v="ea"/>
    <n v="100"/>
    <n v="0.06"/>
  </r>
  <r>
    <x v="1094"/>
    <s v="BUSHING-STEEL ENSAT 302  M4"/>
    <s v="Bossard"/>
    <s v="BN902 M4"/>
    <s v="MYR"/>
    <n v="1.101"/>
    <s v="ea"/>
    <n v="100"/>
    <n v="0.06"/>
  </r>
  <r>
    <x v="1095"/>
    <s v="BUSHING-THREADED BUSH M2"/>
    <s v="Bossard"/>
    <s v="BN 1046 M2"/>
    <s v="MYR"/>
    <n v="0.82400000000000007"/>
    <s v="ea"/>
    <n v="100"/>
    <n v="0.06"/>
  </r>
  <r>
    <x v="1096"/>
    <s v="BUSHING-THREADED M 3"/>
    <s v="Bossard"/>
    <s v="BN1054"/>
    <s v="MYR"/>
    <n v="0.29399999999999998"/>
    <s v="ea"/>
    <n v="100"/>
    <n v="0.06"/>
  </r>
  <r>
    <x v="1097"/>
    <s v="BUSHING-TRHEATED M 4"/>
    <s v="Bossard"/>
    <s v="BN1936"/>
    <s v="MYR"/>
    <n v="0.76500000000000001"/>
    <s v="ea"/>
    <n v="100"/>
    <n v="0.06"/>
  </r>
  <r>
    <x v="1098"/>
    <s v="BOLT-THREADED  M6X20 ZP"/>
    <s v="Bossard"/>
    <s v="DIN939FO BN1391"/>
    <s v="MYR"/>
    <n v="1.4369999999999998"/>
    <s v="ea"/>
    <n v="100"/>
    <n v="0.06"/>
  </r>
  <r>
    <x v="1099"/>
    <s v="BOLT-WELDING M4X10"/>
    <s v="Bossard"/>
    <s v="DIN32501 BN1456"/>
    <s v="MYR"/>
    <n v="0.18899999999999997"/>
    <s v="ea"/>
    <n v="100"/>
    <n v="0.06"/>
  </r>
  <r>
    <x v="1100"/>
    <s v="BUSHING DRILL 1.5F7 x 4n6 x6"/>
    <s v="Bossard"/>
    <s v="DIN 179 A"/>
    <s v="MYR"/>
    <n v="128.75"/>
    <s v="ea"/>
    <n v="10"/>
    <n v="0.06"/>
  </r>
  <r>
    <x v="1101"/>
    <s v="TABLE-MICRO ON BEARING-BALL STROKE=20MM"/>
    <s v="Schneeberger"/>
    <s v="NDN 2-30.20"/>
    <s v="USD"/>
    <n v="147.21276595744681"/>
    <s v="ea"/>
    <n v="2"/>
    <n v="0.1"/>
  </r>
  <r>
    <x v="1102"/>
    <s v="TRACK-GUIDING L=  55 1 CARRIAGE T=9"/>
    <s v="Schneeberger"/>
    <s v="MN9-55-G3-V1+MNN9-G3"/>
    <s v="USD"/>
    <n v="42.468085106382986"/>
    <s v="ea"/>
    <n v="10"/>
    <n v="0.1"/>
  </r>
  <r>
    <x v="1103"/>
    <s v="TABLE-MICRO ON BEARING-BALL STROKE=10MM"/>
    <s v="Schneeberger"/>
    <s v="NDN 1-20.10"/>
    <s v="USD"/>
    <n v="143.7021276595745"/>
    <s v="ea"/>
    <n v="2"/>
    <n v="0.1"/>
  </r>
  <r>
    <x v="1104"/>
    <s v="TABLE MICRO ON BEARING-BALL STROKE=25MM"/>
    <s v="Schneeberger"/>
    <s v="NDN 1-40.30"/>
    <s v="USD"/>
    <n v="145.64893617021278"/>
    <s v="ea"/>
    <n v="2"/>
    <n v="0.1"/>
  </r>
  <r>
    <x v="1105"/>
    <s v="TRACK-GUIDING L=  75 1 CARRIAGE"/>
    <s v="Schneeberger"/>
    <s v="MN9-75-G3-V1+MNN9-G3"/>
    <s v="USD"/>
    <n v="42.574468085106389"/>
    <s v="ea"/>
    <n v="10"/>
    <n v="0.1"/>
  </r>
  <r>
    <x v="1106"/>
    <s v="TRACK-GUIDING L= 110 1 CARRIAGE T=24"/>
    <s v="Schneeberger"/>
    <s v="MN24-110-G3-V1+MNN24-G3"/>
    <s v="USD"/>
    <n v="87.872340425531917"/>
    <s v="ea"/>
    <n v="4"/>
    <n v="0.1"/>
  </r>
  <r>
    <x v="1107"/>
    <s v="TABLE-MICRO ON BEARING-BALL STROKE=20MM"/>
    <s v="Schneeberger"/>
    <s v="NDN05.25-20 SP (1 - 100 pcs)"/>
    <s v="USD"/>
    <n v="275.05319148936172"/>
    <s v="ea"/>
    <n v="4"/>
    <n v="0.1"/>
  </r>
  <r>
    <x v="1108"/>
    <s v="TRACK-GUIDING L=  70 1 CARRIAGE T=14"/>
    <s v="Schneeberger"/>
    <s v="MN14-70-5-5-G3-V1+MNN14-G3"/>
    <s v="USD"/>
    <n v="51.946808510638299"/>
    <s v="ea"/>
    <n v="10"/>
    <n v="0.1"/>
  </r>
  <r>
    <x v="1109"/>
    <s v="TRACK-GUIDING L=  44 1 CARRIAGE T= 9"/>
    <s v="Schneeberger"/>
    <s v="MNN9-44-8-16-G3-V1+MNN9-G3"/>
    <s v="USD"/>
    <n v="44.021276595744688"/>
    <s v="ea"/>
    <n v="10"/>
    <n v="0.1"/>
  </r>
  <r>
    <x v="1110"/>
    <s v="TRACK-GUIDING L=  70 1 CARRAIGE T=15"/>
    <s v="Schneeberger"/>
    <s v="MNN15-70-G3-V1 + MNN15-G3"/>
    <s v="USD"/>
    <n v="69.670212765957444"/>
    <s v="ea"/>
    <n v="4"/>
    <n v="0.1"/>
  </r>
  <r>
    <x v="1111"/>
    <s v="TRACK-GUIDING L= 150 1 CARRIAGE"/>
    <s v="Schneeberger"/>
    <s v="MN42-150-G3-V1-MNN42-G3"/>
    <s v="USD"/>
    <n v="123.85106382978724"/>
    <s v="ea"/>
    <n v="4"/>
    <n v="0.1"/>
  </r>
  <r>
    <x v="1112"/>
    <s v="MLFK 08T7105/N25X"/>
    <s v="Baumer"/>
    <n v="10149985"/>
    <s v="USD "/>
    <n v="124.41"/>
    <s v="ea"/>
    <n v="1"/>
    <n v="0.1"/>
  </r>
  <r>
    <x v="1113"/>
    <s v="TRACK-GUIDING L= 260 2 CARRIAGE"/>
    <s v="Schneeberger"/>
    <s v="MN14-260-10-10-G3-V1+2MN14-G3"/>
    <s v="USD"/>
    <n v="134.77659574468086"/>
    <s v="ea"/>
    <n v="4"/>
    <n v="0.1"/>
  </r>
  <r>
    <x v="1114"/>
    <s v="CARRIAGE MNN7-G3"/>
    <s v="Schneeberger"/>
    <s v="MNN7-G3"/>
    <s v="USD"/>
    <n v="26.957446808510639"/>
    <s v="ea"/>
    <n v="10"/>
    <n v="0.1"/>
  </r>
  <r>
    <x v="1115"/>
    <s v="TRACK-GUIDING L=400"/>
    <s v="Schneeberger"/>
    <s v="MN7-400-5-5-G3-V0"/>
    <s v="USD"/>
    <n v="73.819148936170222"/>
    <s v="ea"/>
    <n v="4"/>
    <n v="0.1"/>
  </r>
  <r>
    <x v="1116"/>
    <s v="TRACK GUIDING L=235 1 CARRIAGE T=9"/>
    <s v="Schneeberger"/>
    <s v="MN9-235-G3-V1 + MNN9-G3"/>
    <s v="USD"/>
    <n v="105.86170212765958"/>
    <s v="ea"/>
    <n v="4"/>
    <n v="0.1"/>
  </r>
  <r>
    <x v="1117"/>
    <s v="TRACK-GUIDING L=  55 1 CARRIAGE T=9"/>
    <s v="Schneeberger"/>
    <s v="MN9-55-G3-V0+MNN9-G3"/>
    <s v="USD"/>
    <n v="42.468085106382986"/>
    <s v="ea"/>
    <n v="10"/>
    <n v="0.1"/>
  </r>
  <r>
    <x v="1118"/>
    <s v="TRACK-GUIDING L= 350 LG15 1 CARRIAGE"/>
    <s v="Schneeberger"/>
    <s v="MN15-350.G3.V1+MNN15-G3"/>
    <s v="USD"/>
    <n v="120.21276595744682"/>
    <s v="ea"/>
    <n v="4"/>
    <n v="0.1"/>
  </r>
  <r>
    <x v="1119"/>
    <s v="TRACK-GUIDING L= 430 LG15 1 CARRIAGE"/>
    <s v="Schneeberger"/>
    <s v="MN15-430.G3.V0+MNN15-G3"/>
    <s v="USD"/>
    <n v="139.36170212765958"/>
    <s v="ea"/>
    <n v="4"/>
    <n v="0.1"/>
  </r>
  <r>
    <x v="1120"/>
    <s v="TRACK-GUIDING L=  40 1 CARRIAGE T= 7"/>
    <s v="Schneeberger"/>
    <s v="MN7-40-G3-V1+MNN7-G3"/>
    <s v="USD"/>
    <n v="40.489361702127667"/>
    <s v="ea"/>
    <n v="10"/>
    <n v="0.1"/>
  </r>
  <r>
    <x v="1121"/>
    <s v="Protection plugs TL-4-000, polyethylene PE-LD white"/>
    <s v="Bossard"/>
    <s v="BN1095, TL-4-405"/>
    <s v="MYR"/>
    <n v="1.7509999999999999"/>
    <s v="ea"/>
    <n v="100"/>
    <n v="0.06"/>
  </r>
  <r>
    <x v="1122"/>
    <s v="PIN-SPRING SLIT D= 3X20"/>
    <s v="Bossard"/>
    <s v="N/A"/>
    <s v="MYR"/>
    <n v="0.1"/>
    <s v="ea"/>
    <n v="100"/>
    <n v="0.06"/>
  </r>
  <r>
    <x v="1123"/>
    <s v="CAP-HEX MALE G1/8 6P. CR. WITH SEAL"/>
    <s v="Bossard"/>
    <n v="3454772"/>
    <s v="MYR"/>
    <n v="2.319"/>
    <s v="ea"/>
    <n v="100"/>
    <n v="0.06"/>
  </r>
  <r>
    <x v="1124"/>
    <s v="SENSOR-PHOTO REFLECTIVE"/>
    <s v="KEYENCE(MALAYSIA) S/B"/>
    <s v="FU-35FA"/>
    <s v="MYR"/>
    <n v="93.6"/>
    <s v="ea"/>
    <n v="1"/>
    <n v="0.06"/>
  </r>
  <r>
    <x v="1125"/>
    <s v="AMPLIFIER-PHOTO 12-24VDC PNP"/>
    <s v="KEYENCE(MALAYSIA) S/B"/>
    <s v="PS2-61 P"/>
    <s v="MYR"/>
    <n v="240"/>
    <s v="ea"/>
    <n v="1"/>
    <n v="0.06"/>
  </r>
  <r>
    <x v="1126"/>
    <s v="SENSOR-PHOTO THRU BEAM MINI"/>
    <s v="KEYENCE(MALAYSIA) S/B"/>
    <s v="PS-52"/>
    <s v="MYR"/>
    <n v="158.6"/>
    <s v="ea"/>
    <n v="1"/>
    <n v="0.06"/>
  </r>
  <r>
    <x v="1127"/>
    <s v="AMPLIFIER-PHOTO 12-24VDC PNP"/>
    <s v="KEYENCE(MALAYSIA) S/B"/>
    <s v="FS 2-60-P"/>
    <s v="MYR"/>
    <n v="223.8"/>
    <s v="ea"/>
    <n v="1"/>
    <n v="0.06"/>
  </r>
  <r>
    <x v="1128"/>
    <s v="SENSOR-PHOTO THRU BEAM NPN"/>
    <s v="KEYENCE(MALAYSIA) S/B"/>
    <s v="FU-32"/>
    <s v="MYR"/>
    <n v="280"/>
    <s v="ea"/>
    <n v="1"/>
    <n v="0.06"/>
  </r>
  <r>
    <x v="1129"/>
    <s v="FZAM 30P5004"/>
    <s v="Baumer"/>
    <n v="10215057"/>
    <s v="USD "/>
    <n v="233.2"/>
    <s v="ea"/>
    <n v="1"/>
    <n v="0.1"/>
  </r>
  <r>
    <x v="1130"/>
    <s v="SENSOR-INDUCTIVE D= 3 PNP"/>
    <s v="KEYENCE(MALAYSIA) S/B"/>
    <s v="EM-030P"/>
    <s v="MYR"/>
    <n v="340"/>
    <s v="ea"/>
    <n v="1"/>
    <n v="0.06"/>
  </r>
  <r>
    <x v="1131"/>
    <s v="SENSOR PHOTO WITH FIBER FU-49X"/>
    <s v="KEYENCE(MALAYSIA) S/B"/>
    <s v="FU-49X"/>
    <s v="MYR"/>
    <n v="211"/>
    <s v="ea"/>
    <n v="1"/>
    <n v="0.06"/>
  </r>
  <r>
    <x v="1132"/>
    <s v="FSF 100A2004"/>
    <s v="Baumer"/>
    <n v="10220490"/>
    <s v="USD "/>
    <n v="134.35"/>
    <s v="ea"/>
    <n v="1"/>
    <n v="0.1"/>
  </r>
  <r>
    <x v="1133"/>
    <s v="AMPLIFIER-PHOTO 12-24VDC"/>
    <s v="KEYENCE(MALAYSIA) S/B"/>
    <s v="PS-T1P"/>
    <s v="MYR"/>
    <n v="230"/>
    <s v="ea"/>
    <n v="1"/>
    <n v="0.06"/>
  </r>
  <r>
    <x v="1134"/>
    <s v="LENS FOR OPTIC. FIBER"/>
    <s v="KEYENCE(MALAYSIA) S/B"/>
    <s v="F-2HA"/>
    <s v="MYR"/>
    <n v="90"/>
    <s v="ea"/>
    <n v="1"/>
    <n v="0.06"/>
  </r>
  <r>
    <x v="1135"/>
    <s v="Bracket  34*20.6*26.6"/>
    <s v="Baumer"/>
    <n v="10113873"/>
    <s v="USD "/>
    <n v="5.75"/>
    <s v="ea"/>
    <n v="1"/>
    <n v="0.1"/>
  </r>
  <r>
    <x v="1136"/>
    <s v="AMPLIFIER FOR SENSOR"/>
    <s v="KEYENCE(MALAYSIA) S/B"/>
    <s v="FS-V1P"/>
    <s v="MYR"/>
    <n v="379.5"/>
    <s v="ea"/>
    <n v="1"/>
    <n v="0.06"/>
  </r>
  <r>
    <x v="1137"/>
    <s v="AMPLIFIER FOR SENSOR"/>
    <s v="KEYENCE(MALAYSIA) S/B"/>
    <s v="FS-T1P"/>
    <s v="MYR"/>
    <n v="279.75"/>
    <s v="ea"/>
    <n v="1"/>
    <n v="0.06"/>
  </r>
  <r>
    <x v="1138"/>
    <s v="AMPLIFIER FOR SENSOR"/>
    <s v="KEYENCE(MALAYSIA) S/B"/>
    <s v="FS-T2P"/>
    <s v="MYR"/>
    <n v="245.89"/>
    <s v="ea"/>
    <n v="1"/>
    <n v="0.06"/>
  </r>
  <r>
    <x v="1139"/>
    <s v="SENSOR-PHOTO REFLECTIVE"/>
    <s v="KEYENCE(MALAYSIA) S/B"/>
    <s v="FU-21X"/>
    <s v="MYR"/>
    <n v="208.5"/>
    <s v="ea"/>
    <n v="1"/>
    <n v="0.06"/>
  </r>
  <r>
    <x v="1140"/>
    <s v="SENSOR-PHOTO WITH FIBER FU-65X"/>
    <s v="KEYENCE(MALAYSIA) S/B"/>
    <s v="FU-65X"/>
    <s v="MYR"/>
    <n v="220"/>
    <s v="ea"/>
    <n v="1"/>
    <n v="0.06"/>
  </r>
  <r>
    <x v="1141"/>
    <s v="IFRM 04P15A1/L"/>
    <s v="Baumer"/>
    <n v="10144583"/>
    <s v="USD "/>
    <n v="24.35"/>
    <s v="ea"/>
    <n v="1"/>
    <n v="0.1"/>
  </r>
  <r>
    <x v="1142"/>
    <s v="ESG 09SV/405242"/>
    <s v="Baumer"/>
    <n v="10150306"/>
    <s v="USD "/>
    <n v="9.65"/>
    <s v="ea"/>
    <n v="1"/>
    <n v="0.1"/>
  </r>
  <r>
    <x v="1143"/>
    <s v="IFFM 08P1703/O1KS35L"/>
    <s v="Baumer"/>
    <n v="10129742"/>
    <s v="USD "/>
    <n v="86.4"/>
    <s v="ea"/>
    <n v="1"/>
    <n v="0.1"/>
  </r>
  <r>
    <x v="1144"/>
    <s v="IFRM 04P15A3/S35L"/>
    <s v="Baumer"/>
    <n v="10140391"/>
    <s v="USD "/>
    <n v="29.7"/>
    <s v="ea"/>
    <n v="1"/>
    <n v="0.1"/>
  </r>
  <r>
    <x v="1145"/>
    <s v="IFRM 06P3713/L"/>
    <s v="Baumer"/>
    <n v="10229697"/>
    <s v="USD "/>
    <n v="43.92"/>
    <s v="ea"/>
    <n v="1"/>
    <n v="0.1"/>
  </r>
  <r>
    <x v="1146"/>
    <s v="FHDK 10P3101/KS35"/>
    <s v="Baumer"/>
    <n v="10146074"/>
    <s v="USD "/>
    <n v="115.24"/>
    <s v="ea"/>
    <n v="1"/>
    <n v="0.1"/>
  </r>
  <r>
    <x v="1147"/>
    <s v="IFRM 08P17A3/S35L"/>
    <s v="Baumer"/>
    <n v="10138747"/>
    <s v="USD "/>
    <n v="61.3"/>
    <s v="ea"/>
    <n v="1"/>
    <n v="0.1"/>
  </r>
  <r>
    <x v="1148"/>
    <s v="NUT-HOUSING M6"/>
    <s v="Bossard"/>
    <s v="21100-004"/>
    <s v="MYR"/>
    <n v="0.48299999999999998"/>
    <s v="ea"/>
    <n v="100"/>
    <n v="0.06"/>
  </r>
  <r>
    <x v="1149"/>
    <s v="Hoffman 20110-105"/>
    <s v="Bossard"/>
    <s v="Hoffman 20110-105"/>
    <s v="MYR"/>
    <n v="1400"/>
    <s v="ea"/>
    <n v="6"/>
    <n v="0.06"/>
  </r>
  <r>
    <x v="1150"/>
    <s v="Comptec Case 4U 500D"/>
    <s v="Bossard"/>
    <s v="Hoffman 19&quot; 4U Grey"/>
    <s v="MYR"/>
    <n v="21"/>
    <s v="ea"/>
    <n v="1"/>
    <n v="0.06"/>
  </r>
  <r>
    <x v="1151"/>
    <s v="TY-RAP 7 PANDUIT PLT2I-M"/>
    <s v="Bossard"/>
    <s v="BN20473 PLT2I-M"/>
    <s v="MYR"/>
    <n v="0.214"/>
    <s v="ea"/>
    <n v="1000"/>
    <n v="0.06"/>
  </r>
  <r>
    <x v="1152"/>
    <s v="Cable ties PAN-TY® M natural"/>
    <s v="Bossard"/>
    <s v="PLT1M-M"/>
    <s v="MYR"/>
    <n v="0.13699999999999998"/>
    <s v="ea"/>
    <n v="1000"/>
    <n v="0.06"/>
  </r>
  <r>
    <x v="1153"/>
    <s v="Panduit MBMS-S10-MY"/>
    <s v="Bossard"/>
    <s v="BN91398 "/>
    <s v="MYR"/>
    <n v="0.63"/>
    <s v="ea"/>
    <n v="1000"/>
    <n v="0.06"/>
  </r>
  <r>
    <x v="1154"/>
    <s v="PLATE MTG ADH 1/2"/>
    <s v="Bossard"/>
    <s v="Panduit ABM1M-A-C"/>
    <s v="MYR"/>
    <n v="0.98699999999999999"/>
    <s v="ea"/>
    <n v="100"/>
    <n v="0.06"/>
  </r>
  <r>
    <x v="1155"/>
    <s v="STANDOFF,PCB,NYLON,M4X3/8 LG"/>
    <s v="Bossard"/>
    <s v="RICOH MSCBS-6-19"/>
    <s v="MYR"/>
    <n v="1.5449999999999999"/>
    <s v="ea"/>
    <n v="1000"/>
    <n v="0.06"/>
  </r>
  <r>
    <x v="1156"/>
    <s v="TYRAP 12&quot; STD"/>
    <s v="Bossard"/>
    <s v="Panduit PLT3s-C"/>
    <s v="MYR"/>
    <n v="0.65"/>
    <s v="ea"/>
    <n v="100"/>
    <n v="0.06"/>
  </r>
  <r>
    <x v="1157"/>
    <s v="E-RING,EXTERNAL,SS"/>
    <s v="Bossard"/>
    <s v="N/A"/>
    <s v="MYR"/>
    <n v="0.20600000000000002"/>
    <s v="ea"/>
    <n v="100"/>
    <n v="0.06"/>
  </r>
  <r>
    <x v="1158"/>
    <s v="CABLE TIE HOLDER, SCR MNT"/>
    <s v="Bossard"/>
    <s v="Richco FTH-24-1-01"/>
    <s v="MYR"/>
    <n v="1.8540000000000001"/>
    <s v="ea"/>
    <n v="500"/>
    <n v="0.06"/>
  </r>
  <r>
    <x v="1159"/>
    <s v="AMPLIFIER FOR SENSOR-READING COLOR"/>
    <s v="KEYENCE(MALAYSIA) S/B"/>
    <s v="CZ-K1P"/>
    <s v="MYR"/>
    <n v="1140.3"/>
    <s v="ea"/>
    <n v="1"/>
    <n v="0.06"/>
  </r>
  <r>
    <x v="1160"/>
    <s v="SENSOR-PHOTO THRU-BEAM MINI"/>
    <s v="KEYENCE(MALAYSIA) S/B"/>
    <s v="PS-52C"/>
    <s v="MYR"/>
    <n v="140"/>
    <s v="ea"/>
    <n v="1"/>
    <n v="0.06"/>
  </r>
  <r>
    <x v="1161"/>
    <s v="AMPLIFIER-PHOTO 12-24VDC"/>
    <s v="KEYENCE(MALAYSIA) S/B"/>
    <s v="PS-T2P"/>
    <s v="MYR"/>
    <n v="278.85000000000002"/>
    <s v="ea"/>
    <n v="1"/>
    <n v="0.06"/>
  </r>
  <r>
    <x v="1162"/>
    <s v="SENSOR-PHOTO BARRIER PS-55C"/>
    <s v="KEYENCE(MALAYSIA) S/B"/>
    <s v="PS-55C"/>
    <s v="MYR"/>
    <n v="142.5"/>
    <s v="ea"/>
    <n v="1"/>
    <n v="0.06"/>
  </r>
  <r>
    <x v="1163"/>
    <s v="AMPLIFIER FOR FIBER-OPTIC PNP"/>
    <s v="KEYENCE(MALAYSIA) S/B"/>
    <s v="FS-V11P"/>
    <s v="MYR"/>
    <n v="328.6"/>
    <s v="ea"/>
    <n v="1"/>
    <n v="0.06"/>
  </r>
  <r>
    <x v="1164"/>
    <s v="FSE 200C/508891"/>
    <s v="Baumer"/>
    <n v="10140679"/>
    <s v="USD "/>
    <n v="926.64"/>
    <s v="ea"/>
    <n v="1"/>
    <n v="0.1"/>
  </r>
  <r>
    <x v="1165"/>
    <s v="LENS FOR FIBER-OPTIC D=5 L=30MM"/>
    <s v="KEYENCE(MALAYSIA) S/B"/>
    <s v="F-5HA"/>
    <s v="MYR"/>
    <n v="183.57"/>
    <s v="ea"/>
    <n v="1"/>
    <n v="0.06"/>
  </r>
  <r>
    <x v="1166"/>
    <s v="SENSOR-INDUCTIVE D= 2.8 NPN"/>
    <s v="KEYENCE(MALAYSIA) S/B"/>
    <s v="EH-302"/>
    <s v="MYR"/>
    <n v="233.1"/>
    <s v="ea"/>
    <n v="1"/>
    <n v="0.06"/>
  </r>
  <r>
    <x v="1167"/>
    <s v="SENSOR-PHOTO REFLECTIVE"/>
    <s v="KEYENCE(MALAYSIA) S/B"/>
    <s v="FU-35FZ"/>
    <s v="MYR"/>
    <n v="180.5"/>
    <s v="ea"/>
    <n v="1"/>
    <n v="0.06"/>
  </r>
  <r>
    <x v="1168"/>
    <s v="SENSOR-PHOTO WITH FIBER FU-20"/>
    <s v="KEYENCE(MALAYSIA) S/B"/>
    <s v="FU-20"/>
    <s v="MYR"/>
    <n v="400"/>
    <s v="ea"/>
    <n v="1"/>
    <n v="0.06"/>
  </r>
  <r>
    <x v="1169"/>
    <s v="AMPLIFIER-INDUCTIVE 10-24 NPN"/>
    <s v="KEYENCE(MALAYSIA) S/B"/>
    <s v="ES-X38"/>
    <s v="MYR"/>
    <n v="389"/>
    <s v="ea"/>
    <n v="1"/>
    <n v="0.06"/>
  </r>
  <r>
    <x v="1170"/>
    <s v="FSE 200C4001"/>
    <s v="Baumer"/>
    <n v="10123471"/>
    <s v="USD "/>
    <n v="55.34"/>
    <s v="ea"/>
    <n v="1"/>
    <n v="0.1"/>
  </r>
  <r>
    <x v="1171"/>
    <s v="ESG 05SP0200"/>
    <s v="Baumer"/>
    <n v="10144020"/>
    <s v="USD "/>
    <n v="13.52"/>
    <s v="ea"/>
    <n v="1"/>
    <n v="0.1"/>
  </r>
  <r>
    <x v="1172"/>
    <s v="ESW 05SP0200"/>
    <s v="Baumer"/>
    <n v="10144022"/>
    <s v="USD "/>
    <n v="13.52"/>
    <s v="ea"/>
    <n v="1"/>
    <n v="0.1"/>
  </r>
  <r>
    <x v="1173"/>
    <s v="IFRM 04P15A3/S05L"/>
    <s v="Baumer"/>
    <n v="10144448"/>
    <s v="USD "/>
    <n v="24.14"/>
    <s v="ea"/>
    <n v="1"/>
    <n v="0.1"/>
  </r>
  <r>
    <x v="1174"/>
    <s v="FSE 100F6Y01"/>
    <s v="Baumer"/>
    <n v="10147826"/>
    <s v="USD "/>
    <n v="45.91"/>
    <s v="ea"/>
    <n v="1"/>
    <n v="0.1"/>
  </r>
  <r>
    <x v="1175"/>
    <s v="AMPLIFIER-PHOTO-ELECTRIC PNP SLAVE"/>
    <s v="KEYENCE(MALAYSIA) S/B"/>
    <s v="FS-V22RP"/>
    <s v="MYR"/>
    <n v="345.6"/>
    <s v="ea"/>
    <n v="1"/>
    <n v="0.06"/>
  </r>
  <r>
    <x v="1176"/>
    <s v="AMPLIFIER-PHOTO-ELECTRIC PNP MASTER"/>
    <s v="KEYENCE(MALAYSIA) S/B"/>
    <s v="FS-V21RP"/>
    <s v="MYR"/>
    <n v="315"/>
    <s v="ea"/>
    <n v="1"/>
    <n v="0.06"/>
  </r>
  <r>
    <x v="1177"/>
    <s v="OHDK 10P5101"/>
    <s v="Baumer"/>
    <n v="10132110"/>
    <s v="USD "/>
    <n v="310.07"/>
    <s v="ea"/>
    <n v="1"/>
    <n v="0.1"/>
  </r>
  <r>
    <x v="1178"/>
    <s v="OZDK 10P5101/S35A"/>
    <s v="Baumer"/>
    <n v="10136503"/>
    <s v="USD "/>
    <n v="285.22000000000003"/>
    <s v="ea"/>
    <n v="1"/>
    <n v="0.1"/>
  </r>
  <r>
    <x v="1179"/>
    <s v="FHCK 07P6901"/>
    <s v="Baumer"/>
    <n v="10148791"/>
    <s v="USD "/>
    <n v="87.11"/>
    <s v="ea"/>
    <n v="1"/>
    <n v="0.1"/>
  </r>
  <r>
    <x v="1180"/>
    <s v="FIBER-OPTIC D=1.00 L=1.00M"/>
    <s v="Baumer"/>
    <n v="10114158"/>
    <s v="USD "/>
    <n v="8.1999999999999993"/>
    <s v="ea"/>
    <n v="1"/>
    <n v="0.1"/>
  </r>
  <r>
    <x v="1181"/>
    <s v="FSE 100D4Y01"/>
    <s v="Baumer"/>
    <n v="10155986"/>
    <s v="USD "/>
    <n v="117.61"/>
    <s v="ea"/>
    <n v="1"/>
    <n v="0.1"/>
  </r>
  <r>
    <x v="1182"/>
    <s v="Reduction D 4.3/2.0 *21_x000a_fiber optics"/>
    <s v="Baumer"/>
    <n v="10140260"/>
    <s v="USD "/>
    <n v="8.77"/>
    <s v="ea"/>
    <n v="1"/>
    <n v="0.1"/>
  </r>
  <r>
    <x v="1183"/>
    <s v="IFRM 06P17A3/S35L"/>
    <s v="Baumer"/>
    <n v="10138763"/>
    <s v="USD "/>
    <n v="37.78"/>
    <s v="ea"/>
    <n v="1"/>
    <n v="0.1"/>
  </r>
  <r>
    <x v="1184"/>
    <s v="CABLE-CONNECTOR M5 MALE-RIGHT 2M"/>
    <s v="Baumer"/>
    <n v="10150991"/>
    <s v="USD "/>
    <n v="17.82"/>
    <s v="ea"/>
    <n v="1"/>
    <n v="0.1"/>
  </r>
  <r>
    <x v="1185"/>
    <s v="FHDK 07P6901/KS35A"/>
    <s v="Baumer"/>
    <n v="10149512"/>
    <s v="USD "/>
    <n v="140.16"/>
    <s v="ea"/>
    <n v="1"/>
    <n v="0.1"/>
  </r>
  <r>
    <x v="1186"/>
    <s v="ESG 05SP0500"/>
    <s v="Baumer"/>
    <n v="10144021"/>
    <s v="USD "/>
    <n v="15.82"/>
    <s v="ea"/>
    <n v="1"/>
    <n v="0.1"/>
  </r>
  <r>
    <x v="1187"/>
    <s v="IFFM 08P17A6/L"/>
    <s v="Baumer"/>
    <n v="10142377"/>
    <s v="USD "/>
    <n v="40.57"/>
    <s v="ea"/>
    <n v="1"/>
    <n v="0.1"/>
  </r>
  <r>
    <x v="1188"/>
    <s v="FIBER-OPTIC-ADJUSTABLE SPOT 10 TO 30MM"/>
    <s v="KEYENCE(MALAYSIA) S/B"/>
    <s v="FU-10"/>
    <s v="MYR"/>
    <n v="392"/>
    <s v="ea"/>
    <n v="1"/>
    <n v="0.06"/>
  </r>
  <r>
    <x v="1189"/>
    <s v="OHDM 12P6901/S35A"/>
    <s v="Baumer"/>
    <n v="10151381"/>
    <s v="USD "/>
    <n v="316.67"/>
    <s v="ea"/>
    <n v="1"/>
    <n v="0.1"/>
  </r>
  <r>
    <x v="1190"/>
    <s v="AMPLIFIER-PHOTO-ELECTRIC PNP MASTER M8"/>
    <s v="KEYENCE(MALAYSIA) S/B"/>
    <s v="FS-V33CP"/>
    <s v="MYR"/>
    <n v="340"/>
    <s v="ea"/>
    <n v="1"/>
    <n v="0.06"/>
  </r>
  <r>
    <x v="1191"/>
    <s v="CABLE AMPLI CONNECTOR M8 L=2M"/>
    <s v="KEYENCE(MALAYSIA) S/B"/>
    <s v="OP-73864"/>
    <s v="MYR"/>
    <n v="50"/>
    <s v="ea"/>
    <n v="1"/>
    <n v="0.06"/>
  </r>
  <r>
    <x v="1192"/>
    <s v="FSE 200C/509460"/>
    <s v="Baumer"/>
    <n v="10160406"/>
    <s v="USD "/>
    <n v="722.59"/>
    <s v="ea"/>
    <n v="1"/>
    <n v="0.1"/>
  </r>
  <r>
    <x v="1193"/>
    <s v="SUPPORT-AMPLIFIER KEYENCE"/>
    <s v="KEYENCE(MALAYSIA) S/B"/>
    <s v="OP-73880"/>
    <s v="MYR"/>
    <n v="9"/>
    <s v="ea"/>
    <n v="1"/>
    <n v="0.06"/>
  </r>
  <r>
    <x v="1194"/>
    <s v="IFRM 03P1505/CS35L"/>
    <s v="Baumer"/>
    <n v="10140294"/>
    <s v="USD "/>
    <n v="103.95"/>
    <s v="ea"/>
    <n v="1"/>
    <n v="0.1"/>
  </r>
  <r>
    <x v="1195"/>
    <s v="CASE-IONIZER SJ-M200 CONTROLLER"/>
    <s v="KEYENCE(MALAYSIA) S/B"/>
    <s v="SJ-M200"/>
    <s v="MYR"/>
    <n v="1162"/>
    <s v="ea"/>
    <n v="1"/>
    <n v="0.06"/>
  </r>
  <r>
    <x v="1196"/>
    <s v="FIBER-OPTIC FU-46"/>
    <s v="KEYENCE(MALAYSIA) S/B"/>
    <s v="FU-46"/>
    <s v="MYR"/>
    <n v="210"/>
    <s v="ea"/>
    <n v="1"/>
    <n v="0.06"/>
  </r>
  <r>
    <x v="1197"/>
    <s v="IONIZER SJ-MO20G (0.6M) HEAD"/>
    <s v="KEYENCE(MALAYSIA) S/B"/>
    <s v="SJ-MO20G (0.6M)"/>
    <s v="MYR"/>
    <n v="1828"/>
    <s v="ea"/>
    <n v="1"/>
    <n v="0.06"/>
  </r>
  <r>
    <x v="1198"/>
    <s v="TXG50"/>
    <s v="Baumer"/>
    <n v="11001879"/>
    <s v="USD "/>
    <n v="4696.66"/>
    <s v="ea"/>
    <n v="1"/>
    <n v="0.1"/>
  </r>
  <r>
    <x v="1199"/>
    <s v="ADAPTER-FIBER-OPTIC-SERIES FSV"/>
    <s v="KEYENCE(MALAYSIA) S/B"/>
    <s v="OP-26500"/>
    <s v="MYR"/>
    <n v="8.8000000000000007"/>
    <s v="ea"/>
    <n v="1"/>
    <n v="0.06"/>
  </r>
  <r>
    <x v="1200"/>
    <s v="AMPLIFIER-DISPLAY-DIGITAL"/>
    <s v="KEYENCE(MALAYSIA) S/B"/>
    <s v="FS-V32P"/>
    <s v="MYR"/>
    <n v="500"/>
    <s v="ea"/>
    <n v="1"/>
    <n v="0.06"/>
  </r>
  <r>
    <x v="1201"/>
    <s v="HEAD-SENSOR GV-H130"/>
    <s v="KEYENCE(MALAYSIA) S/B"/>
    <s v="GV-H130"/>
    <s v="MYR"/>
    <n v="1071"/>
    <s v="ea"/>
    <n v="1"/>
    <n v="0.06"/>
  </r>
  <r>
    <x v="1202"/>
    <s v="AMPLIFIER GV-21P"/>
    <s v="KEYENCE(MALAYSIA) S/B"/>
    <s v="GV-21P"/>
    <s v="MYR"/>
    <n v="805"/>
    <s v="ea"/>
    <n v="1"/>
    <n v="0.06"/>
  </r>
  <r>
    <x v="1203"/>
    <s v="AMPLIFIER-PHOTO-ELECT. NEO SLAVE"/>
    <s v="KEYENCE(MALAYSIA) S/B"/>
    <s v="FS-N12P"/>
    <s v="MYR"/>
    <n v="305"/>
    <s v="ea"/>
    <n v="1"/>
    <n v="0.06"/>
  </r>
  <r>
    <x v="1204"/>
    <s v="AMPLIFIER-PHOTO-ELECT. NEO SLAVE M8"/>
    <s v="KEYENCE(MALAYSIA) S/B"/>
    <s v="FS-N12CP"/>
    <s v="MYR"/>
    <n v="315"/>
    <s v="ea"/>
    <n v="1"/>
    <n v="0.06"/>
  </r>
  <r>
    <x v="1205"/>
    <s v="UNIT-TERMINAL-FOR-AMPLIFIER"/>
    <s v="KEYENCE(MALAYSIA) S/B"/>
    <s v="OP-26751"/>
    <s v="MYR"/>
    <n v="14.45"/>
    <s v="ea"/>
    <n v="1"/>
    <n v="0.06"/>
  </r>
  <r>
    <x v="1206"/>
    <s v="SPACER 6P. M5X20"/>
    <s v="Bossard"/>
    <s v="BN3318-M5X20-MALE/FEMELLE-ZP"/>
    <s v="MYR"/>
    <n v="0.8889999999999999"/>
    <s v="ea"/>
    <n v="100"/>
    <n v="0.06"/>
  </r>
  <r>
    <x v="1207"/>
    <s v="FVDK 10P66Y0"/>
    <s v="Baumer"/>
    <n v="11045445"/>
    <s v="USD "/>
    <n v="90.02"/>
    <s v="ea"/>
    <n v="1"/>
    <n v="0.1"/>
  </r>
  <r>
    <x v="1208"/>
    <s v="THERMOMETER-INFRARED (FT-H10)"/>
    <s v="KEYENCE(MALAYSIA) S/B"/>
    <s v="FT-H10"/>
    <s v="MYR"/>
    <n v="1400"/>
    <s v="ea"/>
    <n v="1"/>
    <n v="0.06"/>
  </r>
  <r>
    <x v="1209"/>
    <s v="AMPLI-THERMOMETER-INFRARED (FT-50AWP)"/>
    <s v="KEYENCE(MALAYSIA) S/B"/>
    <s v="FT-50AWP"/>
    <s v="MYR"/>
    <n v="1053"/>
    <s v="ea"/>
    <n v="1"/>
    <n v="0.06"/>
  </r>
  <r>
    <x v="1210"/>
    <s v="OZDK 10P5101"/>
    <s v="Baumer"/>
    <n v="10136501"/>
    <s v="USD "/>
    <n v="307.54000000000002"/>
    <s v="ea"/>
    <n v="1"/>
    <n v="0.1"/>
  </r>
  <r>
    <x v="1211"/>
    <s v="FVDK 10P66Y0/KS05"/>
    <s v="Baumer"/>
    <n v="11049577"/>
    <s v="USD "/>
    <n v="139.33000000000001"/>
    <s v="ea"/>
    <n v="1"/>
    <n v="0.1"/>
  </r>
  <r>
    <x v="1212"/>
    <s v="LENS-FOR-FIBER-OPTIC D=10.6 L=26MM"/>
    <s v="KEYENCE(MALAYSIA) S/B"/>
    <s v="F-6HA"/>
    <s v="MYR"/>
    <n v="240"/>
    <s v="ea"/>
    <n v="1"/>
    <n v="0.06"/>
  </r>
  <r>
    <x v="1213"/>
    <s v="AMPLIFIER-PHOTO-ELECT. NEO MASTER M8F"/>
    <s v="KEYENCE(MALAYSIA) S/B"/>
    <s v="FS-N11CP"/>
    <s v="MYR"/>
    <n v="320"/>
    <s v="ea"/>
    <n v="1"/>
    <n v="0.06"/>
  </r>
  <r>
    <x v="1214"/>
    <s v="PENN ENGINEERING , SO4-M3-6"/>
    <s v="Bossard"/>
    <s v="SO4-M3-6"/>
    <s v="MYR"/>
    <n v="1.3"/>
    <s v="ea"/>
    <n v="1000"/>
    <n v="0.06"/>
  </r>
  <r>
    <x v="1215"/>
    <s v="SCREW-CYL.HEAD SLOT. M 2X 8 ALL THR. ISO1207"/>
    <s v="Bossard"/>
    <s v="BN330 M2x8"/>
    <s v="MYR"/>
    <n v="0.22700000000000004"/>
    <s v="ea"/>
    <n v="200"/>
    <n v="0.06"/>
  </r>
  <r>
    <x v="1216"/>
    <s v="SCREW-HEADLESS-SLOTTED M2X3 BRASS DIN551 ISO4766"/>
    <s v="Bossard"/>
    <s v="BN1406 M2x3"/>
    <s v="MYR"/>
    <n v="0.26300000000000001"/>
    <s v="ea"/>
    <n v="100"/>
    <n v="0.06"/>
  </r>
  <r>
    <x v="1217"/>
    <s v="TRACK-GUIDING L=  45 1 CARRIAGE T=9"/>
    <s v="Schneeberger"/>
    <s v="MN9-45-G3-V0 + MNN9-G3"/>
    <s v="USD"/>
    <n v="37.031914893617028"/>
    <s v="ea"/>
    <n v="10"/>
    <n v="0.1"/>
  </r>
  <r>
    <x v="1218"/>
    <s v="WASHER-FOR-SCREW-COUNT.HEAD 4.3X12.5X3"/>
    <s v="Bossard"/>
    <s v="BN5389 1388606"/>
    <s v="MYR"/>
    <n v="0.629"/>
    <s v="ea"/>
    <n v="100"/>
    <n v="0.06"/>
  </r>
  <r>
    <x v="1219"/>
    <s v="WASHER-FOR-CREW-COUNT.HEAD 5.3X14.5X3.2"/>
    <s v="Bossard"/>
    <s v="BN5389 1388614"/>
    <s v="MYR"/>
    <n v="0.64899999999999991"/>
    <s v="ea"/>
    <n v="100"/>
    <n v="0.06"/>
  </r>
  <r>
    <x v="1220"/>
    <s v="Hex stand-offs int/ext thrd st znb, M5x50"/>
    <s v="Bossard"/>
    <s v="BN 3318, M5x50"/>
    <s v="MYR"/>
    <n v="2.4500000000000002"/>
    <s v="ea"/>
    <n v="100"/>
    <n v="0.06"/>
  </r>
  <r>
    <x v="1221"/>
    <s v="SCREW-HEADLESS HEX .F.P. M8x70 A.T. ISO4026"/>
    <s v="Bossard"/>
    <s v="BN 617 M8x70"/>
    <s v="MYR"/>
    <n v="2.5299999999999998"/>
    <s v="ea"/>
    <n v="100"/>
    <n v="0.06"/>
  </r>
  <r>
    <x v="1222"/>
    <s v="Hx so hd cp scr ful thrd ST12.9 ZNB D912"/>
    <s v="Bossard"/>
    <s v="BN11 M3 x 12"/>
    <s v="MYR"/>
    <n v="0.158"/>
    <s v="ea"/>
    <n v="100"/>
    <n v="0.06"/>
  </r>
  <r>
    <x v="1223"/>
    <s v="SCREW-COUNT.HEAD HEX. M 4X35 A.T."/>
    <s v="Bossard"/>
    <s v="DIN7991-BN616"/>
    <s v="MYR"/>
    <n v="0.379"/>
    <s v="ea"/>
    <n v="200"/>
    <n v="0.06"/>
  </r>
  <r>
    <x v="1224"/>
    <s v="SPACER-HEX. M3X 30 MALE/FEMALE"/>
    <s v="Bossard"/>
    <s v="BN3318"/>
    <s v="MYR"/>
    <n v="0.70799999999999996"/>
    <s v="ea"/>
    <n v="100"/>
    <n v="0.06"/>
  </r>
  <r>
    <x v="1225"/>
    <s v="SPACER-M5X60 6P-TAP-THREAD"/>
    <s v="Bossard"/>
    <s v="BN3318 M5X60"/>
    <s v="MYR"/>
    <n v="5.8260000000000005"/>
    <s v="ea"/>
    <n v="100"/>
    <n v="0.06"/>
  </r>
  <r>
    <x v="1226"/>
    <s v="Hx scr fine thrd ful thrd 8.8 znb D961"/>
    <s v="Bossard"/>
    <s v="BN40072 M12"/>
    <s v="MYR"/>
    <n v="3.36"/>
    <s v="ea"/>
    <n v="100"/>
    <n v="0.06"/>
  </r>
  <r>
    <x v="1227"/>
    <s v="Hex jam nut fine thrd st 04 znb D439B"/>
    <s v="Bossard"/>
    <s v="BN1207 M12"/>
    <s v="MYR"/>
    <n v="0.71400000000000008"/>
    <s v="ea"/>
    <n v="100"/>
    <n v="0.06"/>
  </r>
  <r>
    <x v="1228"/>
    <s v="RIVET BLIND MUSHROOM HEAD D=3.2 L=6"/>
    <s v="Bossard"/>
    <s v="BN922 TSPD 44 BS"/>
    <s v="MYR"/>
    <n v="0.41"/>
    <s v="ea"/>
    <n v="200"/>
    <n v="0.06"/>
  </r>
  <r>
    <x v="1229"/>
    <s v="Clinching nuts PEM CLS-M8-1"/>
    <s v="Bossard"/>
    <s v="BN20599"/>
    <s v="MYR"/>
    <n v="2.5310000000000001"/>
    <s v="ea"/>
    <n v="5000"/>
    <n v="0.06"/>
  </r>
  <r>
    <x v="1230"/>
    <s v="Clinching nuts PEM CLS-M6-1"/>
    <s v="Bossard"/>
    <s v="BN20599"/>
    <s v="MYR"/>
    <n v="1.155"/>
    <s v="ea"/>
    <n v="1000"/>
    <n v="0.06"/>
  </r>
  <r>
    <x v="1231"/>
    <s v="Self-clin nut PEM® CLS/CLSS st st"/>
    <s v="Bossard"/>
    <s v="CLS-M4-0"/>
    <s v="MYR"/>
    <n v="0.71400000000000008"/>
    <s v="ea"/>
    <n v="100"/>
    <n v="0.06"/>
  </r>
  <r>
    <x v="1232"/>
    <s v="SCREW-ULTRA-LOW HEAD HEX. M 2X 8 A.T. BN1206"/>
    <s v="Bossard"/>
    <s v="BN1206 M2x8"/>
    <s v="MYR"/>
    <n v="2.2999999999999998"/>
    <s v="ea"/>
    <n v="100"/>
    <n v="0.06"/>
  </r>
  <r>
    <x v="1233"/>
    <s v="SCREW-HEADLESS HEX.F.P. M3 X 14 A.T."/>
    <s v="Bossard"/>
    <s v="DIN913 - BN 617  1235567"/>
    <s v="MYR"/>
    <n v="0.11599999999999999"/>
    <s v="ea"/>
    <n v="100"/>
    <n v="0.06"/>
  </r>
  <r>
    <x v="1234"/>
    <s v="Threaded standoffs PEM BSOS-M3-10 "/>
    <s v="Bossard"/>
    <s v="BN20621"/>
    <s v="MYR"/>
    <n v="1.208"/>
    <s v="ea"/>
    <n v="4000"/>
    <n v="0.06"/>
  </r>
  <r>
    <x v="1235"/>
    <s v="NUT-WELDING M10"/>
    <s v="Bossard"/>
    <s v="BN193-M10/ART. 1097407"/>
    <s v="MYR"/>
    <n v="0.47300000000000003"/>
    <s v="ea"/>
    <n v="100"/>
    <n v="0.06"/>
  </r>
  <r>
    <x v="1236"/>
    <s v="Sltd set scr flat point st st A1 D551"/>
    <s v="Bossard"/>
    <s v="BN664 M5 x 25"/>
    <s v="MYR"/>
    <n v="0.82400000000000007"/>
    <s v="ea"/>
    <n v="100"/>
    <n v="0.06"/>
  </r>
  <r>
    <x v="1237"/>
    <s v="SCREW-HEADLESS HEX.F.P. M 4X12 A.T."/>
    <s v="Bossard"/>
    <s v="BN28 M4 x 12"/>
    <s v="MYR"/>
    <n v="0.21"/>
    <s v="ea"/>
    <n v="100"/>
    <n v="0.06"/>
  </r>
  <r>
    <x v="1238"/>
    <s v="Hex soc flt hd scr ful trd A2 D7991"/>
    <s v="Bossard"/>
    <s v="BN616 M3 x 14"/>
    <s v="MYR"/>
    <n v="0.67200000000000004"/>
    <s v="ea"/>
    <n v="100"/>
    <n v="0.06"/>
  </r>
  <r>
    <x v="1239"/>
    <s v="SSK43SSBS -  Stainless Countersunk Head POP® rivets"/>
    <s v="Bossard"/>
    <s v="SSK 43 SSBS "/>
    <s v="MYR"/>
    <n v="0.84499999999999997"/>
    <s v="ea"/>
    <n v="1000"/>
    <n v="0.06"/>
  </r>
  <r>
    <x v="1240"/>
    <s v="Blind rivets Standard, dome head, Stainless steel A2"/>
    <s v="Bossard"/>
    <s v="BN 1409, SSD 43 SSBS"/>
    <s v="MYR"/>
    <n v="0.82400000000000007"/>
    <s v="ea"/>
    <n v="100"/>
    <n v="0.06"/>
  </r>
  <r>
    <x v="1241"/>
    <s v="CARRIAGE-GUIDING MNNS7"/>
    <s v="Schneeberger"/>
    <s v="MNNS7-G3"/>
    <s v="USD"/>
    <n v="24.478723404255323"/>
    <s v="ea"/>
    <n v="10"/>
    <n v="0.1"/>
  </r>
  <r>
    <x v="1242"/>
    <s v="CARRIAGE-GUIDING MNNS9"/>
    <s v="Schneeberger"/>
    <s v="MNNS9-G3"/>
    <s v="USD"/>
    <n v="27.680851063829788"/>
    <s v="ea"/>
    <n v="10"/>
    <n v="0.1"/>
  </r>
  <r>
    <x v="1243"/>
    <s v="IR06.P02F-_x000a_F40.PO1Z.7SCV"/>
    <s v="Baumer"/>
    <n v="11119422"/>
    <s v="USD "/>
    <n v="75.91"/>
    <s v="ea"/>
    <n v="1"/>
    <n v="0.1"/>
  </r>
  <r>
    <x v="1244"/>
    <s v="TRACK-GUIDING-L=100"/>
    <s v="Schneeberger"/>
    <s v="MN7-100-G3-V0"/>
    <s v="USD"/>
    <n v="18.478723404255323"/>
    <s v="ea"/>
    <n v="10"/>
    <n v="0.1"/>
  </r>
  <r>
    <x v="1245"/>
    <s v="SCREW-CYL.HEAD-EXT-LOW HEX. M 2 X 4 A.T"/>
    <s v="Bossard"/>
    <s v="BN1206 M2 x 4"/>
    <s v="MYR"/>
    <n v="2.266"/>
    <s v="ea"/>
    <n v="100"/>
    <n v="0.06"/>
  </r>
  <r>
    <x v="1246"/>
    <s v="Hex standoff int+ext thrds PA black"/>
    <s v="Bossard"/>
    <s v="BN7375 M3 x 10"/>
    <s v="MYR"/>
    <n v="1.365"/>
    <s v="ea"/>
    <n v="100"/>
    <n v="0.06"/>
  </r>
  <r>
    <x v="1247"/>
    <s v="Hexagon nuts, ThinHexNuts, Stl14H,YellowZincPltd, DIN 80705, FineThread"/>
    <s v="Bossard"/>
    <s v="SA, M36x2(pitch)"/>
    <s v="MYR"/>
    <n v="49.35"/>
    <s v="ea"/>
    <n v="100"/>
    <n v="0.06"/>
  </r>
  <r>
    <x v="1248"/>
    <s v="Sltd cheese hd ma scr polyamide 6.6"/>
    <s v="Bossard"/>
    <s v="BN1061 M 3 x 8"/>
    <s v="MYR"/>
    <n v="0.158"/>
    <s v="ea"/>
    <n v="100"/>
    <n v="0.06"/>
  </r>
  <r>
    <x v="1249"/>
    <s v="Sltd flat hd mach scr polyamide 6.6"/>
    <s v="Bossard"/>
    <s v="BN1066 M 4 x 10"/>
    <s v="MYR"/>
    <n v="0.126"/>
    <s v="ea"/>
    <n v="100"/>
    <n v="0.06"/>
  </r>
  <r>
    <x v="1250"/>
    <s v="Sltd cheese hd ma scr polyamide 6.6 D84A"/>
    <s v="Bossard"/>
    <s v="BN1061 M6 x 8"/>
    <s v="MYR"/>
    <n v="0.26300000000000001"/>
    <s v="ea"/>
    <n v="100"/>
    <n v="0.06"/>
  </r>
  <r>
    <x v="1251"/>
    <s v="Threaded studs PEM FH-M5-15ZI"/>
    <s v="Bossard"/>
    <s v="BN20523 "/>
    <s v="MYR"/>
    <n v="0.26300000000000001"/>
    <s v="ea"/>
    <n v="2000"/>
    <n v="0.06"/>
  </r>
  <r>
    <x v="1252"/>
    <s v="Threaded studs PEM FH-M3-10ZI"/>
    <s v="Bossard"/>
    <s v="BN20523 "/>
    <s v="MYR"/>
    <n v="0.18899999999999997"/>
    <s v="ea"/>
    <n v="5000"/>
    <n v="0.06"/>
  </r>
  <r>
    <x v="1253"/>
    <s v="Hex standoffs int/ext thrds st znb"/>
    <s v="Bossard"/>
    <s v="BN3318 M6 x 50"/>
    <s v="MYR"/>
    <n v="2.3359999999999999"/>
    <s v="ea"/>
    <n v="100"/>
    <n v="0.06"/>
  </r>
  <r>
    <x v="1254"/>
    <s v="Hex standoffs int/ext thrds st znb"/>
    <s v="Bossard"/>
    <s v="BN3318 M6 x 80"/>
    <s v="MYR"/>
    <n v="3.5010000000000003"/>
    <s v="ea"/>
    <n v="100"/>
    <n v="0.06"/>
  </r>
  <r>
    <x v="1255"/>
    <s v="Hex soc flt hd scr ful trd A4 D7991"/>
    <s v="Bossard"/>
    <s v="BN4719 M6 x 50"/>
    <s v="MYR"/>
    <n v="1.05"/>
    <s v="ea"/>
    <n v="100"/>
    <n v="0.06"/>
  </r>
  <r>
    <x v="1256"/>
    <s v="CAPS-COVER-HEX-M6 BLACK"/>
    <s v="Bossard"/>
    <s v="BN1094 M6"/>
    <s v="MYR"/>
    <n v="0.17"/>
    <s v="ea"/>
    <n v="200"/>
    <n v="0.06"/>
  </r>
  <r>
    <x v="1257"/>
    <s v="Hx soc hd cp scr ful thrd ST8.8 ZNB D912"/>
    <s v="Bossard"/>
    <s v="BN3 M12 x 25"/>
    <s v="MYR"/>
    <n v="0.78799999999999992"/>
    <s v="ea"/>
    <n v="100"/>
    <n v="0.06"/>
  </r>
  <r>
    <x v="1258"/>
    <s v="Elesa® products - TubularHandles-M.1043/20-300-SST"/>
    <s v="Bossard"/>
    <s v="Elesa 37632"/>
    <s v="MYR"/>
    <n v="262.5"/>
    <s v="ea"/>
    <n v="6"/>
    <n v="0.06"/>
  </r>
  <r>
    <x v="1259"/>
    <s v="Hex soc flt hd scr ful trd A2 D7991"/>
    <s v="Bossard"/>
    <s v="BN616 M 4 x 40/40"/>
    <s v="MYR"/>
    <n v="0.377"/>
    <s v="ea"/>
    <n v="100"/>
    <n v="0.06"/>
  </r>
  <r>
    <x v="1260"/>
    <s v="IFRM 04P17A1/PL"/>
    <s v="Baumer"/>
    <n v="11082448"/>
    <s v="USD "/>
    <n v="32.67"/>
    <s v="ea"/>
    <n v="1"/>
    <n v="0.1"/>
  </r>
  <r>
    <x v="1261"/>
    <s v="SCREW HEAD MILLED SLOT M1 X 6 ALL THR"/>
    <s v="Bossard"/>
    <s v="BN650 M1x6"/>
    <s v="MYR"/>
    <n v="0.158"/>
    <s v="ea"/>
    <n v="100"/>
    <n v="0.06"/>
  </r>
  <r>
    <x v="1262"/>
    <s v="SCREW-CYL.HEAD SLOT. M1.2X 3 ALL THR."/>
    <s v="Bossard"/>
    <s v="BN650 M1.2x3"/>
    <s v="MYR"/>
    <n v="0.26300000000000001"/>
    <s v="ea"/>
    <n v="100"/>
    <n v="0.06"/>
  </r>
  <r>
    <x v="1263"/>
    <s v="SCREW-HEX.HEAD CAP M 10X60 ALL THR."/>
    <s v="Bossard"/>
    <s v="BN71 M10x60"/>
    <s v="MYR"/>
    <n v="1.89"/>
    <s v="ea"/>
    <n v="100"/>
    <n v="0.06"/>
  </r>
  <r>
    <x v="1264"/>
    <s v="SCREW-HEX.HEAD CAP M6X35 ALL THR. FLANG"/>
    <s v="Bossard"/>
    <s v="BN1392 M6x35"/>
    <s v="MYR"/>
    <n v="1.05"/>
    <s v="ea"/>
    <n v="100"/>
    <n v="0.06"/>
  </r>
  <r>
    <x v="1265"/>
    <s v="SCREW-CYL.HEAD HEX. M1.6X 12 A.T."/>
    <s v="Bossard"/>
    <s v="BN612 M1.6x12"/>
    <s v="MYR"/>
    <n v="0.315"/>
    <s v="ea"/>
    <n v="100"/>
    <n v="0.06"/>
  </r>
  <r>
    <x v="1266"/>
    <s v="TABLE MICRO ON BEARING BALL STROKE=20MM"/>
    <s v="Schneeberger"/>
    <s v="NDN05.25-20"/>
    <s v="USD"/>
    <n v="160.76595744680853"/>
    <s v="ea"/>
    <n v="2"/>
    <n v="0.1"/>
  </r>
  <r>
    <x v="1267"/>
    <s v="TRACK GUIDING MN9 L= 455 T=9"/>
    <s v="Schneeberger"/>
    <s v="MN9-455-G1-V1"/>
    <s v="USD"/>
    <n v="94.5"/>
    <s v="ea"/>
    <n v="4"/>
    <n v="0.1"/>
  </r>
  <r>
    <x v="1268"/>
    <s v="TRACK GUIDING MN24 L= 650 T=24"/>
    <s v="Schneeberger"/>
    <s v="MN24-650-15-35-G1-V1"/>
    <s v="USD"/>
    <n v="216.11702127659575"/>
    <s v="ea"/>
    <n v="2"/>
    <n v="0.1"/>
  </r>
  <r>
    <x v="1269"/>
    <s v="TRACK-GUIDING MN9 L= 682 T=9"/>
    <s v="Schneeberger"/>
    <s v="MN9-682-7.5-14.5-G3-V0"/>
    <s v="USD"/>
    <n v="140.2340425531915"/>
    <s v="ea"/>
    <n v="4"/>
    <n v="0.1"/>
  </r>
  <r>
    <x v="1270"/>
    <s v="Hx so hd cp scr prt td ST12.9 BLACK D912"/>
    <s v="Bossard"/>
    <s v="BN8 M4 x 65"/>
    <s v="MYR"/>
    <n v="0.73499999999999999"/>
    <s v="ea"/>
    <n v="100"/>
    <n v="0.06"/>
  </r>
  <r>
    <x v="1271"/>
    <s v="CARRIAGE BALL MNN T=24 LUBE-S"/>
    <s v="Schneeberger"/>
    <s v="MNN-LS-24-G1"/>
    <s v="USD"/>
    <n v="79.819148936170222"/>
    <s v="ea"/>
    <n v="4"/>
    <n v="0.1"/>
  </r>
  <r>
    <x v="1272"/>
    <s v="CARRIAGE GUIDING MNNS9 PRELOADED LUBE-S"/>
    <s v="Schneeberger"/>
    <s v="MNNS-LS-09-G1"/>
    <s v="USD"/>
    <n v="51.031914893617021"/>
    <s v="ea"/>
    <n v="4"/>
    <n v="0.1"/>
  </r>
  <r>
    <x v="1273"/>
    <s v="Hex standoffs with int thrds st znb"/>
    <s v="Bossard"/>
    <s v="BN3319 M5 x 20"/>
    <s v="MYR"/>
    <n v="1.7"/>
    <s v="ea"/>
    <n v="100"/>
    <n v="0.06"/>
  </r>
  <r>
    <x v="1274"/>
    <s v="PIN-PARALLEL D= 5.00H8X 30"/>
    <s v="Bossard"/>
    <s v="BN684 5x30"/>
    <s v="MYR"/>
    <n v="0.7"/>
    <s v="ea"/>
    <n v="100"/>
    <n v="0.06"/>
  </r>
  <r>
    <x v="1275"/>
    <s v="SCREW-CYL HEAD HEXA M5 X16 ALL THR"/>
    <s v="Bossard"/>
    <s v="DIN 912 BN1419"/>
    <s v="MYR"/>
    <n v="0.315"/>
    <s v="ea"/>
    <n v="100"/>
    <n v="0.06"/>
  </r>
  <r>
    <x v="1276"/>
    <s v="SCREW-CYL HEAD HEXA M6X16 ALL THR"/>
    <s v="Bossard"/>
    <s v="DIN 912 BN1419"/>
    <s v="MYR"/>
    <n v="0.46200000000000002"/>
    <s v="ea"/>
    <n v="100"/>
    <n v="0.06"/>
  </r>
  <r>
    <x v="1277"/>
    <s v="IR08.P03S-F46.PO1Z.7SL"/>
    <s v="Baumer"/>
    <n v="11148757"/>
    <s v="USD "/>
    <n v="82.8"/>
    <s v="ea"/>
    <n v="1"/>
    <n v="0.1"/>
  </r>
  <r>
    <x v="1278"/>
    <s v="SCREW-CYL.HEAD-EXT-LOW HEX. M 2 X10 A.T."/>
    <s v="Bossard"/>
    <s v="BN1206 M2 x 10"/>
    <s v="MYR"/>
    <n v="2.7810000000000001"/>
    <s v="ea"/>
    <n v="100"/>
    <n v="0.06"/>
  </r>
  <r>
    <x v="1279"/>
    <s v="Bushing Threaded M3"/>
    <s v="Bossard"/>
    <s v="BN 1936 M3"/>
    <s v="MYR"/>
    <n v="0.46399999999999997"/>
    <s v="ea"/>
    <n v="100"/>
    <n v="0.06"/>
  </r>
  <r>
    <x v="1280"/>
    <s v="SCREW-CYL.HEAD HEXA. M5X25 ALL THR"/>
    <s v="Bossard"/>
    <s v="DIN912 BN1419"/>
    <s v="MYR"/>
    <n v="0.41200000000000003"/>
    <s v="ea"/>
    <n v="100"/>
    <n v="0.06"/>
  </r>
  <r>
    <x v="1281"/>
    <s v="WASHER FLAT"/>
    <s v="Bossard"/>
    <s v="BOSSARD / 6173483"/>
    <s v="MYR"/>
    <n v="2.4"/>
    <s v="ea"/>
    <n v="100"/>
    <n v="0.06"/>
  </r>
  <r>
    <x v="1282"/>
    <s v="KNCM 4.0.7"/>
    <s v="Bossard"/>
    <s v="Keensert"/>
    <s v="MYR"/>
    <n v="35.020000000000003"/>
    <s v="ea"/>
    <n v="100"/>
    <n v="0.06"/>
  </r>
  <r>
    <x v="1283"/>
    <s v="WASHER SPRING LOCK M4"/>
    <s v="Bossard"/>
    <s v="N/A"/>
    <s v="MYR"/>
    <n v="0.105"/>
    <s v="ea"/>
    <n v="200"/>
    <n v="0.06"/>
  </r>
  <r>
    <x v="1284"/>
    <s v="Hex socket set screws"/>
    <s v="Bossard"/>
    <s v="BN621 M3x10"/>
    <s v="MYR"/>
    <n v="0.14699999999999999"/>
    <s v="ea"/>
    <n v="100"/>
    <n v="0.06"/>
  </r>
  <r>
    <x v="1285"/>
    <s v="WASHER LOCK M6 SS"/>
    <s v="Bossard"/>
    <s v="DIN7980 A2 BN5258"/>
    <s v="MYR"/>
    <n v="0.111"/>
    <s v="ea"/>
    <n v="100"/>
    <n v="0.06"/>
  </r>
  <r>
    <x v="1286"/>
    <s v=" WASHER #8 - 6173110"/>
    <s v="Bossard"/>
    <s v="McMaster 93501A009"/>
    <s v="MYR"/>
    <n v="0.8919999999999999"/>
    <s v="ea"/>
    <n v="100"/>
    <n v="0.06"/>
  </r>
  <r>
    <x v="1287"/>
    <s v="NUT 6-32 SS KEPS"/>
    <s v="Bossard"/>
    <s v="6CNKES"/>
    <s v="MYR"/>
    <n v="0.71299999999999997"/>
    <s v="ea"/>
    <n v="100"/>
    <n v="0.06"/>
  </r>
  <r>
    <x v="1288"/>
    <s v="SCREW,SET M3 X 3MM L,SS"/>
    <s v="Bossard"/>
    <s v="BN621 M3x3"/>
    <s v="MYR"/>
    <n v="0.17600000000000002"/>
    <s v="ea"/>
    <n v="100"/>
    <n v="0.06"/>
  </r>
  <r>
    <x v="1289"/>
    <s v="SCREW SET M3X5 - 1180045"/>
    <s v="Bossard"/>
    <s v="DIN916 A4 BN4721"/>
    <s v="MYR"/>
    <n v="0.191"/>
    <s v="ea"/>
    <n v="100"/>
    <n v="0.06"/>
  </r>
  <r>
    <x v="1290"/>
    <s v="WASHER LOCK M3 SST"/>
    <s v="Bossard"/>
    <s v="BN 5258 M3"/>
    <s v="MYR"/>
    <n v="2.1000000000000001E-2"/>
    <s v="ea"/>
    <n v="200"/>
    <n v="0.06"/>
  </r>
  <r>
    <x v="1291"/>
    <s v="SCREW,NYLON, FH440 X 0.25"/>
    <s v="Bossard"/>
    <s v="N/A"/>
    <s v="MYR"/>
    <n v="0.46399999999999997"/>
    <s v="ea"/>
    <n v="500"/>
    <n v="0.06"/>
  </r>
  <r>
    <x v="1292"/>
    <s v="SCREW,NYLON, FH440 X .4375"/>
    <s v="Bossard"/>
    <s v="N/A"/>
    <s v="MYR"/>
    <n v="0.67"/>
    <s v="ea"/>
    <n v="500"/>
    <n v="0.06"/>
  </r>
  <r>
    <x v="1293"/>
    <s v="NUT  M6  LOCK  NYLON"/>
    <s v="Bossard"/>
    <s v="93625A250"/>
    <s v="MYR"/>
    <n v="0.27500000000000002"/>
    <s v="ea"/>
    <n v="100"/>
    <n v="0.06"/>
  </r>
  <r>
    <x v="1294"/>
    <s v="NUT NYLON M3 18-8 SS"/>
    <s v="Bossard"/>
    <s v="DIN985 A2 BN 637"/>
    <s v="MYR"/>
    <n v="0.43"/>
    <s v="ea"/>
    <n v="100"/>
    <n v="0.06"/>
  </r>
  <r>
    <x v="1295"/>
    <s v="WASHER M6 - 2065967"/>
    <s v="Bossard"/>
    <s v="DIN6796 A2 BN2312"/>
    <s v="MYR"/>
    <n v="0.55000000000000004"/>
    <s v="ea"/>
    <n v="200"/>
    <n v="0.06"/>
  </r>
  <r>
    <x v="1296"/>
    <s v="WASHER FLAT #4 - 6173579"/>
    <s v="Bossard"/>
    <s v="Keystone 3359"/>
    <s v="MYR"/>
    <n v="0.99199999999999988"/>
    <s v="ea"/>
    <n v="100"/>
    <n v="0.06"/>
  </r>
  <r>
    <x v="1297"/>
    <s v="SCREW MACH 4-40 - 6173580"/>
    <s v="Bossard"/>
    <n v="6173580"/>
    <s v="MYR"/>
    <n v="0.504"/>
    <s v="ea"/>
    <n v="100"/>
    <n v="0.06"/>
  </r>
  <r>
    <x v="1298"/>
    <s v="SPACER,NYLON,M3X4MM"/>
    <s v="Bossard"/>
    <s v="N/A"/>
    <s v="MYR"/>
    <n v="0.67"/>
    <s v="ea"/>
    <n v="100"/>
    <n v="0.06"/>
  </r>
  <r>
    <x v="1299"/>
    <s v="SCREW SET M6-1.0X5MM CUP PT SS"/>
    <s v="Bossard"/>
    <s v="N/A"/>
    <s v="MYR"/>
    <n v="0.158"/>
    <s v="ea"/>
    <n v="100"/>
    <n v="0.06"/>
  </r>
  <r>
    <x v="1300"/>
    <s v="NUT LOCKING - 6173581"/>
    <s v="Bossard"/>
    <s v="Pneumadyne RLN-40"/>
    <s v="MYR"/>
    <n v="36.006999999999998"/>
    <s v="ea"/>
    <n v="10"/>
    <n v="0.06"/>
  </r>
  <r>
    <x v="1301"/>
    <s v="SCREW M4-0.7 X 80MM SS SHC"/>
    <s v="Bossard"/>
    <s v="N/A"/>
    <s v="MYR"/>
    <n v="2.2050000000000001"/>
    <s v="ea"/>
    <n v="100"/>
    <n v="0.06"/>
  </r>
  <r>
    <x v="1302"/>
    <s v="CUP POINT SET SCREW,M3 4MM L"/>
    <s v="Bossard"/>
    <s v="N/A"/>
    <s v="MYR"/>
    <n v="0.19900000000000001"/>
    <s v="ea"/>
    <n v="100"/>
    <n v="0.06"/>
  </r>
  <r>
    <x v="1303"/>
    <s v="NUT HEX LOCKING M5-.8-6H SS"/>
    <s v="Bossard"/>
    <s v="BN1722 M5"/>
    <s v="MYR"/>
    <n v="0.53500000000000003"/>
    <s v="ea"/>
    <n v="100"/>
    <n v="0.06"/>
  </r>
  <r>
    <x v="1304"/>
    <s v="SCREW  SET  CONE M2.5X3  SS"/>
    <s v="Bossard"/>
    <s v="BN618 M2.5x 3"/>
    <s v="MYR"/>
    <n v="0.94799999999999995"/>
    <s v="ea"/>
    <n v="100"/>
    <n v="0.06"/>
  </r>
  <r>
    <x v="1305"/>
    <s v="SCREW  SET  CONE M2.5X8  SS"/>
    <s v="Bossard"/>
    <s v="BN618 M2.5x 8"/>
    <s v="MYR"/>
    <n v="1.133"/>
    <s v="ea"/>
    <n v="100"/>
    <n v="0.06"/>
  </r>
  <r>
    <x v="1306"/>
    <s v="WASHER M3 - 1486799"/>
    <s v="Bossard"/>
    <s v="DIN6797A A2 BN2842"/>
    <s v="MYR"/>
    <n v="0.04"/>
    <s v="ea"/>
    <n v="200"/>
    <n v="0.06"/>
  </r>
  <r>
    <x v="1307"/>
    <s v="WASHERMEXT STAR M4 18-8 SS"/>
    <s v="Bossard"/>
    <s v="DIN6797A A2 BN2842"/>
    <s v="MYR"/>
    <n v="5.0999999999999997E-2"/>
    <s v="ea"/>
    <n v="200"/>
    <n v="0.06"/>
  </r>
  <r>
    <x v="1308"/>
    <s v="SCREW M3X25 - 1100114"/>
    <s v="Bossard"/>
    <s v="DIN7991 A4 BN4719"/>
    <s v="MYR"/>
    <n v="0.155"/>
    <s v="ea"/>
    <n v="100"/>
    <n v="0.06"/>
  </r>
  <r>
    <x v="1309"/>
    <s v="Pozi cheese hd thrd form screws znb D7500"/>
    <s v="Bossard"/>
    <s v="BN2723 M3 x 6"/>
    <s v="MYR"/>
    <n v="0.20600000000000002"/>
    <s v="ea"/>
    <n v="100"/>
    <n v="0.06"/>
  </r>
  <r>
    <x v="1310"/>
    <s v="SCREW M12X55MM SS HEX"/>
    <s v="Bossard"/>
    <s v="91287A395"/>
    <s v="MYR"/>
    <n v="6.9230000000000009"/>
    <s v="ea"/>
    <n v="50"/>
    <n v="0.06"/>
  </r>
  <r>
    <x v="1311"/>
    <s v="WASHER EXT STAR M5 SS"/>
    <s v="Bossard"/>
    <s v="BN2842 M5"/>
    <s v="MYR"/>
    <n v="0.158"/>
    <s v="ea"/>
    <n v="100"/>
    <n v="0.06"/>
  </r>
  <r>
    <x v="1312"/>
    <s v="WASHER EXT STAR M6 SS"/>
    <s v="Bossard"/>
    <s v="BN2842 M6"/>
    <s v="MYR"/>
    <n v="0.158"/>
    <s v="ea"/>
    <n v="100"/>
    <n v="0.06"/>
  </r>
  <r>
    <x v="1313"/>
    <s v="SETSCR,M4X6MML,18-8 SS,CUP PT"/>
    <s v="Bossard"/>
    <s v="N/A"/>
    <s v="MYR"/>
    <n v="8.299999999999999E-2"/>
    <s v="ea"/>
    <n v="100"/>
    <n v="0.06"/>
  </r>
  <r>
    <x v="1314"/>
    <s v="SCREW M10X40 - 1032860"/>
    <s v="Bossard"/>
    <s v="DIN912 A2 BN610"/>
    <s v="MYR"/>
    <n v="3.4920000000000004"/>
    <s v="ea"/>
    <n v="100"/>
    <n v="0.06"/>
  </r>
  <r>
    <x v="1315"/>
    <s v="WASHER 17X30X3 - 1253271"/>
    <s v="Bossard"/>
    <s v="DIN125A A2 BN670"/>
    <s v="MYR"/>
    <n v="1.0119999999999998"/>
    <s v="ea"/>
    <n v="100"/>
    <n v="0.06"/>
  </r>
  <r>
    <x v="1316"/>
    <s v="WASHER SHIM - 6173583"/>
    <s v="Bossard"/>
    <s v="McMaster 97669A200"/>
    <s v="MYR"/>
    <n v="2.5449999999999999"/>
    <s v="ea"/>
    <n v="100"/>
    <n v="0.06"/>
  </r>
  <r>
    <x v="1317"/>
    <s v="Zoro Sealing Washer"/>
    <s v="Bossard"/>
    <s v="Zoro G0984767"/>
    <s v="MYR"/>
    <n v="2.1"/>
    <s v="ea"/>
    <n v="200"/>
    <n v="0.06"/>
  </r>
  <r>
    <x v="1318"/>
    <s v="SCREW SET  M3x0.5x3mmL  FLAT"/>
    <s v="Bossard"/>
    <s v="BN617 M3x3"/>
    <s v="MYR"/>
    <n v="7.3999999999999996E-2"/>
    <s v="ea"/>
    <n v="100"/>
    <n v="0.06"/>
  </r>
  <r>
    <x v="1319"/>
    <s v="SCREW  FLANGED  M4  8MM L "/>
    <s v="Bossard"/>
    <s v="N/A"/>
    <s v="MYR"/>
    <n v="0.441"/>
    <s v="ea"/>
    <n v="100"/>
    <n v="0.06"/>
  </r>
  <r>
    <x v="1320"/>
    <s v="SCR M3 X 35MM SS PHP"/>
    <s v="Bossard"/>
    <s v="N/A"/>
    <s v="MYR"/>
    <n v="0.24200000000000002"/>
    <s v="ea"/>
    <n v="100"/>
    <n v="0.06"/>
  </r>
  <r>
    <x v="1321"/>
    <s v="Set scews uncon. slot polyamide 6.6"/>
    <s v="Bossard"/>
    <s v="BN1073 M6 x 5"/>
    <s v="MYR"/>
    <n v="0.34"/>
    <s v="ea"/>
    <n v="100"/>
    <n v="0.06"/>
  </r>
  <r>
    <x v="1322"/>
    <s v="Hx soc hd cp scr ful thrd st st A2 D912"/>
    <s v="Bossard"/>
    <s v="BN610 M10 x 35"/>
    <s v="MYR"/>
    <n v="1.7849999999999999"/>
    <s v="ea"/>
    <n v="100"/>
    <n v="0.06"/>
  </r>
  <r>
    <x v="1323"/>
    <s v="Hx so hd cp scr prt td ST12.9 BLACK D912"/>
    <s v="Bossard"/>
    <s v="BN8 M4 x 55"/>
    <s v="MYR"/>
    <n v="0.94499999999999995"/>
    <s v="ea"/>
    <n v="100"/>
    <n v="0.06"/>
  </r>
  <r>
    <x v="1324"/>
    <s v="SCREW,M4X0.7X45, STBO"/>
    <s v="Bossard"/>
    <s v="BN 7"/>
    <s v="MYR"/>
    <n v="0.61799999999999999"/>
    <s v="ea"/>
    <n v="100"/>
    <n v="0.06"/>
  </r>
  <r>
    <x v="1325"/>
    <s v="SCREW-BALL-MODIFIED"/>
    <s v="Schneeberger"/>
    <s v="KGT-Z-08-02-36-32.5-O-IT5"/>
    <s v="USD"/>
    <n v="245.74468085106383"/>
    <s v="ea"/>
    <n v="4"/>
    <n v="0.1"/>
  </r>
  <r>
    <x v="1326"/>
    <s v="Spacer-M8x60 Female-Female"/>
    <s v="Bossard"/>
    <s v="N/A"/>
    <s v="MYR"/>
    <n v="1.05"/>
    <s v="ea"/>
    <n v="100"/>
    <n v="0.06"/>
  </r>
  <r>
    <x v="1327"/>
    <s v="Panduit TTC19Y-2.5"/>
    <s v="Bossard"/>
    <s v="Panduit TTC19Y-2.5"/>
    <s v="MYR"/>
    <n v="0.26800000000000002"/>
    <s v="ea"/>
    <n v="2500"/>
    <n v="0.06"/>
  </r>
  <r>
    <x v="1328"/>
    <s v="SENSOR-FIBER-HEAD"/>
    <s v="KEYENCE(MALAYSIA) S/B"/>
    <s v="FU-58"/>
    <s v="MYR"/>
    <n v="273.75"/>
    <s v="ea"/>
    <n v="1"/>
    <n v="0.06"/>
  </r>
  <r>
    <x v="1329"/>
    <s v="SENSOR-FIBER OPTIC"/>
    <s v="KEYENCE(MALAYSIA) S/B"/>
    <s v="FU-45X"/>
    <s v="MYR"/>
    <n v="186.6"/>
    <s v="ea"/>
    <n v="1"/>
    <n v="0.06"/>
  </r>
  <r>
    <x v="1330"/>
    <s v="NUT-HEX. 0.8D M12"/>
    <s v="Bossard"/>
    <s v="DIN934 ZP KL.8"/>
    <s v="MYR"/>
    <n v="0.19900000000000001"/>
    <s v="ea"/>
    <n v="100"/>
    <n v="0.06"/>
  </r>
  <r>
    <x v="1331"/>
    <s v="HEAD-SENSOR GV-H45"/>
    <s v="KEYENCE(MALAYSIA) S/B"/>
    <s v="N/A"/>
    <s v="MYR"/>
    <n v="233.1"/>
    <s v="ea"/>
    <n v="1"/>
    <n v="0.06"/>
  </r>
  <r>
    <x v="1332"/>
    <s v="BUSHING-THREADED M 5"/>
    <s v="Bossard"/>
    <s v="BN 1047"/>
    <s v="MYR"/>
    <n v="0.65899999999999992"/>
    <s v="ea"/>
    <n v="100"/>
    <n v="0.06"/>
  </r>
  <r>
    <x v="1333"/>
    <s v="BUSHING THREADED BUSH M2"/>
    <s v="Bossard"/>
    <s v="BN1054 M2"/>
    <s v="MYR"/>
    <n v="0.315"/>
    <s v="ea"/>
    <n v="100"/>
    <n v="0.06"/>
  </r>
  <r>
    <x v="1334"/>
    <s v="Hex Socket Flat  Countersunk Head screws fully threaded SS A2 "/>
    <s v="Bossard"/>
    <s v="DIN7991 M4x18"/>
    <s v="MYR"/>
    <n v="0.40200000000000002"/>
    <s v="ea"/>
    <n v="100"/>
    <n v="0.06"/>
  </r>
  <r>
    <x v="1335"/>
    <s v="MOUNT,CABLE TIE,M2 SCR"/>
    <s v="Bossard"/>
    <s v="LPMM-S2-C"/>
    <s v="MYR"/>
    <n v="1.0609999999999999"/>
    <s v="ea"/>
    <n v="100"/>
    <n v="0.06"/>
  </r>
  <r>
    <x v="1336"/>
    <s v="SENSOR,INDUCTIVE-NPN,N/O"/>
    <s v="Baumer"/>
    <n v="10142863"/>
    <s v="USD "/>
    <n v="59.4"/>
    <s v="ea"/>
    <n v="1"/>
    <n v="0.1"/>
  </r>
  <r>
    <x v="1337"/>
    <s v="RICHCO Product"/>
    <s v="Bossard"/>
    <s v="TC-30-1"/>
    <s v="MYR"/>
    <n v="0.82400000000000007"/>
    <s v="ea"/>
    <n v="1000"/>
    <n v="0.06"/>
  </r>
  <r>
    <x v="1338"/>
    <s v="SCREW-CYL.HEAD HEX. M2.5x 5 A.T."/>
    <s v="Bossard"/>
    <s v="DIN912-BN610 (A2)"/>
    <s v="MYR"/>
    <n v="0.33200000000000002"/>
    <s v="ea"/>
    <n v="100"/>
    <n v="0.06"/>
  </r>
  <r>
    <x v="1339"/>
    <s v="SCREW-CYL.HEAD HEX. M2.5X18 A.T."/>
    <s v="Bossard"/>
    <s v="DIN 912 BN612"/>
    <s v="MYR"/>
    <n v="1.1399999999999999"/>
    <s v="ea"/>
    <n v="100"/>
    <n v="0.06"/>
  </r>
  <r>
    <x v="1340"/>
    <s v="SCREW CYL.HEAD HEXA. M 5X22"/>
    <s v="Bossard"/>
    <s v="DIN912 BN610"/>
    <s v="MYR"/>
    <n v="0.41499999999999998"/>
    <s v="ea"/>
    <n v="100"/>
    <n v="0.06"/>
  </r>
  <r>
    <x v="1341"/>
    <s v="SCREW CYL.HEAD HEXA. M 6X50"/>
    <s v="Bossard"/>
    <s v="DIN912 BN611"/>
    <s v="MYR"/>
    <n v="0.74399999999999988"/>
    <s v="ea"/>
    <n v="100"/>
    <n v="0.06"/>
  </r>
  <r>
    <x v="1342"/>
    <s v="SCREW CYL.HEAD HEXA. M 6X60"/>
    <s v="Bossard"/>
    <s v="BN611 M6 x 60"/>
    <s v="MYR"/>
    <n v="1.133"/>
    <s v="ea"/>
    <n v="100"/>
    <n v="0.06"/>
  </r>
  <r>
    <x v="1343"/>
    <s v="SCREW CYL.HEAD HEXA. M 8X14"/>
    <s v="Bossard"/>
    <s v="BN610 M8 x 14"/>
    <s v="MYR"/>
    <n v="1.6879999999999997"/>
    <s v="ea"/>
    <n v="100"/>
    <n v="0.06"/>
  </r>
  <r>
    <x v="1344"/>
    <s v="SCREW CYL.HEAD HEXA. M 8X16"/>
    <s v="Bossard"/>
    <s v="DIN912 BN610"/>
    <s v="MYR"/>
    <n v="0.72499999999999998"/>
    <s v="ea"/>
    <n v="100"/>
    <n v="0.06"/>
  </r>
  <r>
    <x v="1345"/>
    <s v="Screw CYL. Head Hexa M8x75 A2"/>
    <s v="Bossard"/>
    <s v="DIN912 BN611"/>
    <s v="MYR"/>
    <n v="1.974"/>
    <s v="ea"/>
    <n v="50"/>
    <n v="0.06"/>
  </r>
  <r>
    <x v="1346"/>
    <s v="Hex soc set scr flat point st st A2 I4026"/>
    <s v="Bossard"/>
    <s v="BN617 M4 x 14"/>
    <s v="MYR"/>
    <n v="0.14699999999999999"/>
    <s v="ea"/>
    <n v="100"/>
    <n v="0.06"/>
  </r>
  <r>
    <x v="1347"/>
    <s v="SCREW-HEADLESS HEX.F.P. M 5x14"/>
    <s v="Bossard"/>
    <s v="DIN913 A2 BN617"/>
    <s v="MYR"/>
    <n v="0.26"/>
    <s v="ea"/>
    <n v="100"/>
    <n v="0.06"/>
  </r>
  <r>
    <x v="1348"/>
    <s v="SCREW-HEADLESS HEX F.P. M 8X12 A.T. ISO4026"/>
    <s v="Bossard"/>
    <s v="BN617 M8x12"/>
    <s v="MYR"/>
    <n v="0.3"/>
    <s v="ea"/>
    <n v="100"/>
    <n v="0.06"/>
  </r>
  <r>
    <x v="1349"/>
    <s v="NUT  HEX. 0.8D M8"/>
    <s v="Bossard"/>
    <s v="DIN934 BN628"/>
    <s v="MYR"/>
    <n v="0.19400000000000003"/>
    <s v="ea"/>
    <n v="100"/>
    <n v="0.06"/>
  </r>
  <r>
    <x v="1350"/>
    <s v="SCREW-CYL.HEAD HEX. M1.6x 5 A.T."/>
    <s v="Bossard"/>
    <s v="DIN912-BN612 (A4)"/>
    <s v="MYR"/>
    <n v="0.74899999999999989"/>
    <s v="ea"/>
    <n v="100"/>
    <n v="0.06"/>
  </r>
  <r>
    <x v="1351"/>
    <s v="SCREW-CYL.HEAD HEX. M1.6x 3 A.T."/>
    <s v="Bossard"/>
    <s v="DIN912-BN612 (A4)"/>
    <s v="MYR"/>
    <n v="2.528"/>
    <s v="ea"/>
    <n v="100"/>
    <n v="0.06"/>
  </r>
  <r>
    <x v="1352"/>
    <s v="WASHER-FLAT 2.2X5X0.3 (M2) ISO7089"/>
    <s v="Bossard"/>
    <n v="1253131"/>
    <s v="MYR"/>
    <n v="1.4999999999999999E-2"/>
    <s v="ea"/>
    <n v="200"/>
    <n v="0.06"/>
  </r>
  <r>
    <x v="1353"/>
    <s v="CIRCLIP FOR SHAFTS D= 3.2"/>
    <s v="Bossard"/>
    <s v="DIN6799 BN679"/>
    <s v="MYR"/>
    <n v="5.7999999999999996E-2"/>
    <s v="ea"/>
    <n v="100"/>
    <n v="0.06"/>
  </r>
  <r>
    <x v="1354"/>
    <s v="SCREW HEX.HEAD CAP M 5X25"/>
    <s v="Bossard"/>
    <s v="DIN933 BN622"/>
    <s v="MYR"/>
    <n v="0.47899999999999998"/>
    <s v="ea"/>
    <n v="100"/>
    <n v="0.06"/>
  </r>
  <r>
    <x v="1355"/>
    <s v="WASHER SPRING M5"/>
    <s v="Bossard"/>
    <s v="DIN137B BN678"/>
    <s v="MYR"/>
    <n v="6.1999999999999993E-2"/>
    <s v="ea"/>
    <n v="200"/>
    <n v="0.06"/>
  </r>
  <r>
    <x v="1356"/>
    <s v="SCREW-CYL.HEAD HEX. M 6X 35 PART.THR. ISO4762"/>
    <s v="Bossard"/>
    <s v="N/A"/>
    <s v="MYR"/>
    <n v="1.2"/>
    <s v="ea"/>
    <n v="100"/>
    <n v="0.06"/>
  </r>
  <r>
    <x v="1357"/>
    <s v="WASHER CHAMFERLESS M2.5"/>
    <s v="Bossard"/>
    <s v="DIN125A BN670"/>
    <s v="MYR"/>
    <n v="1.8000000000000002E-2"/>
    <s v="ea"/>
    <n v="200"/>
    <n v="0.06"/>
  </r>
  <r>
    <x v="1358"/>
    <s v="WASHER FINISHING M6"/>
    <s v="Bossard"/>
    <s v="BN5389 PA"/>
    <s v="MYR"/>
    <n v="0.23700000000000002"/>
    <s v="ea"/>
    <n v="100"/>
    <n v="0.06"/>
  </r>
  <r>
    <x v="1359"/>
    <s v="SCREW COUNT.HEAD SLOT. M 4X10"/>
    <s v="Bossard"/>
    <s v="DIN963A BN654"/>
    <s v="MYR"/>
    <n v="0.10099999999999999"/>
    <s v="ea"/>
    <n v="100"/>
    <n v="0.06"/>
  </r>
  <r>
    <x v="1360"/>
    <s v="WASHER SPRING LOCK M3"/>
    <s v="Bossard"/>
    <s v="DIN127B BN672"/>
    <s v="MYR"/>
    <n v="1.4000000000000002E-2"/>
    <s v="ea"/>
    <n v="200"/>
    <n v="0.06"/>
  </r>
  <r>
    <x v="1361"/>
    <s v="WASHER-SPRING-LOCK 5.1X9.2X1.2 (M5) DIN127B"/>
    <s v="Bossard"/>
    <s v="DIN127B BN672"/>
    <s v="MYR"/>
    <n v="3.1E-2"/>
    <s v="ea"/>
    <n v="200"/>
    <n v="0.06"/>
  </r>
  <r>
    <x v="1362"/>
    <s v="WASHER SPRING LOCK M6"/>
    <s v="Bossard"/>
    <s v="DIN127B BN672"/>
    <s v="MYR"/>
    <n v="0.114"/>
    <s v="ea"/>
    <n v="100"/>
    <n v="0.06"/>
  </r>
  <r>
    <x v="1363"/>
    <s v="WASHER SPRING LOCK M8"/>
    <s v="Bossard"/>
    <s v="DIN127B BN672"/>
    <s v="MYR"/>
    <n v="0.14899999999999999"/>
    <s v="ea"/>
    <n v="100"/>
    <n v="0.06"/>
  </r>
  <r>
    <x v="1364"/>
    <s v="SCREW-HEX.HEAD CAP M 5X 10 ALL THR. ISO4017"/>
    <s v="Bossard"/>
    <s v="BN622 M5x10"/>
    <s v="MYR"/>
    <n v="0.22700000000000004"/>
    <s v="ea"/>
    <n v="100"/>
    <n v="0.06"/>
  </r>
  <r>
    <x v="1365"/>
    <s v="SPACER M3X16"/>
    <s v="Bossard"/>
    <s v="BN3319"/>
    <s v="MYR"/>
    <n v="0.53300000000000003"/>
    <s v="ea"/>
    <n v="100"/>
    <n v="0.06"/>
  </r>
  <r>
    <x v="1366"/>
    <s v="WASHER M2.5"/>
    <s v="Bossard"/>
    <s v="DIN9021 BN1356"/>
    <s v="MYR"/>
    <n v="1.9000000000000003E-2"/>
    <s v="ea"/>
    <n v="200"/>
    <n v="0.06"/>
  </r>
  <r>
    <x v="1367"/>
    <s v="WASHER M3"/>
    <s v="Bossard"/>
    <s v="DIN9021 BN1356"/>
    <s v="MYR"/>
    <n v="3.1E-2"/>
    <s v="ea"/>
    <n v="200"/>
    <n v="0.06"/>
  </r>
  <r>
    <x v="1368"/>
    <s v="WASHER M5"/>
    <s v="Bossard"/>
    <s v="DIN9021 BN1356"/>
    <s v="MYR"/>
    <n v="8.6999999999999994E-2"/>
    <s v="ea"/>
    <n v="200"/>
    <n v="0.06"/>
  </r>
  <r>
    <x v="1369"/>
    <s v="SCREW-HEADLESS HEX.F.P. M 2x 2 A.T."/>
    <s v="Bossard"/>
    <s v="BN617 - 1406345 "/>
    <s v="MYR"/>
    <n v="0.21600000000000003"/>
    <s v="ea"/>
    <n v="100"/>
    <n v="0.06"/>
  </r>
  <r>
    <x v="1370"/>
    <s v="SCREW CYL.HEAD SLOT. M 2X4"/>
    <s v="Bossard"/>
    <s v="DIN84A BN650"/>
    <s v="MYR"/>
    <n v="4.6999999999999993E-2"/>
    <s v="ea"/>
    <n v="100"/>
    <n v="0.06"/>
  </r>
  <r>
    <x v="1371"/>
    <s v="SCREW PAN HEAD SLOT. M 4X10"/>
    <s v="Bossard"/>
    <s v="BN652 M4x10"/>
    <s v="MYR"/>
    <n v="0.19800000000000001"/>
    <s v="ea"/>
    <n v="100"/>
    <n v="0.06"/>
  </r>
  <r>
    <x v="1372"/>
    <s v="SCREW COUNT.HEAD SLOT. M 2X6"/>
    <s v="Bossard"/>
    <s v="BN654 M2 x 6"/>
    <s v="MYR"/>
    <n v="0.155"/>
    <s v="ea"/>
    <n v="100"/>
    <n v="0.06"/>
  </r>
  <r>
    <x v="1373"/>
    <s v="SCREW COUNT.HEAD SLOT. M 2X4"/>
    <s v="Bossard"/>
    <s v="DIN963A BN654"/>
    <s v="MYR"/>
    <n v="6.6000000000000003E-2"/>
    <s v="ea"/>
    <n v="100"/>
    <n v="0.06"/>
  </r>
  <r>
    <x v="1374"/>
    <s v="SCREW COUNT.HEAD SLOT. M 2X8 ALL THR. ISO2009"/>
    <s v="Bossard"/>
    <s v="BN654 M2 x 8"/>
    <s v="MYR"/>
    <n v="0.10300000000000001"/>
    <s v="ea"/>
    <n v="100"/>
    <n v="0.06"/>
  </r>
  <r>
    <x v="1375"/>
    <s v="RIVET BLIND 31BS L=3.5"/>
    <s v="Bossard"/>
    <s v="DIN7337 BN924"/>
    <s v="MYR"/>
    <n v="0.16200000000000003"/>
    <s v="ea"/>
    <n v="100"/>
    <n v="0.06"/>
  </r>
  <r>
    <x v="1376"/>
    <s v="WASHER CHAMFERLESS 2.5X5X0.5"/>
    <s v="Bossard"/>
    <s v="DIN433 BN1414"/>
    <s v="MYR"/>
    <n v="1.1000000000000001E-2"/>
    <s v="ea"/>
    <n v="200"/>
    <n v="0.06"/>
  </r>
  <r>
    <x v="1377"/>
    <s v="SPACER-HEX. M4x 40 MALE/FEMALE"/>
    <s v="Bossard"/>
    <s v="BN3318"/>
    <s v="MYR"/>
    <n v="1.357"/>
    <s v="ea"/>
    <n v="100"/>
    <n v="0.06"/>
  </r>
  <r>
    <x v="1378"/>
    <s v="Hex soc flt hd scr ful trd A4 D7991"/>
    <s v="Bossard"/>
    <s v="BN4719 M2 x 6"/>
    <s v="MYR"/>
    <n v="0.63"/>
    <s v="ea"/>
    <n v="100"/>
    <n v="0.06"/>
  </r>
  <r>
    <x v="1379"/>
    <s v="SCREW-COUNT.HEAD HEX. M2.5x 8 A.T."/>
    <s v="Bossard"/>
    <s v="DIN7991 BN4719"/>
    <s v="MYR"/>
    <n v="0.39899999999999997"/>
    <s v="ea"/>
    <n v="100"/>
    <n v="0.06"/>
  </r>
  <r>
    <x v="1380"/>
    <s v="Hex standoffs int/ext thrds st znb"/>
    <s v="Bossard"/>
    <s v="BN3318 M3x14"/>
    <s v="MYR"/>
    <n v="0.52500000000000002"/>
    <s v="ea"/>
    <n v="100"/>
    <n v="0.06"/>
  </r>
  <r>
    <x v="1381"/>
    <s v="WASHER SPRING M3"/>
    <s v="Bossard"/>
    <s v="DIN137A BN677"/>
    <s v="MYR"/>
    <n v="2.1000000000000001E-2"/>
    <s v="ea"/>
    <n v="200"/>
    <n v="0.06"/>
  </r>
  <r>
    <x v="1382"/>
    <s v="Hex jam nut st st A2 D439B"/>
    <s v="Bossard"/>
    <s v="BN630 M 5"/>
    <s v="MYR"/>
    <n v="6.699999999999999E-2"/>
    <s v="ea"/>
    <n v="100"/>
    <n v="0.06"/>
  </r>
  <r>
    <x v="1383"/>
    <s v="WASHER CHAMFERLESS 3X6X0.5"/>
    <s v="Bossard"/>
    <n v="1170198"/>
    <s v="MYR"/>
    <n v="2.4E-2"/>
    <s v="ea"/>
    <n v="200"/>
    <n v="0.06"/>
  </r>
  <r>
    <x v="1384"/>
    <s v="SPACER M4X6"/>
    <s v="Bossard"/>
    <s v="BN 3318"/>
    <s v="MYR"/>
    <n v="0.35300000000000004"/>
    <s v="ea"/>
    <n v="100"/>
    <n v="0.06"/>
  </r>
  <r>
    <x v="1385"/>
    <s v="SPACER M4X55"/>
    <s v="Bossard"/>
    <s v="BN3318"/>
    <s v="MYR"/>
    <n v="1.8379999999999999"/>
    <s v="ea"/>
    <n v="100"/>
    <n v="0.06"/>
  </r>
  <r>
    <x v="1386"/>
    <s v="SCREW PAN HEAD SLOT. M 5X10"/>
    <s v="Bossard"/>
    <s v="BN652 M5x10"/>
    <s v="MYR"/>
    <n v="0.28400000000000003"/>
    <s v="ea"/>
    <n v="100"/>
    <n v="0.06"/>
  </r>
  <r>
    <x v="1387"/>
    <s v="SCREW COUNT.HEAD SLOT. M 2X12"/>
    <s v="Bossard"/>
    <s v="DIN963A BN654"/>
    <s v="MYR"/>
    <n v="5.6999999999999995E-2"/>
    <s v="ea"/>
    <n v="100"/>
    <n v="0.06"/>
  </r>
  <r>
    <x v="1388"/>
    <s v="Hx soc hd cp scr ful thrd st st A4 D912"/>
    <s v="Bossard"/>
    <s v="BN612 M1.6x6"/>
    <s v="MYR"/>
    <n v="8.5999999999999993E-2"/>
    <s v="ea"/>
    <n v="100"/>
    <n v="0.06"/>
  </r>
  <r>
    <x v="1389"/>
    <s v="Sltd flat hd mach scr st st A2 D963A"/>
    <s v="Bossard"/>
    <s v="BN654 M4 x 12"/>
    <s v="MYR"/>
    <n v="0.29399999999999998"/>
    <s v="ea"/>
    <n v="100"/>
    <n v="0.06"/>
  </r>
  <r>
    <x v="1390"/>
    <s v="Ret ring for shaft st st D471"/>
    <s v="Bossard"/>
    <s v="BN682 D10"/>
    <s v="MYR"/>
    <n v="1.26"/>
    <s v="ea"/>
    <n v="100"/>
    <n v="0.06"/>
  </r>
  <r>
    <x v="1391"/>
    <s v="SCREW-CYL.HEAD HEXA. M 2X 20 ALL THR."/>
    <s v="Bossard"/>
    <s v="DIN912-BN612 (A2)"/>
    <s v="MYR"/>
    <n v="0.44800000000000006"/>
    <s v="ea"/>
    <n v="100"/>
    <n v="0.06"/>
  </r>
  <r>
    <x v="1392"/>
    <s v="WASHER SERRATED 3.2X6X0.4"/>
    <s v="Bossard"/>
    <s v="DIN6798A BN675"/>
    <s v="MYR"/>
    <n v="5.5999999999999994E-2"/>
    <s v="ea"/>
    <n v="200"/>
    <n v="0.06"/>
  </r>
  <r>
    <x v="1393"/>
    <s v="SCREW-HEADLESS SLOT.F.P. M 2X 2 ALL THR"/>
    <s v="Bossard"/>
    <s v="BN664 M2x2"/>
    <s v="MYR"/>
    <n v="0.39700000000000002"/>
    <s v="ea"/>
    <n v="100"/>
    <n v="0.06"/>
  </r>
  <r>
    <x v="1394"/>
    <s v="PRESS-IN THREADED INSERTS M3"/>
    <s v="Bossard"/>
    <s v="BN1048-M3"/>
    <s v="MYR"/>
    <n v="0.57800000000000007"/>
    <s v="ea"/>
    <n v="100"/>
    <n v="0.06"/>
  </r>
  <r>
    <x v="1395"/>
    <s v="SCREW HEADLESS HEXA.C.P. M 3X4"/>
    <s v="Bossard"/>
    <s v="BN618 M3x4"/>
    <s v="MYR"/>
    <n v="0.20600000000000002"/>
    <s v="ea"/>
    <n v="100"/>
    <n v="0.06"/>
  </r>
  <r>
    <x v="1396"/>
    <s v="Sltd cheese head mach scr st st A2 D84A"/>
    <s v="Bossard"/>
    <s v="BN650 M2x6"/>
    <s v="MYR"/>
    <n v="3.3000000000000002E-2"/>
    <s v="ea"/>
    <n v="100"/>
    <n v="0.06"/>
  </r>
  <r>
    <x v="1397"/>
    <s v="SCREW HEADLESS HEXA.C.P. M 2.5"/>
    <s v="Bossard"/>
    <s v="DIN914 BN618"/>
    <s v="MYR"/>
    <n v="0.33"/>
    <s v="ea"/>
    <n v="100"/>
    <n v="0.06"/>
  </r>
  <r>
    <x v="1398"/>
    <s v="IONIZER 24VDC POWER SUPPLY"/>
    <s v="KEYENCE(MALAYSIA) S/B"/>
    <s v="KV-U3"/>
    <s v="MYR"/>
    <n v="346.45"/>
    <s v="ea"/>
    <n v="1"/>
    <n v="0.06"/>
  </r>
  <r>
    <x v="1399"/>
    <s v="IONIZER FAN &amp; CONTROLLER"/>
    <s v="KEYENCE(MALAYSIA) S/B"/>
    <s v="135F020  SJ-F020"/>
    <s v="MYR"/>
    <n v="3000"/>
    <s v="ea"/>
    <n v="1"/>
    <n v="0.06"/>
  </r>
  <r>
    <x v="1400"/>
    <s v="Hex standof int+ext thrd bra ni plt"/>
    <s v="Bossard"/>
    <s v="BN3321 M3 x 30"/>
    <s v="MYR"/>
    <n v="1.47"/>
    <s v="ea"/>
    <n v="100"/>
    <n v="0.06"/>
  </r>
  <r>
    <x v="1401"/>
    <s v="Parallel pins st hard+ground tol h6 D6325"/>
    <s v="Bossard"/>
    <s v="BN858 M10 x 32"/>
    <s v="MYR"/>
    <n v="1.575"/>
    <s v="ea"/>
    <n v="100"/>
    <n v="0.06"/>
  </r>
  <r>
    <x v="1402"/>
    <s v="FIBER-OPTIC-BARRIER 13x7x2"/>
    <s v="KEYENCE(MALAYSIA) S/B"/>
    <s v="FU-53TZ"/>
    <s v="MYR"/>
    <n v="315"/>
    <s v="ea"/>
    <n v="1"/>
    <n v="0.06"/>
  </r>
  <r>
    <x v="1403"/>
    <s v="FIBER OPTIC SENSOR"/>
    <s v="KEYENCE(MALAYSIA) S/B"/>
    <s v="FU-57TE"/>
    <s v="MYR"/>
    <n v="230"/>
    <s v="ea"/>
    <n v="1"/>
    <n v="0.06"/>
  </r>
  <r>
    <x v="1404"/>
    <s v="AMPLIFIER-FIBER-OPTIC PNP"/>
    <s v="KEYENCE(MALAYSIA) S/B"/>
    <s v="FS-V31P"/>
    <s v="MYR"/>
    <n v="315"/>
    <s v="ea"/>
    <n v="1"/>
    <n v="0.06"/>
  </r>
  <r>
    <x v="1405"/>
    <s v="CHECKER CV-2100"/>
    <s v="KEYENCE(MALAYSIA) S/B"/>
    <s v="CV-2100"/>
    <s v="MYR"/>
    <n v="7350"/>
    <s v="ea"/>
    <n v="1"/>
    <n v="0.06"/>
  </r>
  <r>
    <x v="1406"/>
    <s v="CAMERA CV-020"/>
    <s v="KEYENCE(MALAYSIA) S/B"/>
    <s v="CV-020"/>
    <s v="MYR"/>
    <n v="3650"/>
    <s v="ea"/>
    <n v="1"/>
    <n v="0.06"/>
  </r>
  <r>
    <x v="1407"/>
    <s v="CAMERA CABLE CV-C3"/>
    <s v="KEYENCE(MALAYSIA) S/B"/>
    <s v="CV-C3"/>
    <s v="MYR"/>
    <n v="279"/>
    <s v="ea"/>
    <n v="1"/>
    <n v="0.06"/>
  </r>
  <r>
    <x v="1408"/>
    <s v="ESW 31AH0200"/>
    <s v="Baumer"/>
    <n v="10133827"/>
    <s v="USD "/>
    <n v="19.64"/>
    <s v="ea"/>
    <n v="1"/>
    <n v="0.1"/>
  </r>
  <r>
    <x v="1409"/>
    <s v="SENSOR-FIBER OPTIC"/>
    <s v="KEYENCE(MALAYSIA) S/B"/>
    <s v="FU-35TZ"/>
    <s v="MYR"/>
    <n v="188"/>
    <s v="ea"/>
    <n v="1"/>
    <n v="0.06"/>
  </r>
  <r>
    <x v="1410"/>
    <s v="I/O CONNECTOR CABLE FOR CV-2100/2600"/>
    <s v="KEYENCE(MALAYSIA) S/B"/>
    <s v="OP-42341"/>
    <s v="MYR"/>
    <n v="120"/>
    <s v="ea"/>
    <n v="1"/>
    <n v="0.06"/>
  </r>
  <r>
    <x v="1411"/>
    <s v="FIBER ADAPTER D=1.0 P=4.0"/>
    <s v="KEYENCE(MALAYSIA) S/B"/>
    <s v="OP-26501"/>
    <s v="MYR"/>
    <n v="11"/>
    <s v="ea"/>
    <n v="1"/>
    <n v="0.06"/>
  </r>
  <r>
    <x v="1412"/>
    <s v="SIDE VIEW SENSOR FIBER HEAD"/>
    <s v="KEYENCE(MALAYSIA) S/B"/>
    <s v="FU-18M"/>
    <s v="MYR"/>
    <n v="486"/>
    <s v="ea"/>
    <n v="1"/>
    <n v="0.06"/>
  </r>
  <r>
    <x v="1413"/>
    <s v="SCREW-HEADLESS-SLOTTED M 1X2"/>
    <s v="Bossard"/>
    <s v="DIN551 BN426"/>
    <s v="MYR"/>
    <n v="0.42899999999999999"/>
    <s v="ea"/>
    <n v="100"/>
    <n v="0.06"/>
  </r>
  <r>
    <x v="1414"/>
    <s v="AMPLIFIER-PHOTO-ELECT. NEO MASTER"/>
    <s v="KEYENCE(MALAYSIA) S/B"/>
    <s v="FS-N11P"/>
    <s v="MYR"/>
    <n v="305"/>
    <s v="ea"/>
    <n v="1"/>
    <n v="0.06"/>
  </r>
  <r>
    <x v="1415"/>
    <s v="IONIZER-KEYENCE SJ-F031"/>
    <s v="KEYENCE(MALAYSIA) S/B"/>
    <s v="SJ-F031"/>
    <s v="MYR"/>
    <n v="3744.8"/>
    <s v="ea"/>
    <n v="1"/>
    <n v="0.06"/>
  </r>
  <r>
    <x v="1416"/>
    <s v="CABLE IONIZER KEYENCE SJ-FC5"/>
    <s v="KEYENCE(MALAYSIA) S/B"/>
    <s v="SJ-FC5"/>
    <s v="MYR"/>
    <n v="150"/>
    <s v="ea"/>
    <n v="1"/>
    <n v="0.06"/>
  </r>
  <r>
    <x v="1417"/>
    <s v="DISCHANRGE PREVENTION CAP"/>
    <s v="KEYENCE(MALAYSIA) S/B"/>
    <s v="OP-75354"/>
    <s v="MYR"/>
    <n v="65.05"/>
    <s v="ea"/>
    <n v="1"/>
    <n v="0.06"/>
  </r>
  <r>
    <x v="1418"/>
    <s v="SENSOR-PHOTO WITH FIBER FU-35FG"/>
    <s v="KEYENCE(MALAYSIA) S/B"/>
    <s v="FU-35FG"/>
    <s v="MYR"/>
    <n v="220"/>
    <s v="ea"/>
    <n v="1"/>
    <n v="0.06"/>
  </r>
  <r>
    <x v="1419"/>
    <s v="PIN-SPRING SLIT D=4X10"/>
    <s v="Bossard"/>
    <s v="DIN7346 BN878"/>
    <s v="MYR"/>
    <n v="0.151"/>
    <s v="ea"/>
    <n v="100"/>
    <n v="0.06"/>
  </r>
  <r>
    <x v="1420"/>
    <s v="IONIZER SJ-MO20G (1.2M) HEAD"/>
    <s v="KEYENCE(MALAYSIA) S/B"/>
    <s v="SJ-MO20G (1.2M)"/>
    <s v="MYR"/>
    <n v="2066.3200000000002"/>
    <s v="ea"/>
    <n v="1"/>
    <n v="0.06"/>
  </r>
  <r>
    <x v="1421"/>
    <s v="SENSOR FU-57TZ"/>
    <s v="KEYENCE(MALAYSIA) S/B"/>
    <s v="FU-57TZ"/>
    <s v="MYR"/>
    <n v="252"/>
    <s v="ea"/>
    <n v="1"/>
    <n v="0.06"/>
  </r>
  <r>
    <x v="1422"/>
    <s v="SENSOR-FIBER OPTIC DIFF-REFLECTIVE M4"/>
    <s v="KEYENCE(MALAYSIA) S/B"/>
    <s v="FU-66TZ"/>
    <s v="MYR"/>
    <n v="275"/>
    <s v="ea"/>
    <n v="1"/>
    <n v="0.06"/>
  </r>
  <r>
    <x v="1423"/>
    <s v="SENSOR-FIBER OPTIC REF FU-35TG"/>
    <s v="KEYENCE(MALAYSIA) S/B"/>
    <s v="FU-35TG"/>
    <s v="MYR"/>
    <n v="340"/>
    <s v="ea"/>
    <n v="1"/>
    <n v="0.06"/>
  </r>
  <r>
    <x v="1424"/>
    <s v="LENS FOR OPTIC. FIBER F-3HA"/>
    <s v="KEYENCE(MALAYSIA) S/B"/>
    <s v="F-3HA"/>
    <s v="MYR"/>
    <n v="200"/>
    <s v="ea"/>
    <n v="1"/>
    <n v="0.06"/>
  </r>
  <r>
    <x v="1425"/>
    <s v="SENSOR-PHOTO-REFLECTIVE LV-S41"/>
    <s v="KEYENCE(MALAYSIA) S/B"/>
    <s v="LV-S41"/>
    <s v="MYR"/>
    <n v="800"/>
    <s v="ea"/>
    <n v="1"/>
    <n v="0.06"/>
  </r>
  <r>
    <x v="1426"/>
    <s v="AMPLIFIER-PHOTO-ELECT. NEO LV-N11P"/>
    <s v="KEYENCE(MALAYSIA) S/B"/>
    <s v="LV-N11P"/>
    <s v="MYR"/>
    <n v="930"/>
    <s v="ea"/>
    <n v="1"/>
    <n v="0.06"/>
  </r>
  <r>
    <x v="1427"/>
    <s v="SCREW-HEAD-MILLED-SLOT M 1.0X 4 ALL THR."/>
    <s v="Bossard"/>
    <s v="BN406.1167731"/>
    <s v="MYR"/>
    <n v="0.34100000000000003"/>
    <s v="ea"/>
    <n v="100"/>
    <n v="0.06"/>
  </r>
  <r>
    <x v="1428"/>
    <s v="NUT-BLIND M3 HUC FEKS 2.3"/>
    <s v="Bossard"/>
    <s v="M3 HUC FEKS 2.3"/>
    <s v="MYR"/>
    <n v="1.806"/>
    <s v="ea"/>
    <n v="1000"/>
    <n v="0.06"/>
  </r>
  <r>
    <x v="1429"/>
    <s v="SENSOR-PHOTO THRU BEAM"/>
    <s v="KEYENCE(MALAYSIA) S/B"/>
    <s v="FU-58U"/>
    <s v="MYR"/>
    <n v="210"/>
    <s v="ea"/>
    <n v="1"/>
    <n v="0.06"/>
  </r>
  <r>
    <x v="1430"/>
    <s v="SCREW-CHEESE-HEAD-SLOTTED M 1X 2 A.T."/>
    <s v="Bossard"/>
    <s v="DIN84A A2 BN650"/>
    <s v="MYR"/>
    <n v="0.59099999999999997"/>
    <s v="ea"/>
    <n v="100"/>
    <n v="0.06"/>
  </r>
  <r>
    <x v="1431"/>
    <s v="BUSHING-THREADED M 4 X 4"/>
    <s v="Bossard"/>
    <s v="BN 1036"/>
    <s v="MYR"/>
    <n v="0.81499999999999995"/>
    <s v="ea"/>
    <n v="100"/>
    <n v="0.06"/>
  </r>
  <r>
    <x v="1432"/>
    <s v="IONIZER-KEYENCE SJ-F036"/>
    <s v="KEYENCE(MALAYSIA) S/B"/>
    <s v="SJ-F036"/>
    <s v="MYR"/>
    <n v="3744.8"/>
    <s v="ea"/>
    <n v="1"/>
    <n v="0.06"/>
  </r>
  <r>
    <x v="1433"/>
    <s v="AMPLIFIER-PHOTO 12-24VDC"/>
    <s v="KEYENCE(MALAYSIA) S/B"/>
    <s v="PS-N11P"/>
    <s v="MYR"/>
    <n v="294.8"/>
    <s v="ea"/>
    <n v="1"/>
    <n v="0.06"/>
  </r>
  <r>
    <x v="1434"/>
    <s v="ROUND SELF CLINCHING NUTS M3"/>
    <s v="Bossard"/>
    <n v="3578532"/>
    <s v="MYR"/>
    <n v="0.59200000000000008"/>
    <s v="ea"/>
    <n v="100"/>
    <n v="0.06"/>
  </r>
  <r>
    <x v="1435"/>
    <s v="CABLE CONNECTOR M8 10M"/>
    <s v="KEYENCE(MALAYSIA) S/B"/>
    <s v="OP-73865"/>
    <s v="MYR"/>
    <n v="120"/>
    <s v="ea"/>
    <n v="1"/>
    <n v="0.06"/>
  </r>
  <r>
    <x v="1436"/>
    <s v="SELF-CONTAINED CMOS LASER SENSOR W/CABLE"/>
    <s v="KEYENCE(MALAYSIA) S/B"/>
    <s v="N/A"/>
    <s v="MYR"/>
    <n v="800"/>
    <s v="ea"/>
    <n v="1"/>
    <n v="0.06"/>
  </r>
  <r>
    <x v="1437"/>
    <s v="Socket hd cap scr st alloy ft"/>
    <s v="Bossard"/>
    <s v="BN48171 6-32x1/2"/>
    <s v="MYR"/>
    <n v="1.68"/>
    <s v="ea"/>
    <n v="100"/>
    <n v="0.06"/>
  </r>
  <r>
    <x v="1438"/>
    <s v="SCREW-HEADLESS HEXA.P.P. M 2.5 x 3"/>
    <s v="Bossard"/>
    <s v="DIN913-BN4723"/>
    <s v="MYR"/>
    <n v="0.79799999999999993"/>
    <s v="ea"/>
    <n v="100"/>
    <n v="0.06"/>
  </r>
  <r>
    <x v="1439"/>
    <s v="SCREW-CHEESE-HEAD-SLOTTED M 1X 3 A.T."/>
    <s v="Bossard"/>
    <s v="DIN84A A2 BN650"/>
    <s v="MYR"/>
    <n v="9.0999999999999998E-2"/>
    <s v="ea"/>
    <n v="100"/>
    <n v="0.06"/>
  </r>
  <r>
    <x v="1440"/>
    <s v="SCREW-SELF TAP.RECES. 2.9X13"/>
    <s v="Bossard"/>
    <s v="DIN7981C A2"/>
    <s v="MYR"/>
    <n v="6.3E-2"/>
    <s v="ea"/>
    <n v="100"/>
    <n v="0.06"/>
  </r>
  <r>
    <x v="1441"/>
    <s v="SCREW-COUNT.HEAD RECESS M 3X 4 ALL THR."/>
    <s v="Bossard"/>
    <s v="DIN965A A4"/>
    <s v="MYR"/>
    <n v="7.9000000000000001E-2"/>
    <s v="ea"/>
    <n v="100"/>
    <n v="0.06"/>
  </r>
  <r>
    <x v="1442"/>
    <s v="SCREW-COUNT.HEAD SLOT. M2.5X 3"/>
    <s v="Bossard"/>
    <s v="DIN963A ZP"/>
    <s v="MYR"/>
    <n v="1.3129999999999997"/>
    <s v="ea"/>
    <n v="100"/>
    <n v="0.06"/>
  </r>
  <r>
    <x v="1443"/>
    <s v="SCREW-RAISED HEAD HEX. M 3X12"/>
    <s v="Bossard"/>
    <s v="ISO7380-BN8699"/>
    <s v="MYR"/>
    <n v="0.23"/>
    <s v="ea"/>
    <n v="100"/>
    <n v="0.06"/>
  </r>
  <r>
    <x v="1444"/>
    <s v="SCREW-RAISED HEAD HEX. M 3X20"/>
    <s v="Bossard"/>
    <s v="ISO7380-BN8699"/>
    <s v="MYR"/>
    <n v="0.28999999999999998"/>
    <s v="ea"/>
    <n v="100"/>
    <n v="0.06"/>
  </r>
  <r>
    <x v="1445"/>
    <s v="SCREW-RAISED HEAD HEX. M 3X30"/>
    <s v="Bossard"/>
    <s v="ISO7380-BN8699"/>
    <s v="MYR"/>
    <n v="0.44700000000000001"/>
    <s v="ea"/>
    <n v="100"/>
    <n v="0.06"/>
  </r>
  <r>
    <x v="1446"/>
    <s v="SCREW-RAISED HEAD HEX. M 5X 12"/>
    <s v="Bossard"/>
    <s v="ISO7380-BN8699"/>
    <s v="MYR"/>
    <n v="0.48300000000000004"/>
    <s v="ea"/>
    <n v="100"/>
    <n v="0.06"/>
  </r>
  <r>
    <x v="1447"/>
    <s v="SCREW-HEADLESS HEX.F.P. M 2X 5"/>
    <s v="Bossard"/>
    <s v="DIN913-BN617"/>
    <s v="MYR"/>
    <n v="0.28800000000000003"/>
    <s v="ea"/>
    <n v="100"/>
    <n v="0.06"/>
  </r>
  <r>
    <x v="1448"/>
    <s v="SCREW-HEADLESS HEX.F.P. M 2X 16"/>
    <s v="Bossard"/>
    <s v="DIN913-BN617"/>
    <s v="MYR"/>
    <n v="0.54800000000000004"/>
    <s v="ea"/>
    <n v="100"/>
    <n v="0.06"/>
  </r>
  <r>
    <x v="1449"/>
    <s v="SCREW-HEADLESS HEX.F.P. M2.5X6"/>
    <s v="Bossard"/>
    <s v="DIN913-BN617"/>
    <s v="MYR"/>
    <n v="0.24400000000000002"/>
    <s v="ea"/>
    <n v="100"/>
    <n v="0.06"/>
  </r>
  <r>
    <x v="1450"/>
    <s v="SCREW-HEADLESS HEX.F.P. M2.5X4"/>
    <s v="Bossard"/>
    <s v="DIN913-BN617"/>
    <s v="MYR"/>
    <n v="0.14000000000000001"/>
    <s v="ea"/>
    <n v="100"/>
    <n v="0.06"/>
  </r>
  <r>
    <x v="1451"/>
    <s v="SCREW-HEADLESS HEX.F.P. M2.5X8"/>
    <s v="Bossard"/>
    <s v="DIN913-BN617"/>
    <s v="MYR"/>
    <n v="0.29299999999999998"/>
    <s v="ea"/>
    <n v="100"/>
    <n v="0.06"/>
  </r>
  <r>
    <x v="1452"/>
    <s v="SCREW-HEADLESS HEX.F.P. M2.5X10"/>
    <s v="Bossard"/>
    <s v="DIN913-BN617"/>
    <s v="MYR"/>
    <n v="0.35700000000000004"/>
    <s v="ea"/>
    <n v="100"/>
    <n v="0.06"/>
  </r>
  <r>
    <x v="1453"/>
    <s v="SCREW-HEADLESS HEX.F.P. M 2X 4"/>
    <s v="Bossard"/>
    <s v="DIN913-BN617"/>
    <s v="MYR"/>
    <n v="0.26"/>
    <s v="ea"/>
    <n v="100"/>
    <n v="0.06"/>
  </r>
  <r>
    <x v="1454"/>
    <s v="SCREW-HEADLESS HEX.F.P. M 2X 6"/>
    <s v="Bossard"/>
    <s v="DIN913-BN617"/>
    <s v="MYR"/>
    <n v="0.30499999999999999"/>
    <s v="ea"/>
    <n v="100"/>
    <n v="0.06"/>
  </r>
  <r>
    <x v="1455"/>
    <s v="SCREW-COUNT.HEAD RECESS M 2.5X 4 ALL THR"/>
    <s v="Bossard"/>
    <s v="DIN965A A4"/>
    <s v="MYR"/>
    <n v="0.105"/>
    <s v="ea"/>
    <n v="100"/>
    <n v="0.06"/>
  </r>
  <r>
    <x v="1456"/>
    <s v="SCREW-COUNT.HEAD RECESS M 2.5X 6 ALL THR"/>
    <s v="Bossard"/>
    <s v="DIN965A A4"/>
    <s v="MYR"/>
    <n v="0.124"/>
    <s v="ea"/>
    <n v="100"/>
    <n v="0.06"/>
  </r>
  <r>
    <x v="1457"/>
    <s v="SCREW-COUNT.HEAD RECESS M 2.5X 8 ALL THR"/>
    <s v="Bossard"/>
    <s v="DIN965A A4"/>
    <s v="MYR"/>
    <n v="0.154"/>
    <s v="ea"/>
    <n v="100"/>
    <n v="0.06"/>
  </r>
  <r>
    <x v="1458"/>
    <s v="SCREW-COUNT.HEAD RECESS M 2.5X10 ALL THR"/>
    <s v="Bossard"/>
    <s v="DIN965A A4"/>
    <s v="MYR"/>
    <n v="0.16500000000000001"/>
    <s v="ea"/>
    <n v="100"/>
    <n v="0.06"/>
  </r>
  <r>
    <x v="1459"/>
    <s v="SCREW-COUNT.HEAD RECESS M 2.5X12 ALL THR"/>
    <s v="Bossard"/>
    <s v="DIN965A A4"/>
    <s v="MYR"/>
    <n v="0.18100000000000002"/>
    <s v="ea"/>
    <n v="100"/>
    <n v="0.06"/>
  </r>
  <r>
    <x v="1460"/>
    <s v="SCREW-COUNT.HEAD RECESS M 2.5X16 ALL THR"/>
    <s v="Bossard"/>
    <s v="DIN965A A4"/>
    <s v="MYR"/>
    <n v="0.20700000000000002"/>
    <s v="ea"/>
    <n v="100"/>
    <n v="0.06"/>
  </r>
  <r>
    <x v="1461"/>
    <s v="SCREW-COUNT.HEAD RECESS M 2.5X20 ALL THR"/>
    <s v="Bossard"/>
    <s v="DIN965A A4"/>
    <s v="MYR"/>
    <n v="0.22600000000000001"/>
    <s v="ea"/>
    <n v="100"/>
    <n v="0.06"/>
  </r>
  <r>
    <x v="1462"/>
    <s v="SCREW-COUNT.HEAD RECESS M 3X 5 ALL THR."/>
    <s v="Bossard"/>
    <s v="DIN965A A4"/>
    <s v="MYR"/>
    <n v="0.11199999999999999"/>
    <s v="ea"/>
    <n v="100"/>
    <n v="0.06"/>
  </r>
  <r>
    <x v="1463"/>
    <s v="SCREW-COUNT.HEAD RECESS M 3X 12 ALL THR."/>
    <s v="Bossard"/>
    <s v="DIN965A A4"/>
    <s v="MYR"/>
    <n v="0.156"/>
    <s v="ea"/>
    <n v="100"/>
    <n v="0.06"/>
  </r>
  <r>
    <x v="1464"/>
    <s v="SCREW-COUNT.HEAD RECESS M 3X 16 ALL THR."/>
    <s v="Bossard"/>
    <s v="DIN965A A4"/>
    <s v="MYR"/>
    <n v="0.17400000000000002"/>
    <s v="ea"/>
    <n v="100"/>
    <n v="0.06"/>
  </r>
  <r>
    <x v="1465"/>
    <s v="SCREW-COUNT.HEAD RECESS M 3X 20 ALL THR."/>
    <s v="Bossard"/>
    <s v="DIN965A A4"/>
    <s v="MYR"/>
    <n v="0.19600000000000001"/>
    <s v="ea"/>
    <n v="100"/>
    <n v="0.06"/>
  </r>
  <r>
    <x v="1466"/>
    <s v="SCREW-COUNT.HEAD RECESS M 3X 25 ALL THR."/>
    <s v="Bossard"/>
    <s v="DIN965A A4"/>
    <s v="MYR"/>
    <n v="0.22500000000000001"/>
    <s v="ea"/>
    <n v="100"/>
    <n v="0.06"/>
  </r>
  <r>
    <x v="1467"/>
    <s v="SCREW-COUNT.HEAD RECESS M 4X 6 ALL THR."/>
    <s v="Bossard"/>
    <s v="DIN965A A4"/>
    <s v="MYR"/>
    <n v="0.17400000000000002"/>
    <s v="ea"/>
    <n v="100"/>
    <n v="0.06"/>
  </r>
  <r>
    <x v="1468"/>
    <s v="SCREW-COUNT.HEAD RECESS M 4X 8 ALL THR."/>
    <s v="Bossard"/>
    <s v="DIN965A A4"/>
    <s v="MYR"/>
    <n v="0.22200000000000003"/>
    <s v="ea"/>
    <n v="100"/>
    <n v="0.06"/>
  </r>
  <r>
    <x v="1469"/>
    <s v="SCREW-COUNT.HEAD RECESS M 4X20 ALL THR."/>
    <s v="Bossard"/>
    <s v="DIN965A A4"/>
    <s v="MYR"/>
    <n v="0.32800000000000007"/>
    <s v="ea"/>
    <n v="100"/>
    <n v="0.06"/>
  </r>
  <r>
    <x v="1470"/>
    <s v="SCREW-COUNT.HEAD RECESS M 2X 3 ALL THR."/>
    <s v="Bossard"/>
    <s v="DIN965A A4"/>
    <s v="MYR"/>
    <n v="7.9000000000000001E-2"/>
    <s v="ea"/>
    <n v="100"/>
    <n v="0.06"/>
  </r>
  <r>
    <x v="1471"/>
    <s v="SCREW-COUNT.HEAD RECESS M 2X 5 ALL THR."/>
    <s v="Bossard"/>
    <s v="DIN965A A4"/>
    <s v="MYR"/>
    <n v="9.5000000000000001E-2"/>
    <s v="ea"/>
    <n v="100"/>
    <n v="0.06"/>
  </r>
  <r>
    <x v="1472"/>
    <s v="SCREW-COUNT.HEAD RECESS M 2X 8 ALL THR."/>
    <s v="Bossard"/>
    <s v="DIN965A A4"/>
    <s v="MYR"/>
    <n v="0.11699999999999999"/>
    <s v="ea"/>
    <n v="100"/>
    <n v="0.06"/>
  </r>
  <r>
    <x v="1473"/>
    <s v="SCREW-COUNT.HEAD RECESS M 2X 10 ALL THR."/>
    <s v="Bossard"/>
    <s v="DIN965A A4"/>
    <s v="MYR"/>
    <n v="0.13900000000000001"/>
    <s v="ea"/>
    <n v="100"/>
    <n v="0.06"/>
  </r>
  <r>
    <x v="1474"/>
    <s v="SCREW-COUNT.HEAD RECESS M 2X 12 ALL THR."/>
    <s v="Bossard"/>
    <s v="DIN965A A4"/>
    <s v="MYR"/>
    <n v="0.17"/>
    <s v="ea"/>
    <n v="100"/>
    <n v="0.06"/>
  </r>
  <r>
    <x v="1475"/>
    <s v="SCREW-COUNT.HEAD RECESS M 2X 16 ALL THR."/>
    <s v="Bossard"/>
    <s v="DIN965A A4"/>
    <s v="MYR"/>
    <n v="0.19900000000000001"/>
    <s v="ea"/>
    <n v="100"/>
    <n v="0.06"/>
  </r>
  <r>
    <x v="1476"/>
    <s v="SCREW-COUNT.HEAD RECESS M 2X 20 ALL THR."/>
    <s v="Bossard"/>
    <s v="DIN965A A4"/>
    <s v="MYR"/>
    <n v="0.22600000000000001"/>
    <s v="ea"/>
    <n v="100"/>
    <n v="0.06"/>
  </r>
  <r>
    <x v="1477"/>
    <s v="SCREW-COUNT.HEAD RECESS M 3X 6 ALL THR."/>
    <s v="Bossard"/>
    <s v="DIN965A A4"/>
    <s v="MYR"/>
    <n v="0.13799999999999998"/>
    <s v="ea"/>
    <n v="100"/>
    <n v="0.06"/>
  </r>
  <r>
    <x v="1478"/>
    <s v="SCREW-COUNT.HEAD RECESS M 5X 6 ALL THR."/>
    <s v="Bossard"/>
    <s v="DIN965A A4"/>
    <s v="MYR"/>
    <n v="0.18700000000000003"/>
    <s v="ea"/>
    <n v="100"/>
    <n v="0.06"/>
  </r>
  <r>
    <x v="1479"/>
    <s v="SCREW-COUNT.HEAD RECESS M 5X 8 ALL THR."/>
    <s v="Bossard"/>
    <s v="DIN965A A4"/>
    <s v="MYR"/>
    <n v="0.23300000000000001"/>
    <s v="ea"/>
    <n v="100"/>
    <n v="0.06"/>
  </r>
  <r>
    <x v="1480"/>
    <s v="SCREW-COUNT.HEAD RECESS M 5X 10 ALL THR."/>
    <s v="Bossard"/>
    <s v="DIN965A A4"/>
    <s v="MYR"/>
    <n v="0.26400000000000001"/>
    <s v="ea"/>
    <n v="100"/>
    <n v="0.06"/>
  </r>
  <r>
    <x v="1481"/>
    <s v="SCREW-COUNT.HEAD RECESS M 5X 12 ALL THR."/>
    <s v="Bossard"/>
    <s v="DIN965A A4"/>
    <s v="MYR"/>
    <n v="0.28900000000000003"/>
    <s v="ea"/>
    <n v="100"/>
    <n v="0.06"/>
  </r>
  <r>
    <x v="1482"/>
    <s v="SCREW-COUNT.HEAD RECESS M 5X 16 ALL THR."/>
    <s v="Bossard"/>
    <s v="DIN965A A4"/>
    <s v="MYR"/>
    <n v="0.30599999999999999"/>
    <s v="ea"/>
    <n v="100"/>
    <n v="0.06"/>
  </r>
  <r>
    <x v="1483"/>
    <s v="SCREW-COUNT.HEAD RECESS M 5X 20 ALL THR."/>
    <s v="Bossard"/>
    <s v="DIN965A A4"/>
    <s v="MYR"/>
    <n v="0.33399999999999996"/>
    <s v="ea"/>
    <n v="100"/>
    <n v="0.06"/>
  </r>
  <r>
    <x v="1484"/>
    <s v="STAINLESS STEEL RIVET 4X10.2"/>
    <s v="Bossard"/>
    <s v="BN1409 SSD 54 SSBS"/>
    <s v="MYR"/>
    <n v="0.91899999999999993"/>
    <s v="ea"/>
    <n v="100"/>
    <n v="0.06"/>
  </r>
  <r>
    <x v="1485"/>
    <s v="BHK 1D.05A20480/1060162_x000a_3"/>
    <s v="Baumer"/>
    <n v="11139506"/>
    <s v="USD "/>
    <n v="341.39"/>
    <s v="ea"/>
    <n v="1"/>
    <n v="0.1"/>
  </r>
  <r>
    <x v="1486"/>
    <s v="Tamper proof scr ~ ISO 7380-1 A2"/>
    <s v="Bossard"/>
    <s v="BN6971 M4 x 8"/>
    <s v="MYR"/>
    <n v="0.57800000000000007"/>
    <s v="ea"/>
    <n v="100"/>
    <n v="0.06"/>
  </r>
  <r>
    <x v="1487"/>
    <s v="Hex soc keys f tamp proof sc ST ZNB"/>
    <s v="Bossard"/>
    <s v="BN6972 s2.5"/>
    <s v="MYR"/>
    <n v="10.5"/>
    <s v="ea"/>
    <n v="1"/>
    <n v="0.06"/>
  </r>
  <r>
    <x v="1488"/>
    <s v="BHK 1D.05A20480/1072018_x000a_3"/>
    <s v="Baumer"/>
    <n v="11168848"/>
    <s v="USD "/>
    <n v="344.52"/>
    <s v="ea"/>
    <n v="1"/>
    <n v="0.1"/>
  </r>
  <r>
    <x v="1489"/>
    <s v="SCREW-HEADLESS SLOT.P.P. M 5X16 ALL THR DIN551 Brass"/>
    <s v="Bossard"/>
    <s v="BN1406 M5x16"/>
    <s v="MYR"/>
    <n v="0.57800000000000007"/>
    <s v="ea"/>
    <n v="100"/>
    <n v="0.06"/>
  </r>
  <r>
    <x v="1490"/>
    <s v="IARM 12P15A3/S35L"/>
    <s v="Baumer"/>
    <n v="11081447"/>
    <s v="USD "/>
    <n v="207.9"/>
    <s v="ea"/>
    <n v="1"/>
    <n v="0.1"/>
  </r>
  <r>
    <x v="1491"/>
    <s v="SENSOR INDUCTIVE D=4 PNP SN=1.6MM"/>
    <s v="Baumer"/>
    <n v="11082457"/>
    <s v="USD "/>
    <n v="54.41"/>
    <s v="ea"/>
    <n v="1"/>
    <n v="0.1"/>
  </r>
  <r>
    <x v="1492"/>
    <s v="SCREW-COUNT.HEAD HEX M2X12 A.T"/>
    <s v="Bossard"/>
    <s v="DIN7991-BN20"/>
    <s v="MYR"/>
    <n v="0.17900000000000002"/>
    <s v="ea"/>
    <n v="100"/>
    <n v="0.06"/>
  </r>
  <r>
    <x v="1493"/>
    <s v="PIN-PARALLEL D= 1.00H6X 8"/>
    <s v="Bossard"/>
    <s v="DIN6325 H6"/>
    <s v="MYR"/>
    <n v="0.47300000000000003"/>
    <s v="ea"/>
    <n v="100"/>
    <n v="0.06"/>
  </r>
  <r>
    <x v="1494"/>
    <s v="PIN SPRING SLIT TOOT D=5X10"/>
    <s v="Bossard"/>
    <s v="BN879 5x10"/>
    <s v="MYR"/>
    <n v="0.61799999999999999"/>
    <s v="ea"/>
    <n v="100"/>
    <n v="0.06"/>
  </r>
  <r>
    <x v="1495"/>
    <s v="STANDOFF, M4X12 MML, M/F AL LYN-TRON"/>
    <s v="Bossard"/>
    <s v="AA5174-12.0-25"/>
    <s v="MYR"/>
    <n v="13.65"/>
    <s v="ea"/>
    <n v="100"/>
    <n v="0.06"/>
  </r>
  <r>
    <x v="1496"/>
    <s v="Hex stand-offs with internal thread on both sides, brass nickel"/>
    <s v="Bossard"/>
    <s v="BN3320 M4x8"/>
    <s v="MYR"/>
    <n v="0.78"/>
    <s v="ea"/>
    <n v="100"/>
    <n v="0.06"/>
  </r>
  <r>
    <x v="1497"/>
    <s v="WASHER LOCK M5"/>
    <s v="Bossard"/>
    <s v="N/A"/>
    <s v="MYR"/>
    <n v="8.6999999999999994E-2"/>
    <s v="ea"/>
    <n v="1000"/>
    <n v="0.06"/>
  </r>
  <r>
    <x v="1498"/>
    <s v="WASHER LOCK #2 SS"/>
    <s v="Bossard"/>
    <s v="BN 672 M2"/>
    <s v="MYR"/>
    <n v="4.1999999999999996E-2"/>
    <s v="ea"/>
    <n v="100"/>
    <n v="0.06"/>
  </r>
  <r>
    <x v="1499"/>
    <s v="WASHER SERRATED BELVILLE M2"/>
    <s v="Bossard"/>
    <s v="Schnorr 404400"/>
    <s v="MYR"/>
    <n v="0.28999999999999998"/>
    <s v="ea"/>
    <n v="2000"/>
    <n v="0.06"/>
  </r>
  <r>
    <x v="1500"/>
    <s v="WASHER SERRATED BELVILLE M2.5"/>
    <s v="Bossard"/>
    <s v="S-2.5-SS"/>
    <s v="MYR"/>
    <n v="0.50800000000000001"/>
    <s v="ea"/>
    <n v="1000"/>
    <n v="0.06"/>
  </r>
  <r>
    <x v="1501"/>
    <s v="Schnorr S 3 SS, SafetyWasher Type S, SS 1.4301"/>
    <s v="Bossard"/>
    <s v="Schnorr S 3 SS"/>
    <s v="MYR"/>
    <n v="0.51900000000000002"/>
    <s v="ea"/>
    <n v="100"/>
    <n v="0.06"/>
  </r>
  <r>
    <x v="1502"/>
    <s v="6604010 - WASHER LOCK #4"/>
    <s v="Bossard"/>
    <s v="BN48234 #4"/>
    <s v="MYR"/>
    <n v="0.42"/>
    <s v="ea"/>
    <n v="100"/>
    <n v="0.06"/>
  </r>
  <r>
    <x v="1503"/>
    <s v="WASHER,SERRATED BELVILLE M4"/>
    <s v="Bossard"/>
    <s v="Schnorr S 4 SS (414200)"/>
    <s v="MYR"/>
    <n v="0.53"/>
    <s v="ea"/>
    <n v="1000"/>
    <n v="0.06"/>
  </r>
  <r>
    <x v="1504"/>
    <s v="WASHER SERRATED BELVILLE M5"/>
    <s v="Bossard"/>
    <s v="ARTICLE NO: 6162656"/>
    <s v="MYR"/>
    <n v="1.22"/>
    <s v="ea"/>
    <n v="1000"/>
    <n v="0.06"/>
  </r>
  <r>
    <x v="1505"/>
    <s v="WASHER SERRATED BELVILLE M6"/>
    <s v="Bossard"/>
    <s v="ARTICLE NO: 6162657"/>
    <s v="MYR"/>
    <n v="1.2509999999999999"/>
    <s v="ea"/>
    <n v="1000"/>
    <n v="0.06"/>
  </r>
  <r>
    <x v="1506"/>
    <s v="WASHER FLAT #8 SS"/>
    <s v="Bossard"/>
    <s v="BN48346"/>
    <s v="MYR"/>
    <n v="0.69899999999999995"/>
    <s v="ea"/>
    <n v="100"/>
    <n v="0.06"/>
  </r>
  <r>
    <x v="1507"/>
    <s v="WASHER LOCK #8 SS"/>
    <s v="Bossard"/>
    <s v="BN5258"/>
    <s v="MYR"/>
    <n v="0.13799999999999998"/>
    <s v="ea"/>
    <n v="100"/>
    <n v="0.06"/>
  </r>
  <r>
    <x v="1508"/>
    <s v="WASHER SERRATED BELVILLE M8"/>
    <s v="Bossard"/>
    <s v="Schnorr S 8 SS"/>
    <s v="MYR"/>
    <n v="1.81"/>
    <s v="ea"/>
    <n v="1000"/>
    <n v="0.06"/>
  </r>
  <r>
    <x v="1509"/>
    <s v="WASHER FLAT #10 SS"/>
    <s v="Bossard"/>
    <s v="BN48234"/>
    <s v="MYR"/>
    <n v="0.26500000000000001"/>
    <s v="ea"/>
    <n v="100"/>
    <n v="0.06"/>
  </r>
  <r>
    <x v="1510"/>
    <s v="External tooth lock washer ss 410 p"/>
    <s v="Bossard"/>
    <s v="BN48238 M10"/>
    <s v="MYR"/>
    <n v="0.58200000000000007"/>
    <s v="ea"/>
    <n v="100"/>
    <n v="0.06"/>
  </r>
  <r>
    <x v="1511"/>
    <s v="WASHER M10 BELLEVILLE SERRATED"/>
    <s v="Bossard"/>
    <s v="S-10-SS"/>
    <s v="MYR"/>
    <n v="4.2120000000000006"/>
    <s v="ea"/>
    <n v="1000"/>
    <n v="0.06"/>
  </r>
  <r>
    <x v="1512"/>
    <s v="WASHER  LOCK  1/2''ID SS"/>
    <s v="Bossard"/>
    <s v="BN48234"/>
    <s v="MYR"/>
    <n v="1.587"/>
    <s v="ea"/>
    <n v="100"/>
    <n v="0.06"/>
  </r>
  <r>
    <x v="1513"/>
    <s v="Ripped lock washer type S st st A2"/>
    <s v="Bossard"/>
    <s v="BN20041 M12"/>
    <s v="MYR"/>
    <n v="3.1420000000000003"/>
    <s v="ea"/>
    <n v="100"/>
    <n v="0.06"/>
  </r>
  <r>
    <x v="1514"/>
    <s v="WASHER SERRATED BELVILLE M12.7"/>
    <s v="Bossard"/>
    <s v="Schnorr S 12.7 SS"/>
    <s v="MYR"/>
    <n v="6.3490000000000002"/>
    <s v="ea"/>
    <n v="500"/>
    <n v="0.06"/>
  </r>
  <r>
    <x v="1515"/>
    <s v="WASHER FLAT 1/4''ID SS"/>
    <s v="Bossard"/>
    <s v="BN48346"/>
    <s v="MYR"/>
    <n v="0.998"/>
    <s v="ea"/>
    <n v="100"/>
    <n v="0.06"/>
  </r>
  <r>
    <x v="1516"/>
    <s v="Reg split lock washer ss 18-8 pln"/>
    <s v="Bossard"/>
    <s v="BN48234 1/4"/>
    <s v="MYR"/>
    <n v="0.89300000000000002"/>
    <s v="ea"/>
    <n v="100"/>
    <n v="0.06"/>
  </r>
  <r>
    <x v="1517"/>
    <s v="SENSOR-FIBER OPTIC DIFF-REFLECT 25MM"/>
    <s v="KEYENCE(MALAYSIA) S/B"/>
    <s v="FU-49X"/>
    <s v="MYR"/>
    <n v="179.35"/>
    <s v="ea"/>
    <n v="1"/>
    <n v="0.06"/>
  </r>
  <r>
    <x v="1518"/>
    <s v="SENSOR-FIBER OPTIC THRUBEAM 10MM"/>
    <s v="KEYENCE(MALAYSIA) S/B"/>
    <s v="FU-59"/>
    <s v="MYR"/>
    <n v="223"/>
    <s v="ea"/>
    <n v="1"/>
    <n v="0.06"/>
  </r>
  <r>
    <x v="1519"/>
    <s v="SENSOR-FIBER OPTIC DIFF-REFLECT SIDE"/>
    <s v="KEYENCE(MALAYSIA) S/B"/>
    <s v="FU-31"/>
    <s v="MYR"/>
    <n v="387.6"/>
    <s v="ea"/>
    <n v="1"/>
    <n v="0.06"/>
  </r>
  <r>
    <x v="1520"/>
    <s v="SENSOR-AMP NPN DIGITAL RED"/>
    <s v="KEYENCE(MALAYSIA) S/B"/>
    <s v="FS-V1"/>
    <s v="MYR"/>
    <n v="690"/>
    <s v="ea"/>
    <n v="1"/>
    <n v="0.06"/>
  </r>
  <r>
    <x v="1521"/>
    <s v="SENSOR-PHOTOELEC THRUBEAM THIN"/>
    <s v="KEYENCE(MALAYSIA) S/B"/>
    <s v="PS-52C"/>
    <s v="MYR"/>
    <n v="204"/>
    <s v="ea"/>
    <n v="1"/>
    <n v="0.06"/>
  </r>
  <r>
    <x v="1522"/>
    <s v="SENSOR-PHOTOELEC DIFF-RF 2.5CM"/>
    <s v="KEYENCE(MALAYSIA) S/B"/>
    <s v="N/A"/>
    <s v="MYR"/>
    <n v="315"/>
    <s v="ea"/>
    <n v="1"/>
    <n v="0.06"/>
  </r>
  <r>
    <x v="1523"/>
    <s v="NUT-HEX JAM M03 SS A2"/>
    <s v="Bossard"/>
    <s v="DIN439B BN630"/>
    <s v="MYR"/>
    <n v="3.4000000000000002E-2"/>
    <s v="ea"/>
    <n v="100"/>
    <n v="0.06"/>
  </r>
  <r>
    <x v="1524"/>
    <s v="Sltd set scr flat point st znb D551"/>
    <s v="Bossard"/>
    <s v="BN427 M6 x 70"/>
    <s v="MYR"/>
    <n v="1.47"/>
    <s v="ea"/>
    <n v="100"/>
    <n v="0.06"/>
  </r>
  <r>
    <x v="1525"/>
    <s v="SCREW RAISED HEAD HEX. M 2X 6 A.T. ISO7380"/>
    <s v="Bossard"/>
    <s v="BN8699 M2x6"/>
    <s v="MYR"/>
    <n v="0.73499999999999999"/>
    <s v="ea"/>
    <n v="100"/>
    <n v="0.06"/>
  </r>
  <r>
    <x v="1526"/>
    <s v="SCREW-RAISED HEAD HEX. M 2x 4 A.T."/>
    <s v="Bossard"/>
    <s v="ISO7380 A4 BN8699"/>
    <s v="MYR"/>
    <n v="0.56899999999999995"/>
    <s v="ea"/>
    <n v="100"/>
    <n v="0.06"/>
  </r>
  <r>
    <x v="1527"/>
    <s v="MOTOR-LINEAR-AUM C=900 33N 170V"/>
    <s v="Schneeberger"/>
    <s v="2 MNN 14-920-10-10-G1-V1"/>
    <s v="USD"/>
    <n v="437.2340425531915"/>
    <s v="ea"/>
    <n v="1"/>
    <n v="0.1"/>
  </r>
  <r>
    <x v="1528"/>
    <s v="IFRM 04P17A3/S05L"/>
    <s v="Baumer"/>
    <n v="11082435"/>
    <s v="USD "/>
    <n v="103.36"/>
    <s v="ea"/>
    <n v="1"/>
    <n v="0.1"/>
  </r>
  <r>
    <x v="1529"/>
    <s v="Hex soc set scr cup point st st A4 I4029"/>
    <s v="Bossard"/>
    <s v="BN4721 M 4 x 4"/>
    <s v="MYR"/>
    <n v="0.629"/>
    <s v="ea"/>
    <n v="100"/>
    <n v="0.06"/>
  </r>
  <r>
    <x v="1530"/>
    <s v="Screw DIN84 - M2x16 brass"/>
    <s v="Bossard"/>
    <s v="BN532 M2x16"/>
    <s v="MYR"/>
    <n v="0.28000000000000003"/>
    <s v="ea"/>
    <n v="200"/>
    <n v="0.06"/>
  </r>
  <r>
    <x v="1531"/>
    <s v="Screw DIN84 - M4x12 brass"/>
    <s v="Bossard"/>
    <s v="BN 532 M4x12"/>
    <s v="MYR"/>
    <n v="0.55000000000000004"/>
    <s v="ea"/>
    <n v="100"/>
    <n v="0.06"/>
  </r>
  <r>
    <x v="1532"/>
    <s v="Hex socket head cap screws, fully threaded, Steel 12.9, zinc flake coated"/>
    <s v="Bossard"/>
    <s v="BN 1419, M5x20"/>
    <s v="MYR"/>
    <n v="0.25800000000000001"/>
    <s v="ea"/>
    <n v="100"/>
    <n v="0.06"/>
  </r>
  <r>
    <x v="1533"/>
    <s v="SCREW-CYL. HEAD HEX. M5X30 ALL THR. ISO4762"/>
    <s v="Bossard"/>
    <s v="BN 1419 M5x30"/>
    <s v="MYR"/>
    <n v="0.61799999999999999"/>
    <s v="ea"/>
    <n v="100"/>
    <n v="0.06"/>
  </r>
  <r>
    <x v="1534"/>
    <s v="Hx soc hd cp scr ful thrd ST12.9 ZF D912"/>
    <s v="Bossard"/>
    <s v="BN1419 M5 x 14"/>
    <s v="MYR"/>
    <n v="0.51500000000000001"/>
    <s v="ea"/>
    <n v="100"/>
    <n v="0.06"/>
  </r>
  <r>
    <x v="1535"/>
    <s v="IFRM 04P17A1/KS35PL"/>
    <s v="Baumer"/>
    <n v="11082457"/>
    <s v="USD "/>
    <n v="54.41"/>
    <s v="ea"/>
    <n v="1"/>
    <n v="0.1"/>
  </r>
  <r>
    <x v="1536"/>
    <s v="Hex standoffs int/ext thrds st znb"/>
    <s v="Bossard"/>
    <s v="BN3318 M3 x 60"/>
    <s v="MYR"/>
    <n v="2.266"/>
    <s v="ea"/>
    <n v="100"/>
    <n v="0.06"/>
  </r>
  <r>
    <x v="1537"/>
    <s v="Hex stand-offs, with internal and external thread, Steel, zinc plated blue"/>
    <s v="Bossard"/>
    <s v="BN3318, M4x16"/>
    <s v="MYR"/>
    <n v="0.82400000000000007"/>
    <s v="ea"/>
    <n v="100"/>
    <n v="0.06"/>
  </r>
  <r>
    <x v="1538"/>
    <s v="SENSOR INDUCTIVE D=6.5 PNP"/>
    <s v="Baumer"/>
    <n v="11148714"/>
    <s v="USD "/>
    <n v="67.12"/>
    <s v="ea"/>
    <n v="1"/>
    <n v="0.1"/>
  </r>
  <r>
    <x v="1539"/>
    <s v="SCREW-CYL.HEAD HEX.M2.0X 14 ALL THR. ISO4762"/>
    <s v="Bossard"/>
    <s v="BN612 M2x14"/>
    <s v="MYR"/>
    <n v="0.153"/>
    <s v="ea"/>
    <n v="100"/>
    <n v="0.06"/>
  </r>
  <r>
    <x v="1540"/>
    <s v="SCREW-CYL.HEAD HEX.M2.0X 18 PART.THR. ISO4762"/>
    <s v="Bossard"/>
    <s v="N/A"/>
    <s v="MYR"/>
    <n v="0.19600000000000001"/>
    <s v="ea"/>
    <n v="100"/>
    <n v="0.06"/>
  </r>
  <r>
    <x v="1541"/>
    <s v="WASHER SERRATED DIN6798A"/>
    <s v="Bossard"/>
    <s v="BN 675 M4"/>
    <s v="MYR"/>
    <n v="0.15"/>
    <s v="ea"/>
    <n v="200"/>
    <n v="0.06"/>
  </r>
  <r>
    <x v="1542"/>
    <s v="PIN-PARALLEL ISO8734-C1 2m6 X 5"/>
    <s v="Bossard"/>
    <s v="BN857 M2m6x5"/>
    <s v="MYR"/>
    <n v="0.33"/>
    <s v="ea"/>
    <n v="100"/>
    <n v="0.06"/>
  </r>
  <r>
    <x v="1543"/>
    <s v="Threaded inserts, type B open, short, Brass, Plain"/>
    <s v="Bossard"/>
    <s v="BN1036, M5"/>
    <s v="MYR"/>
    <n v="0.92700000000000005"/>
    <s v="ea"/>
    <n v="100"/>
    <n v="0.06"/>
  </r>
  <r>
    <x v="1544"/>
    <s v="SCREW SLOTTED CHEESE HEAD M2x4 ISO1207"/>
    <s v="Bossard"/>
    <s v="BN1061 M2x4"/>
    <s v="MYR"/>
    <n v="0.32"/>
    <s v="ea"/>
    <n v="100"/>
    <n v="0.06"/>
  </r>
  <r>
    <x v="1545"/>
    <s v="SCREW-RAISED HEAD HEX. M 6X8"/>
    <s v="Bossard"/>
    <s v="BN1593 M6x8"/>
    <s v="MYR"/>
    <n v="0.36099999999999999"/>
    <s v="ea"/>
    <n v="100"/>
    <n v="0.06"/>
  </r>
  <r>
    <x v="1546"/>
    <s v="Adjustable handles Elesa®MR.p black"/>
    <s v="Bossard"/>
    <s v="BN14189 41441 MR.63 p-M6x16"/>
    <s v="MYR"/>
    <n v="19.260000000000002"/>
    <s v="ea"/>
    <n v="1"/>
    <n v="0.06"/>
  </r>
  <r>
    <x v="1547"/>
    <s v="Spacer M4x50"/>
    <s v="Bossard"/>
    <s v="BN 3318 M4x50"/>
    <s v="MYR"/>
    <n v="2.46"/>
    <s v="ea"/>
    <n v="100"/>
    <n v="0.06"/>
  </r>
  <r>
    <x v="1548"/>
    <s v="Hex standoffs int/ext thrds st znb"/>
    <s v="Bossard"/>
    <s v="BN 3318 M5 x 14"/>
    <s v="MYR"/>
    <n v="0.77300000000000002"/>
    <s v="ea"/>
    <n v="100"/>
    <n v="0.06"/>
  </r>
  <r>
    <x v="1549"/>
    <s v="SCREW-CYL.HEAD SLOT. M 2X 3 ALL THR. ISO1207"/>
    <s v="Bossard"/>
    <s v="BN650 M2x3"/>
    <s v="MYR"/>
    <n v="0.1"/>
    <s v="ea"/>
    <n v="100"/>
    <n v="0.06"/>
  </r>
  <r>
    <x v="1550"/>
    <s v="SCREW-COUNT.HEAD RECESS M 2.5X 4 ALL THR ISO7046-2"/>
    <s v="Bossard"/>
    <s v="BN661 M2.5x4"/>
    <s v="MYR"/>
    <n v="7.9000000000000001E-2"/>
    <s v="ea"/>
    <n v="400"/>
    <n v="0.06"/>
  </r>
  <r>
    <x v="1551"/>
    <s v="SCREW-COUNT.HEAD RECESS M 2.5X 6 ALL THR ISO7046-2"/>
    <s v="Bossard"/>
    <s v="BN661 M2.5x6"/>
    <s v="MYR"/>
    <n v="0.10300000000000001"/>
    <s v="ea"/>
    <n v="100"/>
    <n v="0.06"/>
  </r>
  <r>
    <x v="1552"/>
    <s v="SCREW-COUNT.HEAD RECESS M 2.5X 8 ALL THR ISO7046-2"/>
    <s v="Bossard"/>
    <s v="BN661 M2.5x8"/>
    <s v="MYR"/>
    <n v="0.105"/>
    <s v="ea"/>
    <n v="300"/>
    <n v="0.06"/>
  </r>
  <r>
    <x v="1553"/>
    <s v="SCREW-COUNT.HEAD RECESS M 2.5X 12 ALL THR ISO7046-"/>
    <s v="Bossard"/>
    <s v="BN661 M2.5x12"/>
    <s v="MYR"/>
    <n v="8.5999999999999993E-2"/>
    <s v="ea"/>
    <n v="400"/>
    <n v="0.06"/>
  </r>
  <r>
    <x v="1554"/>
    <s v="SCREW-COUNT.HEAD RECESS M 2.5X 16 ALL THR ISO7046-"/>
    <s v="Bossard"/>
    <s v="BN661 M2.5x16"/>
    <s v="MYR"/>
    <n v="7.4999999999999997E-2"/>
    <s v="ea"/>
    <n v="400"/>
    <n v="0.06"/>
  </r>
  <r>
    <x v="1555"/>
    <s v="SCREW-COUNT.HEAD RECESS M 2.5X 20 ALL THR ISO7046-"/>
    <s v="Bossard"/>
    <s v="BN661 M2.5x20"/>
    <s v="MYR"/>
    <n v="0.106"/>
    <s v="ea"/>
    <n v="300"/>
    <n v="0.06"/>
  </r>
  <r>
    <x v="1556"/>
    <s v="Cross rec flat screws Phil st st A2 D965 A M3 x 4"/>
    <s v="Bossard"/>
    <s v="BN661 M3 x 4"/>
    <s v="MYR"/>
    <n v="8.299999999999999E-2"/>
    <s v="ea"/>
    <n v="100"/>
    <n v="0.06"/>
  </r>
  <r>
    <x v="1557"/>
    <s v="SCREW-COUNT.HEAD RECESS M 3X 5 ALL THR ISO7046-2"/>
    <s v="Bossard"/>
    <s v="BN661 M3x5"/>
    <s v="MYR"/>
    <n v="0.10300000000000001"/>
    <s v="ea"/>
    <n v="100"/>
    <n v="0.06"/>
  </r>
  <r>
    <x v="1558"/>
    <s v="SCREW-COUNT.HEAD RECESS M 3X 12 ALL THR ISO7046-2"/>
    <s v="Bossard"/>
    <s v="BN661 M3x12"/>
    <s v="MYR"/>
    <n v="0.1"/>
    <s v="ea"/>
    <n v="300"/>
    <n v="0.06"/>
  </r>
  <r>
    <x v="1559"/>
    <s v="SCREW-COUNT.HEAD RECESS M 3X 16 ALL THR ISO7046-2"/>
    <s v="Bossard"/>
    <s v="BN661 M3x16"/>
    <s v="MYR"/>
    <n v="9.6999999999999989E-2"/>
    <s v="ea"/>
    <n v="400"/>
    <n v="0.06"/>
  </r>
  <r>
    <x v="1560"/>
    <s v="SCREW-COUNT.HEAD RECESS M 3X 20 ALL THR ISO7046-2"/>
    <s v="Bossard"/>
    <s v="BN661 M3x20"/>
    <s v="MYR"/>
    <n v="0.13200000000000001"/>
    <s v="ea"/>
    <n v="300"/>
    <n v="0.06"/>
  </r>
  <r>
    <x v="1561"/>
    <s v="SCREW-COUNT.HEAD RECESS M 3X 25 ALL THR ISO7046-2"/>
    <s v="Bossard"/>
    <s v="BN661 M3x25"/>
    <s v="MYR"/>
    <n v="0.16200000000000001"/>
    <s v="ea"/>
    <n v="200"/>
    <n v="0.06"/>
  </r>
  <r>
    <x v="1562"/>
    <s v="SCREW-COUNT.HEAD RECESS M 3X 35 ALL THR ISO7046-2"/>
    <s v="Bossard"/>
    <s v="BN661 M3x35"/>
    <s v="MYR"/>
    <n v="0.22"/>
    <s v="ea"/>
    <n v="200"/>
    <n v="0.06"/>
  </r>
  <r>
    <x v="1563"/>
    <s v="SCREW-HEADLESS HEX.F.P. M 3X 4 A.T. ISO4026"/>
    <s v="Bossard"/>
    <s v="N/A"/>
    <s v="MYR"/>
    <n v="0.1"/>
    <s v="ea"/>
    <n v="200"/>
    <n v="0.06"/>
  </r>
  <r>
    <x v="1564"/>
    <s v="SCREW-HEADLESS HEX.F.P. M 3X 8 A.T. ISO4026"/>
    <s v="Bossard"/>
    <s v="N/A"/>
    <s v="MYR"/>
    <n v="0.10300000000000001"/>
    <s v="ea"/>
    <n v="100"/>
    <n v="0.06"/>
  </r>
  <r>
    <x v="1565"/>
    <s v="NUT-HEX. 0.8D M 2 ISO4032"/>
    <s v="Bossard"/>
    <s v="N/A"/>
    <s v="MYR"/>
    <n v="0.08"/>
    <s v="ea"/>
    <n v="200"/>
    <n v="0.06"/>
  </r>
  <r>
    <x v="1566"/>
    <s v="Hex nuts ~0,8d st st A2 D934"/>
    <s v="Bossard"/>
    <s v="BN628, M2.5"/>
    <s v="MYR"/>
    <n v="4.4999999999999998E-2"/>
    <s v="ea"/>
    <n v="100"/>
    <n v="0.06"/>
  </r>
  <r>
    <x v="1567"/>
    <s v="WASHER-FLAT 8.4X24X2 (M8) ISO7093"/>
    <s v="Bossard"/>
    <s v="BN1356 M8 / 8, 4/24/2"/>
    <s v="MYR"/>
    <n v="0.4"/>
    <s v="ea"/>
    <n v="100"/>
    <n v="0.06"/>
  </r>
  <r>
    <x v="1568"/>
    <s v="NUT-HEX. 0.5D M 2 ISO4035"/>
    <s v="Bossard"/>
    <s v="N/A"/>
    <s v="MYR"/>
    <n v="0.14899999999999999"/>
    <s v="ea"/>
    <n v="100"/>
    <n v="0.06"/>
  </r>
  <r>
    <x v="1569"/>
    <s v="NUT-HEX 0.5D M4 ISO4035"/>
    <s v="Bossard"/>
    <s v="BN630 M4"/>
    <s v="MYR"/>
    <n v="0.29900000000000004"/>
    <s v="ea"/>
    <n v="100"/>
    <n v="0.06"/>
  </r>
  <r>
    <x v="1570"/>
    <s v="Ret ring for bore stand design st D472"/>
    <s v="Bossard"/>
    <s v="BN 822 28"/>
    <s v="MYR"/>
    <n v="0.46399999999999997"/>
    <s v="ea"/>
    <n v="100"/>
    <n v="0.06"/>
  </r>
  <r>
    <x v="1571"/>
    <s v="SCREW-COUNT.HEAD SLOT. M1x3 BRASS ISO2009 A"/>
    <s v="Bossard"/>
    <s v="BN 537 M1x3"/>
    <s v="MYR"/>
    <n v="0.46899999999999997"/>
    <s v="ea"/>
    <n v="100"/>
    <n v="0.06"/>
  </r>
  <r>
    <x v="1572"/>
    <s v="SCREW-COUNT.HEAD RECESS M1,6x 2 ALL THR ISO7046-2"/>
    <s v="Bossard"/>
    <s v="BN661 M1.6x2"/>
    <s v="MYR"/>
    <n v="0.12"/>
    <s v="ea"/>
    <n v="300"/>
    <n v="0.06"/>
  </r>
  <r>
    <x v="1573"/>
    <s v="SCREW-COUNT.HEAD RECESS M1,6x 3 ALL THR ISO7046-2"/>
    <s v="Bossard"/>
    <s v="BN661 M1.6x3"/>
    <s v="MYR"/>
    <n v="0.125"/>
    <s v="ea"/>
    <n v="300"/>
    <n v="0.06"/>
  </r>
  <r>
    <x v="1574"/>
    <s v="SCREW-COUNT.HEAD RECESS M1,6x 4 ALL THR ISO7046-2"/>
    <s v="Bossard"/>
    <s v="BN661 M1.6x4"/>
    <s v="MYR"/>
    <n v="0.15"/>
    <s v="ea"/>
    <n v="200"/>
    <n v="0.06"/>
  </r>
  <r>
    <x v="1575"/>
    <s v="SCREW-COUNT.HEAD RECESS M1,6x 5 ALL THR ISO7046-2"/>
    <s v="Bossard"/>
    <s v="BN661 M1.6x5"/>
    <s v="MYR"/>
    <n v="0.16"/>
    <s v="ea"/>
    <n v="200"/>
    <n v="0.06"/>
  </r>
  <r>
    <x v="1576"/>
    <s v="SCREW-COUNT.HEAD RECESS M1,6x 6 ALL THR ISO7046-2"/>
    <s v="Bossard"/>
    <s v="BN661 M1.6x6"/>
    <s v="MYR"/>
    <n v="0.17"/>
    <s v="ea"/>
    <n v="200"/>
    <n v="0.06"/>
  </r>
  <r>
    <x v="1577"/>
    <s v="SCREW-COUNT.HEAD RECESS M1,6x 8 ALL THR ISO7046-2"/>
    <s v="Bossard"/>
    <s v="BN661 M1.6x8"/>
    <s v="MYR"/>
    <n v="0.18"/>
    <s v="ea"/>
    <n v="200"/>
    <n v="0.06"/>
  </r>
  <r>
    <x v="1578"/>
    <s v="SCREW-COUNT.HEAD RECESS M1,6x10 ALL THR ISO7046-2"/>
    <s v="Bossard"/>
    <s v="BN661 M1.6x10"/>
    <s v="MYR"/>
    <n v="0.2"/>
    <s v="ea"/>
    <n v="200"/>
    <n v="0.06"/>
  </r>
  <r>
    <x v="1579"/>
    <s v="SCREW-COUNT.HEAD RECESS M1,6x12 ALL THR ISO7046-2"/>
    <s v="Bossard"/>
    <s v="BN661 M1.6x12"/>
    <s v="MYR"/>
    <n v="0.22"/>
    <s v="ea"/>
    <n v="200"/>
    <n v="0.06"/>
  </r>
  <r>
    <x v="1580"/>
    <s v="SCREW-COUNT.HEAD RECESS M1,6x16 ALL THR ISO7046-2"/>
    <s v="Bossard"/>
    <s v="BN661 M1.6x16"/>
    <s v="MYR"/>
    <n v="0.28000000000000003"/>
    <s v="ea"/>
    <n v="200"/>
    <n v="0.06"/>
  </r>
  <r>
    <x v="1581"/>
    <s v="SCREW-COUNT.HEAD RECESS M2x 5 ALL THR ISO7046-2"/>
    <s v="Bossard"/>
    <s v="BN661 M2x5"/>
    <s v="MYR"/>
    <n v="0.1"/>
    <s v="ea"/>
    <n v="300"/>
    <n v="0.06"/>
  </r>
  <r>
    <x v="1582"/>
    <s v="SCREW-COUNT.HEAD RECESS M2x10 ALL THR ISO7046-2"/>
    <s v="Bossard"/>
    <s v="BN661 M2x10"/>
    <s v="MYR"/>
    <n v="0.1"/>
    <s v="ea"/>
    <n v="300"/>
    <n v="0.06"/>
  </r>
  <r>
    <x v="1583"/>
    <s v="SCREW-COUNT.HEAD RECESS M2x12 ALL THR ISO7046-2"/>
    <s v="Bossard"/>
    <s v="BN661 M2x12"/>
    <s v="MYR"/>
    <n v="7.0000000000000007E-2"/>
    <s v="ea"/>
    <n v="500"/>
    <n v="0.06"/>
  </r>
  <r>
    <x v="1584"/>
    <s v="SCREW-COUNT.HEAD RECESS M2x16 ALL THR ISO7046-2"/>
    <s v="Bossard"/>
    <s v="BN661 M2x16"/>
    <s v="MYR"/>
    <n v="7.4999999999999997E-2"/>
    <s v="ea"/>
    <n v="400"/>
    <n v="0.06"/>
  </r>
  <r>
    <x v="1585"/>
    <s v="SCREW-COUNT.HEAD RECESS M 2X 3 ALL THR. ISO7046-2"/>
    <s v="Bossard"/>
    <s v="BN661 M2x3"/>
    <s v="MYR"/>
    <n v="8.199999999999999E-2"/>
    <s v="ea"/>
    <n v="400"/>
    <n v="0.06"/>
  </r>
  <r>
    <x v="1586"/>
    <s v="SCREW-COUNT.HEAD RECESS M 4X 6 ALL THR ISO7046-2"/>
    <s v="Bossard"/>
    <s v="BN661 M4x6"/>
    <s v="MYR"/>
    <n v="0.18"/>
    <s v="ea"/>
    <n v="200"/>
    <n v="0.06"/>
  </r>
  <r>
    <x v="1587"/>
    <s v="Hex standoffs with int thrds st znb"/>
    <s v="Bossard"/>
    <s v="BN 3319 M4 x 14"/>
    <s v="MYR"/>
    <n v="0.72099999999999997"/>
    <s v="ea"/>
    <n v="100"/>
    <n v="0.06"/>
  </r>
  <r>
    <x v="1588"/>
    <s v="Fluted grip knobs"/>
    <s v="Bossard"/>
    <s v="BN 14214 6641 25 M6"/>
    <s v="MYR"/>
    <n v="8.76"/>
    <s v="ea"/>
    <n v="1"/>
    <n v="0.06"/>
  </r>
  <r>
    <x v="1589"/>
    <s v="SCREW-COUNT.HEAD SLOT. M1.6x8 BRASS ISO2009"/>
    <s v="Bossard"/>
    <s v="BN 537 M1.6x8"/>
    <s v="MYR"/>
    <n v="0.8"/>
    <s v="ea"/>
    <n v="100"/>
    <n v="0.06"/>
  </r>
  <r>
    <x v="1590"/>
    <s v="RIBBED LOCK WASHER TYPE S M3"/>
    <s v="Bossard"/>
    <s v="BN20041 M3"/>
    <s v="MYR"/>
    <n v="0.3"/>
    <s v="ea"/>
    <n v="100"/>
    <n v="0.06"/>
  </r>
  <r>
    <x v="1591"/>
    <s v="SCREW-COUNT.HEAD RECESS M 4X 12 ALL THR ISO7046-2"/>
    <s v="Bossard"/>
    <s v="BN661 M4x12"/>
    <s v="MYR"/>
    <n v="0.15"/>
    <s v="ea"/>
    <n v="200"/>
    <n v="0.06"/>
  </r>
  <r>
    <x v="1592"/>
    <s v="SCREW-COUNT.HEAD RECESS M 4X 8 ALL THR ISO7046-2"/>
    <s v="Bossard"/>
    <s v="BN661 M4 x 8"/>
    <s v="MYR"/>
    <n v="0.20600000000000002"/>
    <s v="ea"/>
    <n v="200"/>
    <n v="0.06"/>
  </r>
  <r>
    <x v="1593"/>
    <s v="SCREW-COUNT.HEAD RECESS M 4X 14 ALL THR ISO7046-2"/>
    <s v="Bossard"/>
    <s v="N/A"/>
    <s v="MYR"/>
    <n v="0.223"/>
    <s v="ea"/>
    <n v="100"/>
    <n v="0.06"/>
  </r>
  <r>
    <x v="1594"/>
    <s v="SCREW-COUNT.HEAD RECESS M 4X 25 ALL THR ISO7046-2"/>
    <s v="Bossard"/>
    <s v="BN661 M4x25"/>
    <s v="MYR"/>
    <n v="0.19399999999999998"/>
    <s v="ea"/>
    <n v="200"/>
    <n v="0.06"/>
  </r>
  <r>
    <x v="1595"/>
    <s v="Hex soc set scr cone point st st A2 I4027"/>
    <s v="Bossard"/>
    <s v="BN618 2X4"/>
    <s v="MYR"/>
    <n v="0.32"/>
    <s v="ea"/>
    <n v="100"/>
    <n v="0.06"/>
  </r>
  <r>
    <x v="1596"/>
    <s v="Hex stand-offs int/ext thrd st znb, M5x25"/>
    <s v="Bossard"/>
    <s v="BN3318, M5x25"/>
    <s v="MYR"/>
    <n v="1.9"/>
    <s v="ea"/>
    <n v="100"/>
    <n v="0.06"/>
  </r>
  <r>
    <x v="1597"/>
    <s v="Weld studs ext thrd cop plt D32501-1"/>
    <s v="Bossard"/>
    <s v="BN1456 M6 x 16"/>
    <s v="MYR"/>
    <n v="0.35100000000000003"/>
    <s v="ea"/>
    <n v="100"/>
    <n v="0.06"/>
  </r>
  <r>
    <x v="1598"/>
    <s v="SCREW-CYL.HEAD-LOW HEX. M 3X16 A.T. DIN7984"/>
    <s v="Bossard"/>
    <s v="BN2844 M3x16"/>
    <s v="MYR"/>
    <n v="0.23"/>
    <s v="ea"/>
    <n v="100"/>
    <n v="0.06"/>
  </r>
  <r>
    <x v="1599"/>
    <s v="SCREW-HEADLESS HEX.F.P. M 4X35 A.T. ISO4026"/>
    <s v="Bossard"/>
    <s v="BN617 M4x35"/>
    <s v="MYR"/>
    <n v="0.68"/>
    <s v="ea"/>
    <n v="100"/>
    <n v="0.06"/>
  </r>
  <r>
    <x v="1600"/>
    <s v="SCREW-RAISED HEAD HEX. M 2,5X 6 A.T. ISO7380-1"/>
    <s v="Bossard"/>
    <s v="BN8699 M2,5x6"/>
    <s v="MYR"/>
    <n v="0.55000000000000004"/>
    <s v="ea"/>
    <n v="100"/>
    <n v="0.06"/>
  </r>
  <r>
    <x v="1601"/>
    <s v="SCREW-HEADLESS HEX.C.P. M 3X 6 ALL THR. ISO4027"/>
    <s v="Bossard"/>
    <s v="BN618 M3x6"/>
    <s v="MYR"/>
    <n v="0.33200000000000002"/>
    <s v="ea"/>
    <n v="100"/>
    <n v="0.06"/>
  </r>
  <r>
    <x v="1602"/>
    <s v="SCREW-RAISED HEAD HEX. M2X5 ALL THR. ISO7380-1"/>
    <s v="Bossard"/>
    <s v="BN19 M2x5"/>
    <s v="MYR"/>
    <n v="0.5"/>
    <s v="ea"/>
    <n v="100"/>
    <n v="0.06"/>
  </r>
  <r>
    <x v="1603"/>
    <s v="SCREW-RAISED HEAD HEX. M 3X 4 A.T. ISO7380-1"/>
    <s v="Bossard"/>
    <s v="BN19 M3x4"/>
    <s v="MYR"/>
    <n v="0.5"/>
    <s v="ea"/>
    <n v="100"/>
    <n v="0.06"/>
  </r>
  <r>
    <x v="1604"/>
    <s v="SCREW-COUNT.HEAD RECESS M 5X 20 ALL THR ISO7046-2"/>
    <s v="Bossard"/>
    <s v="BN661 M5x20"/>
    <s v="MYR"/>
    <n v="0.33500000000000002"/>
    <s v="ea"/>
    <n v="100"/>
    <n v="0.06"/>
  </r>
  <r>
    <x v="1605"/>
    <s v="SCREW SOCKET HEAD CAP HEX.T.P.M5X25 A.T"/>
    <s v="Bossard"/>
    <s v="BN1350 M5x25"/>
    <s v="MYR"/>
    <n v="2"/>
    <s v="ea"/>
    <n v="100"/>
    <n v="0.06"/>
  </r>
  <r>
    <x v="1606"/>
    <s v="SCREW SOCKET HEAD CAP HEX.T.P.M5X30 P.T"/>
    <s v="Bossard"/>
    <s v="BN1350 M5x30"/>
    <s v="MYR"/>
    <n v="2"/>
    <s v="ea"/>
    <n v="100"/>
    <n v="0.06"/>
  </r>
  <r>
    <x v="1607"/>
    <s v="TAMPER PROOF HEX SOCKET KEYS S4"/>
    <s v="Bossard"/>
    <s v="BN6972, 4"/>
    <s v="MYR"/>
    <n v="9"/>
    <s v="ea"/>
    <n v="1"/>
    <n v="0.06"/>
  </r>
  <r>
    <x v="1608"/>
    <s v="PENN ENGINEERING , CLSS-M5-1"/>
    <s v="Bossard"/>
    <s v="CLSS-M5-1"/>
    <s v="MYR"/>
    <n v="0.6"/>
    <s v="ea"/>
    <n v="1000"/>
    <n v="0.06"/>
  </r>
  <r>
    <x v="1609"/>
    <s v="Hex socket button head cap screws, partially / fully threaded, Steel 010.9 Black"/>
    <s v="Bossard"/>
    <s v="BN19 M4x6"/>
    <s v="MYR"/>
    <n v="0.5"/>
    <s v="ea"/>
    <n v="100"/>
    <n v="0.06"/>
  </r>
  <r>
    <x v="1610"/>
    <s v="SCREW-COUNT.HEAD RECESS M 2.5X 5 ALL THR ISO7046-2"/>
    <s v="Bossard"/>
    <s v="BN661 M2.5x5"/>
    <s v="MYR"/>
    <n v="0.13"/>
    <s v="ea"/>
    <n v="300"/>
    <n v="0.06"/>
  </r>
  <r>
    <x v="1611"/>
    <s v="Nut DIN 439-M16x1,5-A2"/>
    <s v="Bossard"/>
    <s v="BN20015 M16x1,5"/>
    <s v="MYR"/>
    <n v="2.2000000000000002"/>
    <s v="ea"/>
    <n v="100"/>
    <n v="0.06"/>
  </r>
  <r>
    <x v="1612"/>
    <s v="BUTTON HEAD CAP SCREW WITH CENTER PIN M4 x 8"/>
    <s v="Bossard"/>
    <s v="BN33021 M4x8"/>
    <s v="MYR"/>
    <n v="0.28100000000000003"/>
    <s v="ea"/>
    <n v="200"/>
    <n v="0.06"/>
  </r>
  <r>
    <x v="1613"/>
    <s v="BUTTON HEAD CAP SCREW WITH CENTER PIN M4 x 10"/>
    <s v="Bossard"/>
    <s v="BN33021 M4x10"/>
    <s v="MYR"/>
    <n v="0.3"/>
    <s v="ea"/>
    <n v="200"/>
    <n v="0.06"/>
  </r>
  <r>
    <x v="1614"/>
    <s v="BUTTON HEAD CAP SCREW WITH CENTER PIN M4 x 12"/>
    <s v="Bossard"/>
    <s v="BN33021 M4x12"/>
    <s v="MYR"/>
    <n v="0.32"/>
    <s v="ea"/>
    <n v="200"/>
    <n v="0.06"/>
  </r>
  <r>
    <x v="1615"/>
    <s v="SCREW DRIVER BITS 1/4&quot; WITH HOLE T20 x 25"/>
    <s v="Bossard"/>
    <s v="BN33062 TX20"/>
    <s v="MYR"/>
    <n v="9.5"/>
    <s v="ea"/>
    <n v="5"/>
    <n v="0.06"/>
  </r>
  <r>
    <x v="1616"/>
    <s v="BOLT-THREADED M6x50 ZP"/>
    <s v="Bossard"/>
    <s v="BN1391 M6x50"/>
    <s v="MYR"/>
    <n v="7.5"/>
    <s v="ea"/>
    <n v="100"/>
    <n v="0.06"/>
  </r>
  <r>
    <x v="1617"/>
    <s v="LUG,RING,UNINS,26-22AWG,#4"/>
    <s v="Bossard"/>
    <s v="Panduit P22-4R-C"/>
    <s v="MYR"/>
    <n v="0.55000000000000004"/>
    <s v="ea"/>
    <n v="100"/>
    <n v="0.06"/>
  </r>
  <r>
    <x v="1618"/>
    <s v="BUTTON HEAD CAP SCREW WITH CENTER PIN M4 x 25"/>
    <s v="Bossard"/>
    <s v="BN 6971 M4x25"/>
    <s v="MYR"/>
    <n v="2.25"/>
    <s v="ea"/>
    <n v="100"/>
    <n v="0.06"/>
  </r>
  <r>
    <x v="1619"/>
    <s v="BUTTON HEAD CAP SCREW WITH CENTER PIN M5 X 10"/>
    <s v="Bossard"/>
    <s v="BN 33021 M5x10"/>
    <s v="MYR"/>
    <n v="0.56999999999999995"/>
    <s v="ea"/>
    <n v="100"/>
    <n v="0.06"/>
  </r>
  <r>
    <x v="1620"/>
    <s v="BUTTON HEAD CAP SCREW WITH CENTER PIN M5 X 16"/>
    <s v="Bossard"/>
    <s v="BN 33021 M5x16"/>
    <s v="MYR"/>
    <n v="0.62"/>
    <s v="ea"/>
    <n v="100"/>
    <n v="0.06"/>
  </r>
  <r>
    <x v="1621"/>
    <s v="HOLE PLUG PLASTIC D=8"/>
    <s v="Bossard"/>
    <s v="HEYCO SP 312 1678"/>
    <s v="MYR"/>
    <n v="0.60199999999999998"/>
    <s v="ea"/>
    <n v="1000"/>
    <n v="0.06"/>
  </r>
  <r>
    <x v="1622"/>
    <s v="HOLE PLUG PLASTIC D=10"/>
    <s v="Bossard"/>
    <s v="HEYCO SP 390 1708"/>
    <s v="MYR"/>
    <n v="0.14499999999999999"/>
    <s v="ea"/>
    <n v="5000"/>
    <n v="0.06"/>
  </r>
  <r>
    <x v="1623"/>
    <s v="SPACER-HEX. M2.5X8 M/F"/>
    <s v="Bossard"/>
    <s v="BN3318 M2.5x8"/>
    <s v="MYR"/>
    <n v="0.7"/>
    <s v="ea"/>
    <n v="100"/>
    <n v="0.06"/>
  </r>
  <r>
    <x v="1624"/>
    <s v="SPACER-HEX M2.5X6 F/F"/>
    <s v="Bossard"/>
    <s v="BN3319 M2.5x6"/>
    <s v="MYR"/>
    <n v="0.6"/>
    <s v="ea"/>
    <n v="100"/>
    <n v="0.06"/>
  </r>
  <r>
    <x v="1625"/>
    <s v="SCREW M10X16MM SS SHC"/>
    <s v="Bossard"/>
    <s v="BN610 M10x16"/>
    <s v="MYR"/>
    <n v="1.9469999999999998"/>
    <s v="ea"/>
    <n v="100"/>
    <n v="0.06"/>
  </r>
  <r>
    <x v="1626"/>
    <s v="SCR M1.6 X 4MM SS PHP"/>
    <s v="Bossard"/>
    <s v="N/A"/>
    <s v="MYR"/>
    <n v="0.105"/>
    <s v="ea"/>
    <n v="100"/>
    <n v="0.06"/>
  </r>
  <r>
    <x v="1627"/>
    <s v="SCREW M2 X 3MM SS PHP"/>
    <s v="Bossard"/>
    <s v="BN660 M2x3"/>
    <s v="MYR"/>
    <n v="0.309"/>
    <s v="ea"/>
    <n v="100"/>
    <n v="0.06"/>
  </r>
  <r>
    <x v="1628"/>
    <s v="SCREW M2 X 4MM SS QFHP"/>
    <s v="Bossard"/>
    <s v="N/A"/>
    <s v="MYR"/>
    <n v="7.3999999999999996E-2"/>
    <s v="ea"/>
    <n v="100"/>
    <n v="0.06"/>
  </r>
  <r>
    <x v="1629"/>
    <s v="SCREW,M2 X 4MM,FHS,SS"/>
    <s v="Bossard"/>
    <s v="N/A"/>
    <s v="MYR"/>
    <n v="0.10300000000000001"/>
    <s v="ea"/>
    <n v="100"/>
    <n v="0.06"/>
  </r>
  <r>
    <x v="1630"/>
    <s v="SCREW M2 X .4 X 4MM"/>
    <s v="Bossard"/>
    <s v="BN19"/>
    <s v="MYR"/>
    <n v="0.51400000000000001"/>
    <s v="ea"/>
    <n v="100"/>
    <n v="0.06"/>
  </r>
  <r>
    <x v="1631"/>
    <s v="SCREW M2 X 5MM SS PHP"/>
    <s v="Bossard"/>
    <s v="N/A"/>
    <s v="MYR"/>
    <n v="7.3999999999999996E-2"/>
    <s v="ea"/>
    <n v="100"/>
    <n v="0.06"/>
  </r>
  <r>
    <x v="1632"/>
    <s v="SCREW,M2 X 6MM,SS,PHP"/>
    <s v="Bossard"/>
    <s v="BN660 M2x6"/>
    <s v="MYR"/>
    <n v="0.309"/>
    <s v="ea"/>
    <n v="100"/>
    <n v="0.06"/>
  </r>
  <r>
    <x v="1633"/>
    <s v="SCREW-CYL.HEAD HEX. M 2X 8 A.T. A4"/>
    <s v="Bossard"/>
    <s v="BN612 M2x8"/>
    <s v="MYR"/>
    <n v="0.17400000000000002"/>
    <s v="ea"/>
    <n v="100"/>
    <n v="0.06"/>
  </r>
  <r>
    <x v="1634"/>
    <s v="SCREW M2.5 X 4MM SS PHP"/>
    <s v="Bossard"/>
    <s v="N/A"/>
    <s v="MYR"/>
    <n v="8.4000000000000005E-2"/>
    <s v="ea"/>
    <n v="100"/>
    <n v="0.06"/>
  </r>
  <r>
    <x v="1635"/>
    <s v="SCREW M2.5X5MM SS FHC"/>
    <s v="Bossard"/>
    <s v="DIN7991 A4 BN4719"/>
    <s v="MYR"/>
    <n v="0.439"/>
    <s v="ea"/>
    <n v="100"/>
    <n v="0.06"/>
  </r>
  <r>
    <x v="1636"/>
    <s v="SCREW,M2.5X10MM,SS,SHC"/>
    <s v="Bossard"/>
    <s v="N/A"/>
    <s v="MYR"/>
    <n v="0.114"/>
    <s v="ea"/>
    <n v="100"/>
    <n v="0.06"/>
  </r>
  <r>
    <x v="1637"/>
    <s v="SCREW-COUNT.HEAD HEX. M 3x 5 A.T."/>
    <s v="Bossard"/>
    <s v="DIN7991 BN616 A2"/>
    <s v="MYR"/>
    <n v="0.18"/>
    <s v="ea"/>
    <n v="100"/>
    <n v="0.06"/>
  </r>
  <r>
    <x v="1638"/>
    <s v="SCREW-CYL.HEAD HEX. M 3X 5 A.T. A4"/>
    <s v="Bossard"/>
    <s v="BN612 M3x5"/>
    <s v="MYR"/>
    <n v="0.22"/>
    <s v="ea"/>
    <n v="100"/>
    <n v="0.06"/>
  </r>
  <r>
    <x v="1639"/>
    <s v="M3 X 5MM BLK OX BHC"/>
    <s v="Bossard"/>
    <s v="N/A"/>
    <s v="MYR"/>
    <n v="9.2999999999999985E-2"/>
    <s v="ea"/>
    <n v="100"/>
    <n v="0.06"/>
  </r>
  <r>
    <x v="1640"/>
    <s v="SCREW,M3 X 6MM,SS,PHP"/>
    <s v="Bossard"/>
    <s v="BN660 M3x6"/>
    <s v="MYR"/>
    <n v="0.309"/>
    <s v="ea"/>
    <n v="100"/>
    <n v="0.06"/>
  </r>
  <r>
    <x v="1641"/>
    <s v="SCREW-CYL.HEAD HEX. M 3X 6 A.T. A4"/>
    <s v="Bossard"/>
    <s v="BN612 M3x6"/>
    <s v="MYR"/>
    <n v="0.14599999999999999"/>
    <s v="ea"/>
    <n v="100"/>
    <n v="0.06"/>
  </r>
  <r>
    <x v="1642"/>
    <s v="SCREW,M3 X 6MM,BLK OX,FHS"/>
    <s v="Bossard"/>
    <s v="BN20 M3x6"/>
    <s v="MYR"/>
    <n v="0.10300000000000001"/>
    <s v="ea"/>
    <n v="100"/>
    <n v="0.06"/>
  </r>
  <r>
    <x v="1643"/>
    <s v="SCREW-CYL.HEAD HEX. M 3X 8 A.T. A4"/>
    <s v="Bossard"/>
    <s v="BN612 M3x8"/>
    <s v="MYR"/>
    <n v="0.13100000000000001"/>
    <s v="ea"/>
    <n v="100"/>
    <n v="0.06"/>
  </r>
  <r>
    <x v="1644"/>
    <s v="SCREW M3 X 10MM SS FHP"/>
    <s v="Bossard"/>
    <s v="DIN965A A2 BN661"/>
    <s v="MYR"/>
    <n v="8.199999999999999E-2"/>
    <s v="ea"/>
    <n v="100"/>
    <n v="0.06"/>
  </r>
  <r>
    <x v="1645"/>
    <s v="SCREW-COUNT.HEAD HEX. M 3x10 A.T. A4"/>
    <s v="Bossard"/>
    <s v="BN4719 M3x10"/>
    <s v="MYR"/>
    <n v="7.4999999999999997E-2"/>
    <s v="ea"/>
    <n v="100"/>
    <n v="0.06"/>
  </r>
  <r>
    <x v="1646"/>
    <s v="SCREW-RAISED HEAD HEX. M 3x10 A.T. A4"/>
    <s v="Bossard"/>
    <s v="BN8699 M3x10"/>
    <s v="MYR"/>
    <n v="0.18700000000000003"/>
    <s v="ea"/>
    <n v="100"/>
    <n v="0.06"/>
  </r>
  <r>
    <x v="1647"/>
    <s v="SCREW M3 X 10MM BLK OX BHC"/>
    <s v="Bossard"/>
    <s v="91239A115"/>
    <s v="MYR"/>
    <n v="0.14899999999999999"/>
    <s v="ea"/>
    <n v="100"/>
    <n v="0.06"/>
  </r>
  <r>
    <x v="1648"/>
    <s v="SCR  M3X12MM  BH SOC SS"/>
    <s v="Bossard"/>
    <s v="ARTICLE NO: 1348744"/>
    <s v="MYR"/>
    <n v="0.13100000000000001"/>
    <s v="ea"/>
    <n v="100"/>
    <n v="0.06"/>
  </r>
  <r>
    <x v="1649"/>
    <s v="6503001299 - SCREW M3 X 12 - 1020536"/>
    <s v="Bossard"/>
    <s v="BN19"/>
    <s v="MYR"/>
    <n v="0.439"/>
    <s v="ea"/>
    <n v="100"/>
    <n v="0.06"/>
  </r>
  <r>
    <x v="1650"/>
    <s v="SCREW-CYL.HEAD HEX. M 3X14 A.T. A4"/>
    <s v="Bossard"/>
    <s v="BN612 M3x14"/>
    <s v="MYR"/>
    <n v="0.14599999999999999"/>
    <s v="ea"/>
    <n v="100"/>
    <n v="0.06"/>
  </r>
  <r>
    <x v="1651"/>
    <s v="SCREW-COUNT.HEAD HEX. M 3x16 A.T. A4"/>
    <s v="Bossard"/>
    <s v="BN4719 M3x16"/>
    <s v="MYR"/>
    <n v="0.41200000000000003"/>
    <s v="ea"/>
    <n v="100"/>
    <n v="0.06"/>
  </r>
  <r>
    <x v="1652"/>
    <s v="SCREW-CYL.HEAD HEX. M 3X16 A.T. A4"/>
    <s v="Bossard"/>
    <s v="BN612 M3x16"/>
    <s v="MYR"/>
    <n v="0.14599999999999999"/>
    <s v="ea"/>
    <n v="100"/>
    <n v="0.06"/>
  </r>
  <r>
    <x v="1653"/>
    <s v="SCREW-CYL.HEAD HEX. M 3X20 A.T. A4"/>
    <s v="Bossard"/>
    <s v="BN612 M3x20"/>
    <s v="MYR"/>
    <n v="0.21"/>
    <s v="ea"/>
    <n v="100"/>
    <n v="0.06"/>
  </r>
  <r>
    <x v="1654"/>
    <s v="6503002504 - SCREW M3X25 - 1211099"/>
    <s v="Bossard"/>
    <s v="N/A"/>
    <s v="MYR"/>
    <n v="0.30499999999999999"/>
    <s v="ea"/>
    <n v="100"/>
    <n v="0.06"/>
  </r>
  <r>
    <x v="1655"/>
    <s v="SCREW-CYL.HEAD HEXA. M 3X 25 PART.THR. A4"/>
    <s v="Bossard"/>
    <s v="BN613 M3x25"/>
    <s v="MYR"/>
    <n v="0.29400000000000004"/>
    <s v="ea"/>
    <n v="100"/>
    <n v="0.06"/>
  </r>
  <r>
    <x v="1656"/>
    <s v="6503003001 - SCREW M3X30 - 1213202"/>
    <s v="Bossard"/>
    <s v="N/A"/>
    <s v="MYR"/>
    <n v="0.16400000000000003"/>
    <s v="ea"/>
    <n v="100"/>
    <n v="0.06"/>
  </r>
  <r>
    <x v="1657"/>
    <s v="6503004001 - SCREW M3X40 - 1577492"/>
    <s v="Bossard"/>
    <s v="N/A"/>
    <s v="MYR"/>
    <n v="0.21"/>
    <s v="ea"/>
    <n v="100"/>
    <n v="0.06"/>
  </r>
  <r>
    <x v="1658"/>
    <s v="SCREW-COUNT.HEAD HEX. M 4x 6 A.T. A4"/>
    <s v="Bossard"/>
    <s v="BN4719 M4x6"/>
    <s v="MYR"/>
    <n v="0.115"/>
    <s v="ea"/>
    <n v="100"/>
    <n v="0.06"/>
  </r>
  <r>
    <x v="1659"/>
    <s v="SCREW M4X6MM SS PHP"/>
    <s v="Bossard"/>
    <s v="N/A"/>
    <s v="MYR"/>
    <n v="0.105"/>
    <s v="ea"/>
    <n v="100"/>
    <n v="0.06"/>
  </r>
  <r>
    <x v="1660"/>
    <s v="6504001001 - SCREW M4 - 1250795"/>
    <s v="Bossard"/>
    <s v="ARTICLE NO: 1250795"/>
    <s v="MYR"/>
    <n v="0.11599999999999999"/>
    <s v="ea"/>
    <n v="100"/>
    <n v="0.06"/>
  </r>
  <r>
    <x v="1661"/>
    <s v="SCREW-COUNT.HEAD HEX. M 4x10 A.T. A4"/>
    <s v="Bossard"/>
    <s v="BN4719 M4x10"/>
    <s v="MYR"/>
    <n v="0.13100000000000001"/>
    <s v="ea"/>
    <n v="100"/>
    <n v="0.06"/>
  </r>
  <r>
    <x v="1662"/>
    <s v="Hex soc flt hd scr ful trd A2"/>
    <s v="Bossard"/>
    <s v="M 4 x 14"/>
    <s v="MYR"/>
    <n v="0.26300000000000001"/>
    <s v="ea"/>
    <n v="100"/>
    <n v="0.06"/>
  </r>
  <r>
    <x v="1663"/>
    <s v="SCREW,M4,14MM,SS,BHCS"/>
    <s v="Bossard"/>
    <s v="ARTICLE NO: 1348841"/>
    <s v="MYR"/>
    <n v="0.22"/>
    <s v="ea"/>
    <n v="100"/>
    <n v="0.06"/>
  </r>
  <r>
    <x v="1664"/>
    <s v="SCREW-COUNT.HEAD HEX. M 4x16 A.T. A4"/>
    <s v="Bossard"/>
    <s v="BN4719 M4x16"/>
    <s v="MYR"/>
    <n v="0.495"/>
    <s v="ea"/>
    <n v="100"/>
    <n v="0.06"/>
  </r>
  <r>
    <x v="1665"/>
    <s v="M4 X 16MM BLK OX BHC"/>
    <s v="Bossard"/>
    <s v="N/A"/>
    <s v="MYR"/>
    <n v="0.25800000000000001"/>
    <s v="ea"/>
    <n v="100"/>
    <n v="0.06"/>
  </r>
  <r>
    <x v="1666"/>
    <s v="SCREW M4X30MM SS SHC"/>
    <s v="Bossard"/>
    <s v="BN610 M4 x 30"/>
    <s v="MYR"/>
    <n v="0.92700000000000005"/>
    <s v="ea"/>
    <n v="100"/>
    <n v="0.06"/>
  </r>
  <r>
    <x v="1667"/>
    <s v="SCREW M4 X 0.7 X 45MM SS FHP"/>
    <s v="Bossard"/>
    <s v="N/A"/>
    <s v="MYR"/>
    <n v="0.441"/>
    <s v="ea"/>
    <n v="100"/>
    <n v="0.06"/>
  </r>
  <r>
    <x v="1668"/>
    <s v="Cross rec hd screws Phil st st A2 D7985A"/>
    <s v="Bossard"/>
    <s v="BN660 M5 x 8"/>
    <s v="MYR"/>
    <n v="0.39899999999999997"/>
    <s v="ea"/>
    <n v="100"/>
    <n v="0.06"/>
  </r>
  <r>
    <x v="1669"/>
    <s v="SCREW,M5 X 8MM,LG BUTTONHEAD A4"/>
    <s v="Bossard"/>
    <s v="BN8699 M5x8"/>
    <s v="MYR"/>
    <n v="0.318"/>
    <s v="ea"/>
    <n v="100"/>
    <n v="0.06"/>
  </r>
  <r>
    <x v="1670"/>
    <s v="SCREW M5 X 12MM SS BHC"/>
    <s v="Bossard"/>
    <s v="MCMASTER / 92095A210"/>
    <s v="MYR"/>
    <n v="0.29399999999999998"/>
    <s v="ea"/>
    <n v="100"/>
    <n v="0.06"/>
  </r>
  <r>
    <x v="1671"/>
    <s v="Hex socket head cap screws st st"/>
    <s v="Bossard"/>
    <s v="BN91110 M5x15"/>
    <s v="MYR"/>
    <n v="1.89"/>
    <s v="ea"/>
    <n v="1000"/>
    <n v="0.06"/>
  </r>
  <r>
    <x v="1672"/>
    <s v="SCREW-COUNT.HEAD HEX. M 5x16 A.T. A4"/>
    <s v="Bossard"/>
    <s v="BN4719 M5x16"/>
    <s v="MYR"/>
    <n v="0.37200000000000005"/>
    <s v="ea"/>
    <n v="100"/>
    <n v="0.06"/>
  </r>
  <r>
    <x v="1673"/>
    <s v="SCREW M5-.8 X18MM FHS SS"/>
    <s v="Bossard"/>
    <s v="ARTICLE NO: 1713736"/>
    <s v="MYR"/>
    <n v="0.39"/>
    <s v="ea"/>
    <n v="100"/>
    <n v="0.06"/>
  </r>
  <r>
    <x v="1674"/>
    <s v="Hx soc hd cp scr ful thrd st st A4 D912"/>
    <s v="Bossard"/>
    <s v="BN612 M5 x 22"/>
    <s v="MYR"/>
    <n v="0.51500000000000001"/>
    <s v="ea"/>
    <n v="100"/>
    <n v="0.06"/>
  </r>
  <r>
    <x v="1675"/>
    <s v="SCREW-COUNT.HEAD HEX. M 5x30 A.T. A4"/>
    <s v="Bossard"/>
    <s v="BN4719 M5x30"/>
    <s v="MYR"/>
    <n v="1.5759999999999998"/>
    <s v="ea"/>
    <n v="100"/>
    <n v="0.06"/>
  </r>
  <r>
    <x v="1676"/>
    <s v="SCREW M5X30MM SS SHC"/>
    <s v="Bossard"/>
    <s v="BN610 M5 x 30"/>
    <s v="MYR"/>
    <n v="0.92700000000000005"/>
    <s v="ea"/>
    <n v="100"/>
    <n v="0.06"/>
  </r>
  <r>
    <x v="1677"/>
    <s v="SCREW  M6X12MM SS BHC"/>
    <s v="Bossard"/>
    <s v="ISO7380 A2 BN1593"/>
    <s v="MYR"/>
    <n v="0.77899999999999991"/>
    <s v="ea"/>
    <n v="100"/>
    <n v="0.06"/>
  </r>
  <r>
    <x v="1678"/>
    <s v="SCREW,M6 X 14MM,FHS,SS"/>
    <s v="Bossard"/>
    <s v="N/A"/>
    <s v="MYR"/>
    <n v="0.47899999999999998"/>
    <s v="ea"/>
    <n v="100"/>
    <n v="0.06"/>
  </r>
  <r>
    <x v="1679"/>
    <s v="SCREW M6 X 18MM BUTTON SOC"/>
    <s v="Bossard"/>
    <n v="6176775"/>
    <s v="MYR"/>
    <n v="3.45"/>
    <s v="ea"/>
    <n v="100"/>
    <n v="0.06"/>
  </r>
  <r>
    <x v="1680"/>
    <s v="SCREW M6-1X25MM SS BHC"/>
    <s v="Bossard"/>
    <s v="ISO7380 A4 BN8699"/>
    <s v="MYR"/>
    <n v="0.95299999999999996"/>
    <s v="ea"/>
    <n v="100"/>
    <n v="0.06"/>
  </r>
  <r>
    <x v="1681"/>
    <s v="SCREW M6 X 30MM BHCS"/>
    <s v="Bossard"/>
    <s v="N/A"/>
    <s v="MYR"/>
    <n v="0.441"/>
    <s v="ea"/>
    <n v="100"/>
    <n v="0.06"/>
  </r>
  <r>
    <x v="1682"/>
    <s v="SCREW M6 X 35MM SS SHC"/>
    <s v="Bossard"/>
    <s v="BN610 M6 x 35"/>
    <s v="MYR"/>
    <n v="0.84"/>
    <s v="ea"/>
    <n v="100"/>
    <n v="0.06"/>
  </r>
  <r>
    <x v="1683"/>
    <s v="SCREW M6X40MM SS SHC"/>
    <s v="Bossard"/>
    <s v="N/A"/>
    <s v="MYR"/>
    <n v="1.1950000000000001"/>
    <s v="ea"/>
    <n v="100"/>
    <n v="0.06"/>
  </r>
  <r>
    <x v="1684"/>
    <s v="SCREW M6 X 45MM SS SHC"/>
    <s v="Bossard"/>
    <s v="BN611 M6 x 45"/>
    <s v="MYR"/>
    <n v="1.754"/>
    <s v="ea"/>
    <n v="100"/>
    <n v="0.06"/>
  </r>
  <r>
    <x v="1685"/>
    <s v="SCREW M6X50MM SHC"/>
    <s v="Bossard"/>
    <s v="DIN912 A2 BN610"/>
    <s v="MYR"/>
    <n v="0.82699999999999985"/>
    <s v="ea"/>
    <n v="100"/>
    <n v="0.06"/>
  </r>
  <r>
    <x v="1686"/>
    <s v="SCREW-COUNT.HEAD HEX. M 8x16 A.T. A4"/>
    <s v="Bossard"/>
    <s v="BN4719 M8x16"/>
    <s v="MYR"/>
    <n v="0.82400000000000007"/>
    <s v="ea"/>
    <n v="100"/>
    <n v="0.06"/>
  </r>
  <r>
    <x v="1687"/>
    <s v="SCREW M8 X 16MM SS BHC"/>
    <s v="Bossard"/>
    <s v="N/A"/>
    <s v="MYR"/>
    <n v="0.65099999999999991"/>
    <s v="ea"/>
    <n v="100"/>
    <n v="0.06"/>
  </r>
  <r>
    <x v="1688"/>
    <s v="SCREW-COUNT.HEAD HEX. M 8x25 A.T. A4"/>
    <s v="Bossard"/>
    <s v="BN4719 M8x25"/>
    <s v="MYR"/>
    <n v="0.83399999999999996"/>
    <s v="ea"/>
    <n v="100"/>
    <n v="0.06"/>
  </r>
  <r>
    <x v="1689"/>
    <s v="SCREW M8 X 40MM SS SHC"/>
    <s v="Bossard"/>
    <s v="BN611 M 8 x 40"/>
    <s v="MYR"/>
    <n v="1.113"/>
    <s v="ea"/>
    <n v="100"/>
    <n v="0.06"/>
  </r>
  <r>
    <x v="1690"/>
    <s v="SCREW M10X16MM SS HEX"/>
    <s v="Bossard"/>
    <s v="DIN933 A2 BN622"/>
    <s v="MYR"/>
    <n v="1.6909999999999998"/>
    <s v="ea"/>
    <n v="100"/>
    <n v="0.06"/>
  </r>
  <r>
    <x v="1691"/>
    <s v="SCREW-COUNT.HEAD HEX. M10x20 A.T. A4"/>
    <s v="Bossard"/>
    <s v="BN2105 M10x20"/>
    <s v="MYR"/>
    <n v="1.5449999999999999"/>
    <s v="ea"/>
    <n v="100"/>
    <n v="0.06"/>
  </r>
  <r>
    <x v="1692"/>
    <s v="SCREW M10 X 25MM SHC SS"/>
    <s v="Bossard"/>
    <s v="DIN912 A2 BN610"/>
    <s v="MYR"/>
    <n v="2.7440000000000002"/>
    <s v="ea"/>
    <n v="100"/>
    <n v="0.06"/>
  </r>
  <r>
    <x v="1693"/>
    <s v="SCREW,M10X1.5X50MM,SS,SHC"/>
    <s v="Bossard"/>
    <s v="N/A"/>
    <s v="MYR"/>
    <n v="2.8839999999999999"/>
    <s v="ea"/>
    <n v="100"/>
    <n v="0.06"/>
  </r>
  <r>
    <x v="1694"/>
    <s v="SCREW, M10X1.5X80MM, SS, SSHC"/>
    <s v="Bossard"/>
    <s v="DIN912-A2 BN611"/>
    <s v="MYR"/>
    <n v="5.5650000000000004"/>
    <s v="ea"/>
    <n v="50"/>
    <n v="0.06"/>
  </r>
  <r>
    <x v="1695"/>
    <s v="SCREW M12X20MM SS HEX"/>
    <s v="Bossard"/>
    <s v="BN622 M12 x 20"/>
    <s v="MYR"/>
    <n v="2.31"/>
    <s v="ea"/>
    <n v="50"/>
    <n v="0.06"/>
  </r>
  <r>
    <x v="1696"/>
    <s v="SCREW M12X25MM SS HEX"/>
    <s v="Bossard"/>
    <s v="DIN933 A2 BN622"/>
    <s v="MYR"/>
    <n v="3.1430000000000002"/>
    <s v="ea"/>
    <n v="100"/>
    <n v="0.06"/>
  </r>
  <r>
    <x v="1697"/>
    <s v="SCREW M12X30MM SS HEX"/>
    <s v="Bossard"/>
    <s v="DIN933 A2 BN622"/>
    <s v="MYR"/>
    <n v="3.2920000000000003"/>
    <s v="ea"/>
    <n v="100"/>
    <n v="0.06"/>
  </r>
  <r>
    <x v="1698"/>
    <s v="SCREW M12X35MM SS HEX"/>
    <s v="Bossard"/>
    <s v="DIN933 A2 BN622"/>
    <s v="MYR"/>
    <n v="4.0810000000000004"/>
    <s v="ea"/>
    <n v="50"/>
    <n v="0.06"/>
  </r>
  <r>
    <x v="1699"/>
    <s v="SCREW M12X40MM SS 316 HEX"/>
    <s v="Bossard"/>
    <s v="DIN933 A2 BN622"/>
    <s v="MYR"/>
    <n v="3.8410000000000002"/>
    <s v="ea"/>
    <n v="50"/>
    <n v="0.06"/>
  </r>
  <r>
    <x v="1700"/>
    <s v="SCREW M12X40MM SS SHC"/>
    <s v="Bossard"/>
    <s v="ARTICLE NO : 1422022"/>
    <s v="MYR"/>
    <n v="4.7880000000000003"/>
    <s v="ea"/>
    <n v="50"/>
    <n v="0.06"/>
  </r>
  <r>
    <x v="1701"/>
    <s v="SCREW,M12X50MM,SS,HEX"/>
    <s v="Bossard"/>
    <n v="1238272"/>
    <s v="MYR"/>
    <n v="4.4749999999999996"/>
    <s v="ea"/>
    <n v="100"/>
    <n v="0.06"/>
  </r>
  <r>
    <x v="1702"/>
    <s v="NUT STD HEX 6-32 SS"/>
    <s v="Bossard"/>
    <s v="N/A"/>
    <s v="MYR"/>
    <n v="0.52500000000000002"/>
    <s v="ea"/>
    <n v="100"/>
    <n v="0.06"/>
  </r>
  <r>
    <x v="1703"/>
    <s v="Hex nut ss 18-8 pln"/>
    <s v="Bossard"/>
    <s v="BN48218 1/4 - 20"/>
    <s v="MYR"/>
    <n v="1.155"/>
    <s v="ea"/>
    <n v="100"/>
    <n v="0.06"/>
  </r>
  <r>
    <x v="1704"/>
    <s v="Phil phms ss 18-8 ft"/>
    <s v="Bossard"/>
    <s v="BN48210 4-40x1/4"/>
    <s v="MYR"/>
    <n v="0.20600000000000002"/>
    <s v="ea"/>
    <n v="100"/>
    <n v="0.06"/>
  </r>
  <r>
    <x v="1705"/>
    <s v="4-40 x 3/8 SS PAN HD PHILLIPS"/>
    <s v="Bossard"/>
    <s v="BN48210 4-40x3/8"/>
    <s v="MYR"/>
    <n v="0.12"/>
    <s v="ea"/>
    <n v="500"/>
    <n v="0.06"/>
  </r>
  <r>
    <x v="1706"/>
    <s v="Socket head cap screw ss 18-8 pln f"/>
    <s v="Bossard"/>
    <s v="BN48191 6 - 32 x 1"/>
    <s v="MYR"/>
    <n v="0.94499999999999995"/>
    <s v="ea"/>
    <n v="100"/>
    <n v="0.06"/>
  </r>
  <r>
    <x v="1707"/>
    <s v="Socket head cap screw ss 18-8 pln f"/>
    <s v="Bossard"/>
    <s v="BN48191 6 - 32 x 1/2"/>
    <s v="MYR"/>
    <n v="0.65099999999999991"/>
    <s v="ea"/>
    <n v="100"/>
    <n v="0.06"/>
  </r>
  <r>
    <x v="1708"/>
    <s v="Hex socket head cap screws st st"/>
    <s v="Bossard"/>
    <s v="BN91110 #6-32x0.25"/>
    <s v="MYR"/>
    <n v="0.42"/>
    <s v="ea"/>
    <n v="1000"/>
    <n v="0.06"/>
  </r>
  <r>
    <x v="1709"/>
    <s v="6-32 x 3/8 SS SHC"/>
    <s v="Bossard"/>
    <s v="BN48191 6-32x3/8"/>
    <s v="MYR"/>
    <n v="0.5"/>
    <s v="ea"/>
    <n v="500"/>
    <n v="0.06"/>
  </r>
  <r>
    <x v="1710"/>
    <s v="SCREW,6-32 X 3/8&quot; SS BHC"/>
    <s v="Bossard"/>
    <s v="BN48196 #6-32x3/8"/>
    <s v="MYR"/>
    <n v="1.5449999999999999"/>
    <s v="ea"/>
    <n v="100"/>
    <n v="0.06"/>
  </r>
  <r>
    <x v="1711"/>
    <s v="SCR,8-32 X 1.0&quot; SS SHC"/>
    <s v="Bossard"/>
    <s v="BN48191 #8-32 x 1"/>
    <s v="MYR"/>
    <n v="0.76500000000000001"/>
    <s v="ea"/>
    <n v="100"/>
    <n v="0.06"/>
  </r>
  <r>
    <x v="1712"/>
    <s v="SCREW 8-32 X 1/2'' FHP SS"/>
    <s v="Bossard"/>
    <s v="BN48208"/>
    <s v="MYR"/>
    <n v="0.45"/>
    <s v="ea"/>
    <n v="100"/>
    <n v="0.06"/>
  </r>
  <r>
    <x v="1713"/>
    <s v="Socket head cap screw ss 18-8 pln"/>
    <s v="Bossard"/>
    <s v="BN48190 8 - 32 x 1 1/2"/>
    <s v="MYR"/>
    <n v="2.1"/>
    <s v="ea"/>
    <n v="100"/>
    <n v="0.06"/>
  </r>
  <r>
    <x v="1714"/>
    <s v="SCREW 8-32 X 3/16'' SS BHC"/>
    <s v="Bossard"/>
    <s v="BN48196"/>
    <s v="MYR"/>
    <n v="0.67"/>
    <s v="ea"/>
    <n v="100"/>
    <n v="0.06"/>
  </r>
  <r>
    <x v="1715"/>
    <s v="SCREW 8-32 X 3/8'' SS SHC"/>
    <s v="Bossard"/>
    <s v="BN48191"/>
    <s v="MYR"/>
    <n v="0.46899999999999997"/>
    <s v="ea"/>
    <n v="100"/>
    <n v="0.06"/>
  </r>
  <r>
    <x v="1716"/>
    <s v="SCREW,8-32 X 5/8&quot; SS SHC"/>
    <s v="Bossard"/>
    <s v="BN48191 #8-32 x 5/8"/>
    <s v="MYR"/>
    <n v="0.65"/>
    <s v="ea"/>
    <n v="100"/>
    <n v="0.06"/>
  </r>
  <r>
    <x v="1717"/>
    <s v="Socket hd cap screw ss 18-8 pln  ft"/>
    <s v="Bossard"/>
    <s v="BN48189 10 - 32 x 1/2"/>
    <s v="MYR"/>
    <n v="1.575"/>
    <s v="ea"/>
    <n v="100"/>
    <n v="0.06"/>
  </r>
  <r>
    <x v="1718"/>
    <s v="SCREW,10-32 X ¼” SS PHP"/>
    <s v="Bossard"/>
    <s v="BN48207 #10-32 x 1/4"/>
    <s v="MYR"/>
    <n v="0.62"/>
    <s v="ea"/>
    <n v="100"/>
    <n v="0.06"/>
  </r>
  <r>
    <x v="1719"/>
    <s v="HexSocHdCapScrew"/>
    <s v="Bossard"/>
    <s v="BN91110 #10-32 x 1/4"/>
    <s v="MYR"/>
    <n v="1.4179999999999999"/>
    <s v="ea"/>
    <n v="1000"/>
    <n v="0.06"/>
  </r>
  <r>
    <x v="1720"/>
    <s v="Phil phms ss 18-8 ft fnt"/>
    <s v="Bossard"/>
    <s v="BN48207 10 - 32 x 3/8"/>
    <s v="MYR"/>
    <n v="1.4179999999999999"/>
    <s v="ea"/>
    <n v="100"/>
    <n v="0.06"/>
  </r>
  <r>
    <x v="1721"/>
    <s v="Hex socket head cap screws st st #10-32x5/16"/>
    <s v="Bossard"/>
    <s v="ARTICLE NO. 6205480"/>
    <s v="MYR"/>
    <n v="0.63"/>
    <s v="ea"/>
    <n v="100"/>
    <n v="0.06"/>
  </r>
  <r>
    <x v="1722"/>
    <s v="Socket head cap screw ss 18-8 pln f"/>
    <s v="Bossard"/>
    <s v="BN48191 1/4 - 20 x 1/2"/>
    <s v="MYR"/>
    <n v="1.05"/>
    <s v="ea"/>
    <n v="500"/>
    <n v="0.06"/>
  </r>
  <r>
    <x v="1723"/>
    <s v="SCREW 1/4-20 X 3/8'' SS PHP"/>
    <s v="Bossard"/>
    <n v="6176776"/>
    <s v="MYR"/>
    <n v="1.3319999999999999"/>
    <s v="ea"/>
    <n v="100"/>
    <n v="0.06"/>
  </r>
  <r>
    <x v="1724"/>
    <s v="Clinching nuts PEM®SP ST ST"/>
    <s v="Bossard"/>
    <s v="SP-M4-2"/>
    <s v="MYR"/>
    <n v="1.7"/>
    <s v="ea"/>
    <n v="1000"/>
    <n v="0.06"/>
  </r>
  <r>
    <x v="1725"/>
    <s v="Retaining Rings for Shafts ; 6"/>
    <s v="Bossard"/>
    <s v="BN 682; 6"/>
    <s v="MYR"/>
    <n v="0.433"/>
    <s v="ea"/>
    <n v="200"/>
    <n v="0.06"/>
  </r>
  <r>
    <x v="1726"/>
    <s v="IFRM 05P15A1/L"/>
    <s v="Baumer"/>
    <n v="10144587"/>
    <s v="USD "/>
    <n v="93.45"/>
    <s v="ea"/>
    <n v="1"/>
    <n v="0.1"/>
  </r>
  <r>
    <x v="1727"/>
    <s v="Pluggable M8 connector, M8, 2_x000a_meters, 3 pins, female"/>
    <s v="Baumer"/>
    <s v="BASG202350"/>
    <s v="USD "/>
    <n v="9.65"/>
    <s v="ea"/>
    <n v="1"/>
    <n v="0.1"/>
  </r>
  <r>
    <x v="1728"/>
    <s v="Loader/Unloader Motor SO3000 (MSBA 42C2NRC0-_x000a_K44/10720200)"/>
    <s v="Baumer"/>
    <s v="??"/>
    <s v="USD "/>
    <n v="1416.1"/>
    <s v="ea"/>
    <n v="1"/>
    <n v="0.1"/>
  </r>
  <r>
    <x v="1729"/>
    <s v="WASHER  3.2x 7x0.5"/>
    <s v="Bossard"/>
    <s v="DIN125A PA"/>
    <s v="MYR"/>
    <n v="0.10800000000000001"/>
    <s v="ea"/>
    <n v="200"/>
    <n v="0.06"/>
  </r>
  <r>
    <x v="1730"/>
    <s v="WASHER  3.2x 7x0.5"/>
    <s v="Bossard"/>
    <s v="DIN125A PA"/>
    <s v="MYR"/>
    <n v="0.10800000000000001"/>
    <s v="ea"/>
    <n v="200"/>
    <n v="0.06"/>
  </r>
  <r>
    <x v="1731"/>
    <s v="FINISHING WASHER M4 BN1277"/>
    <s v="Bossard"/>
    <s v="1446878 WASHER M4 BN1277"/>
    <s v="MYR"/>
    <n v="0.44300000000000006"/>
    <s v="ea"/>
    <n v="100"/>
    <n v="0.06"/>
  </r>
  <r>
    <x v="1732"/>
    <s v="FINISHING WASHER M4 BN1277"/>
    <s v="Bossard"/>
    <s v="1446878 WASHER M4 BN1277"/>
    <s v="MYR"/>
    <n v="0.44300000000000006"/>
    <s v="ea"/>
    <n v="100"/>
    <n v="0.06"/>
  </r>
  <r>
    <x v="1733"/>
    <s v="M6 WASHER COUNTERSUNK BLACK"/>
    <s v="Bossard"/>
    <s v="1388460 M 6"/>
    <s v="MYR"/>
    <n v="0.45"/>
    <s v="ea"/>
    <n v="100"/>
    <n v="0.06"/>
  </r>
  <r>
    <x v="1734"/>
    <s v="M6 WASHER COUNTERSUNK BLACK"/>
    <s v="Bossard"/>
    <s v="1388460 M 6"/>
    <s v="MYR"/>
    <n v="0.45"/>
    <s v="ea"/>
    <n v="100"/>
    <n v="0.06"/>
  </r>
  <r>
    <x v="1735"/>
    <s v="SCREW-CYL.HEAD HEXA. M 3x 30 PART.THR."/>
    <s v="Bossard"/>
    <s v="DIN912 BN611"/>
    <s v="MYR"/>
    <n v="0.16200000000000003"/>
    <s v="ea"/>
    <n v="100"/>
    <n v="0.06"/>
  </r>
  <r>
    <x v="1736"/>
    <s v="SCREW-CYL.HEAD HEXA. M 3x 30 PART.THR."/>
    <s v="Bossard"/>
    <s v="DIN912 BN611"/>
    <s v="MYR"/>
    <n v="0.16200000000000003"/>
    <s v="ea"/>
    <n v="100"/>
    <n v="0.06"/>
  </r>
  <r>
    <x v="1737"/>
    <s v="SCREW-CYL.HEAD HEXA. M 3X 35 PART.THR."/>
    <s v="Bossard"/>
    <s v="BN611 M3x35"/>
    <s v="MYR"/>
    <n v="0.52500000000000002"/>
    <s v="ea"/>
    <n v="100"/>
    <n v="0.06"/>
  </r>
  <r>
    <x v="1738"/>
    <s v="SCREW-CYL.HEAD HEXA. M 3X 35 PART.THR."/>
    <s v="Bossard"/>
    <s v="BN611 M3x35"/>
    <s v="MYR"/>
    <n v="0.52500000000000002"/>
    <s v="ea"/>
    <n v="100"/>
    <n v="0.06"/>
  </r>
  <r>
    <x v="1739"/>
    <s v="SCREW-COUNT.HEAD HEX. M 6x12 A.T."/>
    <s v="Bossard"/>
    <s v="BN616, M6x12"/>
    <s v="MYR"/>
    <n v="0.46399999999999997"/>
    <s v="ea"/>
    <n v="100"/>
    <n v="0.06"/>
  </r>
  <r>
    <x v="1740"/>
    <s v="SCREW-COUNT.HEAD HEX. M 6x12 A.T."/>
    <s v="Bossard"/>
    <s v="BN616, M6x12"/>
    <s v="MYR"/>
    <n v="0.46399999999999997"/>
    <s v="ea"/>
    <n v="100"/>
    <n v="0.06"/>
  </r>
  <r>
    <x v="1741"/>
    <s v="SCREW,M4 X 16MM,SS FHS"/>
    <s v="Bossard"/>
    <s v="N/A"/>
    <s v="MYR"/>
    <n v="0.124"/>
    <s v="ea"/>
    <n v="100"/>
    <n v="0.06"/>
  </r>
  <r>
    <x v="1742"/>
    <s v="SCREW,M4 X 16MM,SS FHS"/>
    <s v="Bossard"/>
    <s v="N/A"/>
    <s v="MYR"/>
    <n v="0.124"/>
    <s v="ea"/>
    <n v="100"/>
    <n v="0.06"/>
  </r>
  <r>
    <x v="1743"/>
    <s v="SCREW M3 X 10MM SS SHC"/>
    <s v="Bossard"/>
    <s v="DIN912 M3X10(A2)"/>
    <s v="MYR"/>
    <n v="0.221"/>
    <s v="ea"/>
    <n v="100"/>
    <n v="0.06"/>
  </r>
  <r>
    <x v="1744"/>
    <s v="SCREW M3 X 10MM SS SHC"/>
    <s v="Bossard"/>
    <s v="DIN912 M3X10(A2)"/>
    <s v="MYR"/>
    <n v="0.221"/>
    <s v="ea"/>
    <n v="100"/>
    <n v="0.06"/>
  </r>
  <r>
    <x v="1745"/>
    <s v="SCREW-CYL.HEAD HEX. M 3X20 A.T."/>
    <s v="Bossard"/>
    <s v="BN610 M3x20"/>
    <s v="MYR"/>
    <n v="0.158"/>
    <s v="ea"/>
    <n v="100"/>
    <n v="0.06"/>
  </r>
  <r>
    <x v="1746"/>
    <s v="SCREW-CYL.HEAD HEX. M 3X20 A.T."/>
    <s v="Bossard"/>
    <s v="BN610 M3x20"/>
    <s v="MYR"/>
    <n v="0.158"/>
    <s v="ea"/>
    <n v="100"/>
    <n v="0.06"/>
  </r>
  <r>
    <x v="1747"/>
    <s v="SCREW-CYL.HEAD HEX. M 3x 4 A.T."/>
    <s v="Bossard"/>
    <s v="DIN912-BN610 (A2)"/>
    <s v="MYR"/>
    <n v="5.8999999999999997E-2"/>
    <s v="ea"/>
    <n v="100"/>
    <n v="0.06"/>
  </r>
  <r>
    <x v="1748"/>
    <s v="SCREW-CYL.HEAD HEX. M 3x 4 A.T."/>
    <s v="Bossard"/>
    <s v="DIN912-BN610 (A2)"/>
    <s v="MYR"/>
    <n v="5.8999999999999997E-2"/>
    <s v="ea"/>
    <n v="100"/>
    <n v="0.06"/>
  </r>
  <r>
    <x v="1749"/>
    <s v="SCREW M3 X 12MM SS SHC"/>
    <s v="Bossard"/>
    <s v="DIN912 A2 BN610"/>
    <s v="MYR"/>
    <n v="0.64399999999999991"/>
    <s v="ea"/>
    <n v="100"/>
    <n v="0.06"/>
  </r>
  <r>
    <x v="1750"/>
    <s v="SCREW M3 X 12MM SS SHC"/>
    <s v="Bossard"/>
    <s v="DIN912 A2 BN610"/>
    <s v="MYR"/>
    <n v="0.64399999999999991"/>
    <s v="ea"/>
    <n v="100"/>
    <n v="0.06"/>
  </r>
  <r>
    <x v="1751"/>
    <s v="SCREW-COUNT.HEAD SLOT. M2.5X 8"/>
    <s v="Bossard"/>
    <s v="BN357 M2.5 x 8"/>
    <s v="MYR"/>
    <n v="8.4000000000000005E-2"/>
    <s v="ea"/>
    <n v="100"/>
    <n v="0.06"/>
  </r>
  <r>
    <x v="1752"/>
    <s v="SCREW-COUNT.HEAD SLOT. M2.5X 8"/>
    <s v="Bossard"/>
    <s v="BN357 M2.5 x 8"/>
    <s v="MYR"/>
    <n v="8.4000000000000005E-2"/>
    <s v="ea"/>
    <n v="100"/>
    <n v="0.06"/>
  </r>
  <r>
    <x v="1753"/>
    <s v="SCREW-COUNT.HEAD HEX. M 8x16 A.T."/>
    <s v="Bossard"/>
    <s v="BN616 M8 x 16"/>
    <s v="MYR"/>
    <n v="0.73499999999999999"/>
    <s v="ea"/>
    <n v="100"/>
    <n v="0.06"/>
  </r>
  <r>
    <x v="1754"/>
    <s v="SCREW-COUNT.HEAD HEX. M 8x16 A.T."/>
    <s v="Bossard"/>
    <s v="BN616 M8 x 16"/>
    <s v="MYR"/>
    <n v="0.73499999999999999"/>
    <s v="ea"/>
    <n v="100"/>
    <n v="0.06"/>
  </r>
  <r>
    <x v="1755"/>
    <s v="SCREW-SLOTTED-CYL.HEAD M 3x 6"/>
    <s v="Bossard"/>
    <s v="DIN84A PA BN1061"/>
    <s v="MYR"/>
    <n v="0.2"/>
    <s v="ea"/>
    <n v="100"/>
    <n v="0.06"/>
  </r>
  <r>
    <x v="1756"/>
    <s v="SCREW-SLOTTED-CYL.HEAD M 3x 6"/>
    <s v="Bossard"/>
    <s v="DIN84A PA BN1061"/>
    <s v="MYR"/>
    <n v="0.2"/>
    <s v="ea"/>
    <n v="100"/>
    <n v="0.06"/>
  </r>
  <r>
    <x v="1757"/>
    <s v="SCREW M3 X 6MM SS FHS A2"/>
    <s v="Bossard"/>
    <s v="BN616 M 3 x 6"/>
    <s v="MYR"/>
    <n v="9.799999999999999E-2"/>
    <s v="ea"/>
    <n v="100"/>
    <n v="0.06"/>
  </r>
  <r>
    <x v="1758"/>
    <s v="SCREW M3 X 6MM SS FHS A2"/>
    <s v="Bossard"/>
    <s v="BN616 M 3 x 6"/>
    <s v="MYR"/>
    <n v="9.799999999999999E-2"/>
    <s v="ea"/>
    <n v="100"/>
    <n v="0.06"/>
  </r>
  <r>
    <x v="1759"/>
    <s v="SCREW M3 X 6MM SS FHS A2"/>
    <s v="Bossard"/>
    <s v="BN616 M 3 x 6"/>
    <s v="MYR"/>
    <n v="9.799999999999999E-2"/>
    <s v="ea"/>
    <n v="100"/>
    <n v="0.06"/>
  </r>
  <r>
    <x v="1760"/>
    <s v="PIN-PARALLEL D= 6.00h6x 20"/>
    <s v="Bossard"/>
    <s v="DIN6325 H6"/>
    <s v="MYR"/>
    <n v="0.435"/>
    <s v="ea"/>
    <n v="100"/>
    <n v="0.06"/>
  </r>
  <r>
    <x v="1761"/>
    <s v="PIN-PARALLEL D= 6.00h6x 20"/>
    <s v="Bossard"/>
    <s v="DIN6325 H6"/>
    <s v="MYR"/>
    <n v="0.435"/>
    <s v="ea"/>
    <n v="100"/>
    <n v="0.06"/>
  </r>
  <r>
    <x v="1762"/>
    <s v="NUT-HEX. 0.8d M 5"/>
    <s v="Bossard"/>
    <s v="DIN934 BN628"/>
    <s v="MYR"/>
    <n v="5.8999999999999997E-2"/>
    <s v="ea"/>
    <n v="100"/>
    <n v="0.06"/>
  </r>
  <r>
    <x v="1763"/>
    <s v="NUT-HEX. 0.8d M 5"/>
    <s v="Bossard"/>
    <s v="DIN934 BN628"/>
    <s v="MYR"/>
    <n v="5.8999999999999997E-2"/>
    <s v="ea"/>
    <n v="100"/>
    <n v="0.06"/>
  </r>
  <r>
    <x v="1764"/>
    <s v="SCREW-SLOTTED-CYL.HEAD M2X12 DIN84A Brass"/>
    <s v="Bossard"/>
    <s v="BN532 M2x12"/>
    <s v="MYR"/>
    <n v="0.26300000000000001"/>
    <s v="ea"/>
    <n v="200"/>
    <n v="0.06"/>
  </r>
  <r>
    <x v="1765"/>
    <s v="SCREW-SLOTTED-CYL.HEAD M2X12 DIN84A Brass"/>
    <s v="Bossard"/>
    <s v="BN532 M2x12"/>
    <s v="MYR"/>
    <n v="0.26300000000000001"/>
    <s v="ea"/>
    <n v="200"/>
    <n v="0.06"/>
  </r>
  <r>
    <x v="1766"/>
    <s v="SPACER-HEX. +R[1]C[-1]+RC:RC[7]+RC:RC[7]"/>
    <s v="Bossard"/>
    <s v="BN3318"/>
    <s v="MYR"/>
    <n v="2.0550000000000002"/>
    <s v="ea"/>
    <n v="100"/>
    <n v="0.06"/>
  </r>
  <r>
    <x v="1767"/>
    <s v="SPACER-HEX. +R[1]C[-1]+RC:RC[7]+RC:RC[7]"/>
    <s v="Bossard"/>
    <s v="BN3318"/>
    <s v="MYR"/>
    <n v="2.0550000000000002"/>
    <s v="ea"/>
    <n v="100"/>
    <n v="0.06"/>
  </r>
  <r>
    <x v="1768"/>
    <s v="SCREW-CYL.HEAD SLOT. M 3X20 ALL THR. ISO1207"/>
    <s v="Bossard"/>
    <s v="BN532 M3 x 20"/>
    <s v="MYR"/>
    <n v="0.20499999999999999"/>
    <s v="ea"/>
    <n v="100"/>
    <n v="0.06"/>
  </r>
  <r>
    <x v="1769"/>
    <s v="SCREW-CYL.HEAD SLOT. M 3X20 ALL THR. ISO1207"/>
    <s v="Bossard"/>
    <s v="BN532 M3 x 20"/>
    <s v="MYR"/>
    <n v="0.20499999999999999"/>
    <s v="ea"/>
    <n v="100"/>
    <n v="0.06"/>
  </r>
  <r>
    <x v="1770"/>
    <s v="NUT-CAGE-HOUSING M 4 (1.7-2.7)"/>
    <s v="Bossard"/>
    <s v="BN3307 M4 (1.7-2.7)"/>
    <s v="MYR"/>
    <n v="1.0469999999999999"/>
    <s v="ea"/>
    <n v="100"/>
    <n v="0.06"/>
  </r>
  <r>
    <x v="1771"/>
    <s v="NUT-CAGE-HOUSING M 4 (1.7-2.7)"/>
    <s v="Bossard"/>
    <s v="BN3307 M4 (1.7-2.7)"/>
    <s v="MYR"/>
    <n v="1.0469999999999999"/>
    <s v="ea"/>
    <n v="100"/>
    <n v="0.06"/>
  </r>
  <r>
    <x v="1772"/>
    <s v="Nuts for T-slots steel 8"/>
    <s v="Bossard"/>
    <s v="BN20195 M5 x 6"/>
    <s v="MYR"/>
    <n v="4.2"/>
    <s v="ea"/>
    <n v="1"/>
    <n v="0.06"/>
  </r>
  <r>
    <x v="1773"/>
    <s v="Nuts for T-slots steel 8"/>
    <s v="Bossard"/>
    <s v="BN20195 M5 x 6"/>
    <s v="MYR"/>
    <n v="4.2"/>
    <s v="ea"/>
    <n v="1"/>
    <n v="0.06"/>
  </r>
  <r>
    <x v="1774"/>
    <s v="WASHER M10 LOCK, SS A2, DIN127B"/>
    <s v="Bossard"/>
    <s v="BN672 M10"/>
    <s v="MYR"/>
    <n v="0.153"/>
    <s v="ea"/>
    <n v="100"/>
    <n v="0.06"/>
  </r>
  <r>
    <x v="1775"/>
    <s v="WASHER M10 LOCK, SS A2, DIN127B"/>
    <s v="Bossard"/>
    <s v="BN672 M10"/>
    <s v="MYR"/>
    <n v="0.153"/>
    <s v="ea"/>
    <n v="100"/>
    <n v="0.06"/>
  </r>
  <r>
    <x v="1776"/>
    <s v="WASHER CHAMFERED PLAIN M10"/>
    <s v="Bossard"/>
    <s v="DIN125A BN670"/>
    <s v="MYR"/>
    <n v="0.16200000000000003"/>
    <s v="ea"/>
    <n v="100"/>
    <n v="0.06"/>
  </r>
  <r>
    <x v="1777"/>
    <s v="WASHER CHAMFERED PLAIN M10"/>
    <s v="Bossard"/>
    <s v="DIN125A BN670"/>
    <s v="MYR"/>
    <n v="0.16200000000000003"/>
    <s v="ea"/>
    <n v="100"/>
    <n v="0.06"/>
  </r>
  <r>
    <x v="1778"/>
    <s v="WASHER-CHAMFERLESS  5.3x10x1"/>
    <s v="Bossard"/>
    <s v="DIN125A A2 BN670"/>
    <s v="MYR"/>
    <n v="3.6000000000000004E-2"/>
    <s v="ea"/>
    <n v="200"/>
    <n v="0.06"/>
  </r>
  <r>
    <x v="1779"/>
    <s v="WASHER-CHAMFERLESS  5.3x10x1"/>
    <s v="Bossard"/>
    <s v="DIN125A A2 BN670"/>
    <s v="MYR"/>
    <n v="3.6000000000000004E-2"/>
    <s v="ea"/>
    <n v="200"/>
    <n v="0.06"/>
  </r>
  <r>
    <x v="1780"/>
    <s v="NUT HEX M3 18-8 SS"/>
    <s v="Bossard"/>
    <s v="DIN934 A2 BN628"/>
    <s v="MYR"/>
    <n v="2.4E-2"/>
    <s v="ea"/>
    <n v="100"/>
    <n v="0.06"/>
  </r>
  <r>
    <x v="1781"/>
    <s v="NUT HEX M3 18-8 SS"/>
    <s v="Bossard"/>
    <s v="DIN934 A2 BN628"/>
    <s v="MYR"/>
    <n v="2.4E-2"/>
    <s v="ea"/>
    <n v="100"/>
    <n v="0.06"/>
  </r>
  <r>
    <x v="1782"/>
    <s v="WASHER-FLAT 3.2X7X0.5 (M3) ISO7089"/>
    <s v="Bossard"/>
    <s v="DIN125A A2 BN670 - M3"/>
    <s v="MYR"/>
    <n v="1.6E-2"/>
    <s v="ea"/>
    <n v="200"/>
    <n v="0.06"/>
  </r>
  <r>
    <x v="1783"/>
    <s v="WASHER-FLAT 3.2X7X0.5 (M3) ISO7089"/>
    <s v="Bossard"/>
    <s v="DIN125A A2 BN670 - M3"/>
    <s v="MYR"/>
    <n v="1.6E-2"/>
    <s v="ea"/>
    <n v="200"/>
    <n v="0.06"/>
  </r>
  <r>
    <x v="1784"/>
    <s v="WASHER-FLAT 3.2X7X0.5 (M3) ISO7089"/>
    <s v="Bossard"/>
    <s v="DIN125A A2 BN670 - M3"/>
    <s v="MYR"/>
    <n v="1.6E-2"/>
    <s v="ea"/>
    <n v="200"/>
    <n v="0.06"/>
  </r>
  <r>
    <x v="1785"/>
    <s v="WASHER-FLAT 3.2X7X0.5 (M3) ISO7089"/>
    <s v="Bossard"/>
    <s v="DIN125A A2 BN670 - M3"/>
    <s v="MYR"/>
    <n v="1.6E-2"/>
    <s v="ea"/>
    <n v="200"/>
    <n v="0.06"/>
  </r>
  <r>
    <x v="1786"/>
    <s v="WASHER-CHAMFERLESS  4.3x 9x0.8"/>
    <s v="Bossard"/>
    <s v="DIN125A A2 BN670"/>
    <s v="MYR"/>
    <n v="4.2000000000000003E-2"/>
    <s v="ea"/>
    <n v="200"/>
    <n v="0.06"/>
  </r>
  <r>
    <x v="1787"/>
    <s v="WASHER-CHAMFERLESS  4.3x 9x0.8"/>
    <s v="Bossard"/>
    <s v="DIN125A A2 BN670"/>
    <s v="MYR"/>
    <n v="4.2000000000000003E-2"/>
    <s v="ea"/>
    <n v="200"/>
    <n v="0.06"/>
  </r>
  <r>
    <x v="1788"/>
    <s v="WASHER-CHAMFERLESS  4.3x 9x0.8"/>
    <s v="Bossard"/>
    <s v="DIN125A A2 BN670"/>
    <s v="MYR"/>
    <n v="4.2000000000000003E-2"/>
    <s v="ea"/>
    <n v="200"/>
    <n v="0.06"/>
  </r>
  <r>
    <x v="1789"/>
    <s v="WASHER-CHAMFERLESS  4.3x 9x0.8"/>
    <s v="Bossard"/>
    <s v="DIN125A A2 BN670"/>
    <s v="MYR"/>
    <n v="4.2000000000000003E-2"/>
    <s v="ea"/>
    <n v="200"/>
    <n v="0.06"/>
  </r>
  <r>
    <x v="1790"/>
    <s v="Hx lock nut low type st st A2 D985"/>
    <s v="Bossard"/>
    <s v="BN637 M4"/>
    <s v="MYR"/>
    <n v="0.2"/>
    <s v="ea"/>
    <n v="100"/>
    <n v="0.06"/>
  </r>
  <r>
    <x v="1791"/>
    <s v="Hx lock nut low type st st A2 D985"/>
    <s v="Bossard"/>
    <s v="BN637 M4"/>
    <s v="MYR"/>
    <n v="0.2"/>
    <s v="ea"/>
    <n v="100"/>
    <n v="0.06"/>
  </r>
  <r>
    <x v="1792"/>
    <s v="WASHER CHAMFERLESS M8X1.6"/>
    <s v="Bossard"/>
    <s v="DIN125A BN670"/>
    <s v="MYR"/>
    <n v="0.1"/>
    <s v="ea"/>
    <n v="100"/>
    <n v="0.06"/>
  </r>
  <r>
    <x v="1793"/>
    <s v="WASHER CHAMFERLESS M8X1.6"/>
    <s v="Bossard"/>
    <s v="DIN125A BN670"/>
    <s v="MYR"/>
    <n v="0.1"/>
    <s v="ea"/>
    <n v="100"/>
    <n v="0.06"/>
  </r>
  <r>
    <x v="1794"/>
    <s v="WASHER FLAT M6 18-8 SS"/>
    <s v="Bossard"/>
    <s v="DIN125A A2 BN670"/>
    <s v="MYR"/>
    <n v="4.2000000000000003E-2"/>
    <s v="ea"/>
    <n v="100"/>
    <n v="0.06"/>
  </r>
  <r>
    <x v="1795"/>
    <s v="WASHER FLAT M6 18-8 SS"/>
    <s v="Bossard"/>
    <s v="DIN125A A2 BN670"/>
    <s v="MYR"/>
    <n v="4.2000000000000003E-2"/>
    <s v="ea"/>
    <n v="100"/>
    <n v="0.06"/>
  </r>
  <r>
    <x v="1796"/>
    <s v="SCREW-CYL.HEAD-LOW HEX. M 3x 8 A.T."/>
    <s v="Bossard"/>
    <s v="DIN7984-BN2844"/>
    <s v="MYR"/>
    <n v="0.13500000000000001"/>
    <s v="ea"/>
    <n v="200"/>
    <n v="0.06"/>
  </r>
  <r>
    <x v="1797"/>
    <s v="SCREW-CYL.HEAD-LOW HEX. M 3x 8 A.T."/>
    <s v="Bossard"/>
    <s v="DIN7984-BN2844"/>
    <s v="MYR"/>
    <n v="0.13500000000000001"/>
    <s v="ea"/>
    <n v="200"/>
    <n v="0.06"/>
  </r>
  <r>
    <x v="1798"/>
    <s v="SCREW SET M4X16MM FLT PT SST"/>
    <s v="Bossard"/>
    <s v="DIN913 A2 BN617"/>
    <s v="MYR"/>
    <n v="0.11299999999999999"/>
    <s v="ea"/>
    <n v="100"/>
    <n v="0.06"/>
  </r>
  <r>
    <x v="1799"/>
    <s v="SCREW SET M4X16MM FLT PT SST"/>
    <s v="Bossard"/>
    <s v="DIN913 A2 BN617"/>
    <s v="MYR"/>
    <n v="0.11299999999999999"/>
    <s v="ea"/>
    <n v="100"/>
    <n v="0.06"/>
  </r>
  <r>
    <x v="1800"/>
    <s v="WASHER M4"/>
    <s v="Bossard"/>
    <s v="DIN9021 BN1356"/>
    <s v="MYR"/>
    <n v="4.8000000000000001E-2"/>
    <s v="ea"/>
    <n v="200"/>
    <n v="0.06"/>
  </r>
  <r>
    <x v="1801"/>
    <s v="WASHER M4"/>
    <s v="Bossard"/>
    <s v="DIN9021 BN1356"/>
    <s v="MYR"/>
    <n v="4.8000000000000001E-2"/>
    <s v="ea"/>
    <n v="200"/>
    <n v="0.06"/>
  </r>
  <r>
    <x v="1802"/>
    <s v="SCREW-HEADLESS HEX.F.P. M 4x 3 A.T."/>
    <s v="Bossard"/>
    <s v="DIN913-BN617"/>
    <s v="MYR"/>
    <n v="7.0999999999999994E-2"/>
    <s v="ea"/>
    <n v="100"/>
    <n v="0.06"/>
  </r>
  <r>
    <x v="1803"/>
    <s v="SCREW-HEADLESS HEX.F.P. M 4x 3 A.T."/>
    <s v="Bossard"/>
    <s v="DIN913-BN617"/>
    <s v="MYR"/>
    <n v="7.0999999999999994E-2"/>
    <s v="ea"/>
    <n v="100"/>
    <n v="0.06"/>
  </r>
  <r>
    <x v="1804"/>
    <s v="Hex Socket Head Cap Screws  M2,5 x 14"/>
    <s v="Bossard"/>
    <s v="BN612 M2,5x14 (DIN 912)"/>
    <s v="MYR"/>
    <n v="0.14699999999999999"/>
    <s v="ea"/>
    <n v="100"/>
    <n v="0.06"/>
  </r>
  <r>
    <x v="1805"/>
    <s v="SOC HD CAP SCREW M4X12 ALLOY STEEL[09B5]"/>
    <s v="Bossard"/>
    <s v="BN7 M4x12"/>
    <s v="MYR"/>
    <n v="0.31"/>
    <s v="ea"/>
    <n v="100"/>
    <n v="0.06"/>
  </r>
  <r>
    <x v="1806"/>
    <s v="Hex Socket Head Cap Screws  M2,5 x 14"/>
    <s v="Bossard"/>
    <s v="BN612 M2,5x14 (DIN 912)"/>
    <s v="MYR"/>
    <n v="0.14699999999999999"/>
    <s v="ea"/>
    <n v="100"/>
    <n v="0.06"/>
  </r>
  <r>
    <x v="1807"/>
    <s v="Circlip DIN6799-1.9x0.5 Edelstahl"/>
    <s v="Bossard"/>
    <s v="DIN6799 BN679 1,9"/>
    <s v="MYR"/>
    <n v="0.105"/>
    <s v="ea"/>
    <n v="100"/>
    <n v="0.06"/>
  </r>
  <r>
    <x v="1808"/>
    <s v="Circlip DIN6799-1.9x0.5 Edelstahl"/>
    <s v="Bossard"/>
    <s v="DIN6799 BN679 1,9"/>
    <s v="MYR"/>
    <n v="0.105"/>
    <s v="ea"/>
    <n v="100"/>
    <n v="0.06"/>
  </r>
  <r>
    <x v="1809"/>
    <s v="WASHER SPRING M4"/>
    <s v="Bossard"/>
    <s v="DIN137B BN678"/>
    <s v="MYR"/>
    <n v="5.0999999999999997E-2"/>
    <s v="ea"/>
    <n v="200"/>
    <n v="0.06"/>
  </r>
  <r>
    <x v="1810"/>
    <s v="WASHER SPRING M4"/>
    <s v="Bossard"/>
    <s v="DIN137B BN678"/>
    <s v="MYR"/>
    <n v="5.0999999999999997E-2"/>
    <s v="ea"/>
    <n v="200"/>
    <n v="0.06"/>
  </r>
  <r>
    <x v="1811"/>
    <s v="WASHER-CHAMFERLESS  4.3x 8x0.5"/>
    <s v="Bossard"/>
    <s v="DIN433 TEIL 1 A2"/>
    <s v="MYR"/>
    <n v="1.4999999999999999E-2"/>
    <s v="ea"/>
    <n v="200"/>
    <n v="0.06"/>
  </r>
  <r>
    <x v="1812"/>
    <s v="WASHER-CHAMFERLESS  4.3x 8x0.5"/>
    <s v="Bossard"/>
    <s v="DIN433 TEIL 1 A2"/>
    <s v="MYR"/>
    <n v="1.4999999999999999E-2"/>
    <s v="ea"/>
    <n v="200"/>
    <n v="0.06"/>
  </r>
  <r>
    <x v="1813"/>
    <s v="SCREW-HEADLESS HEX.F.P. M2.5X12"/>
    <s v="Bossard"/>
    <s v="DIN913-BN617"/>
    <s v="MYR"/>
    <n v="0.44"/>
    <s v="ea"/>
    <n v="100"/>
    <n v="0.06"/>
  </r>
  <r>
    <x v="1814"/>
    <s v="SCREW-HEADLESS HEX.F.P. M2.5X12"/>
    <s v="Bossard"/>
    <s v="DIN913-BN617"/>
    <s v="MYR"/>
    <n v="0.44"/>
    <s v="ea"/>
    <n v="100"/>
    <n v="0.06"/>
  </r>
  <r>
    <x v="1815"/>
    <s v="SCREW-HEADLESS HEX.F.P. M 2X 10"/>
    <s v="Bossard"/>
    <s v="DIN913-BN617"/>
    <s v="MYR"/>
    <n v="0.36899999999999999"/>
    <s v="ea"/>
    <n v="100"/>
    <n v="0.06"/>
  </r>
  <r>
    <x v="1816"/>
    <s v="SCREW-HEADLESS HEX.F.P. M 2X 10"/>
    <s v="Bossard"/>
    <s v="DIN913-BN617"/>
    <s v="MYR"/>
    <n v="0.36899999999999999"/>
    <s v="ea"/>
    <n v="100"/>
    <n v="0.06"/>
  </r>
  <r>
    <x v="1817"/>
    <s v="SCREW-HEADLESS HEX.F.P. M 2X 12"/>
    <s v="Bossard"/>
    <s v="DIN913-BN617"/>
    <s v="MYR"/>
    <n v="0.41300000000000003"/>
    <s v="ea"/>
    <n v="100"/>
    <n v="0.06"/>
  </r>
  <r>
    <x v="1818"/>
    <s v="SCREW-HEADLESS HEX.F.P. M 2X 12"/>
    <s v="Bossard"/>
    <s v="DIN913-BN617"/>
    <s v="MYR"/>
    <n v="0.41300000000000003"/>
    <s v="ea"/>
    <n v="100"/>
    <n v="0.06"/>
  </r>
  <r>
    <x v="1819"/>
    <s v="SCREW-HEADLESS HEX.F.P. M2.5X5"/>
    <s v="Bossard"/>
    <s v="DIN913-BN617"/>
    <s v="MYR"/>
    <n v="0.20200000000000004"/>
    <s v="ea"/>
    <n v="100"/>
    <n v="0.06"/>
  </r>
  <r>
    <x v="1820"/>
    <s v="SCREW-HEADLESS HEX.F.P. M2.5X5"/>
    <s v="Bossard"/>
    <s v="DIN913-BN617"/>
    <s v="MYR"/>
    <n v="0.20200000000000004"/>
    <s v="ea"/>
    <n v="100"/>
    <n v="0.06"/>
  </r>
  <r>
    <x v="1821"/>
    <s v="SCREW-HEADLESS HEX.F.P. M 2X 3"/>
    <s v="Bossard"/>
    <s v="DIN913-BN617"/>
    <s v="MYR"/>
    <n v="0.20899999999999999"/>
    <s v="ea"/>
    <n v="100"/>
    <n v="0.06"/>
  </r>
  <r>
    <x v="1822"/>
    <s v="SCREW-HEADLESS HEX.F.P. M 2X 3"/>
    <s v="Bossard"/>
    <s v="DIN913-BN617"/>
    <s v="MYR"/>
    <n v="0.20899999999999999"/>
    <s v="ea"/>
    <n v="100"/>
    <n v="0.06"/>
  </r>
  <r>
    <x v="1823"/>
    <s v="SCREW-HEADLESS HEX.F.P. M 2X 8"/>
    <s v="Bossard"/>
    <s v="DIN913-BN617"/>
    <s v="MYR"/>
    <n v="0.32800000000000007"/>
    <s v="ea"/>
    <n v="100"/>
    <n v="0.06"/>
  </r>
  <r>
    <x v="1824"/>
    <s v="SCREW-HEADLESS HEX.F.P. M 2X 8"/>
    <s v="Bossard"/>
    <s v="DIN913-BN617"/>
    <s v="MYR"/>
    <n v="0.32800000000000007"/>
    <s v="ea"/>
    <n v="100"/>
    <n v="0.06"/>
  </r>
  <r>
    <x v="1825"/>
    <s v="SCREW-SLOTTED-CYL.HEAD M3X12"/>
    <s v="Bossard"/>
    <s v="BN532 M3x12"/>
    <s v="MYR"/>
    <n v="0.29399999999999998"/>
    <s v="ea"/>
    <n v="100"/>
    <n v="0.06"/>
  </r>
  <r>
    <x v="1826"/>
    <s v="SCREW-SLOTTED-CYL.HEAD M3X12"/>
    <s v="Bossard"/>
    <s v="BN532 M3x12"/>
    <s v="MYR"/>
    <n v="0.29399999999999998"/>
    <s v="ea"/>
    <n v="100"/>
    <n v="0.06"/>
  </r>
  <r>
    <x v="1827"/>
    <s v="WASHER FLAT M4 FE/ZN SFS2041 BN715"/>
    <s v="Bossard"/>
    <s v="BN 715 DIN 125 4.3M"/>
    <s v="MYR"/>
    <n v="3.6000000000000004E-2"/>
    <s v="ea"/>
    <n v="200"/>
    <n v="0.06"/>
  </r>
  <r>
    <x v="1828"/>
    <s v="WASHER FLAT M4 FE/ZN SFS2041 BN715"/>
    <s v="Bossard"/>
    <s v="BN 715 DIN 125 4.3M"/>
    <s v="MYR"/>
    <n v="3.6000000000000004E-2"/>
    <s v="ea"/>
    <n v="200"/>
    <n v="0.06"/>
  </r>
  <r>
    <x v="1829"/>
    <s v="SCREW M2 X 6MM SS FHP"/>
    <s v="Bossard"/>
    <s v="N/A"/>
    <s v="MYR"/>
    <n v="7.3999999999999996E-2"/>
    <s v="ea"/>
    <n v="100"/>
    <n v="0.06"/>
  </r>
  <r>
    <x v="1830"/>
    <s v="SCREW M2 X 6MM SS FHP"/>
    <s v="Bossard"/>
    <s v="N/A"/>
    <s v="MYR"/>
    <n v="7.3999999999999996E-2"/>
    <s v="ea"/>
    <n v="100"/>
    <n v="0.06"/>
  </r>
  <r>
    <x v="1831"/>
    <s v="SCREW,M2 X 8MM,SS,FHP"/>
    <s v="Bossard"/>
    <s v="N/A"/>
    <s v="MYR"/>
    <n v="9.0999999999999998E-2"/>
    <s v="ea"/>
    <n v="100"/>
    <n v="0.06"/>
  </r>
  <r>
    <x v="1832"/>
    <s v="SCREW,M2 X 8MM,SS,FHP"/>
    <s v="Bossard"/>
    <s v="N/A"/>
    <s v="MYR"/>
    <n v="9.0999999999999998E-2"/>
    <s v="ea"/>
    <n v="100"/>
    <n v="0.06"/>
  </r>
  <r>
    <x v="1833"/>
    <s v="SCREW-CYL.HEAD HEX. M 2x10 A.T."/>
    <s v="Bossard"/>
    <s v="DIN912-BN610 (A2)"/>
    <s v="MYR"/>
    <n v="9.9000000000000005E-2"/>
    <s v="ea"/>
    <n v="100"/>
    <n v="0.06"/>
  </r>
  <r>
    <x v="1834"/>
    <s v="SCREW-CYL.HEAD HEX. M 2x10 A.T."/>
    <s v="Bossard"/>
    <s v="DIN912-BN610 (A2)"/>
    <s v="MYR"/>
    <n v="9.9000000000000005E-2"/>
    <s v="ea"/>
    <n v="100"/>
    <n v="0.06"/>
  </r>
  <r>
    <x v="1835"/>
    <s v="SCREW-CYL.HEAD HEX. M2.5x 4 A.T."/>
    <s v="Bossard"/>
    <s v="DIN912-BN610 (A2)"/>
    <s v="MYR"/>
    <n v="0.16600000000000001"/>
    <s v="ea"/>
    <n v="100"/>
    <n v="0.06"/>
  </r>
  <r>
    <x v="1836"/>
    <s v="SCREW-CYL.HEAD HEX. M2.5x 4 A.T."/>
    <s v="Bossard"/>
    <s v="DIN912-BN610 (A2)"/>
    <s v="MYR"/>
    <n v="0.16600000000000001"/>
    <s v="ea"/>
    <n v="100"/>
    <n v="0.06"/>
  </r>
  <r>
    <x v="1837"/>
    <s v="SCREW M3 X .5 X 5MM SS BHC"/>
    <s v="Bossard"/>
    <s v="ISO7380 A2 BN1593"/>
    <s v="MYR"/>
    <n v="0.04"/>
    <s v="ea"/>
    <n v="100"/>
    <n v="0.06"/>
  </r>
  <r>
    <x v="1838"/>
    <s v="SCREW M3 X .5 X 5MM SS BHC"/>
    <s v="Bossard"/>
    <s v="ISO7380 A2 BN1593"/>
    <s v="MYR"/>
    <n v="0.04"/>
    <s v="ea"/>
    <n v="100"/>
    <n v="0.06"/>
  </r>
  <r>
    <x v="1839"/>
    <s v="SCREW,M3 X 6MM,SS,FHP"/>
    <s v="Bossard"/>
    <s v="BN661 M3x6"/>
    <s v="MYR"/>
    <n v="0.114"/>
    <s v="ea"/>
    <n v="100"/>
    <n v="0.06"/>
  </r>
  <r>
    <x v="1840"/>
    <s v="SCREW,M3 X 6MM,SS,FHP"/>
    <s v="Bossard"/>
    <s v="BN661 M3x6"/>
    <s v="MYR"/>
    <n v="0.114"/>
    <s v="ea"/>
    <n v="100"/>
    <n v="0.06"/>
  </r>
  <r>
    <x v="1841"/>
    <s v="SCREW M3 X 8MM SS A2"/>
    <s v="Bossard"/>
    <s v="BN661 M3x8"/>
    <s v="MYR"/>
    <n v="7.9000000000000001E-2"/>
    <s v="ea"/>
    <n v="100"/>
    <n v="0.06"/>
  </r>
  <r>
    <x v="1842"/>
    <s v="SCREW M3 X 8MM SS A2"/>
    <s v="Bossard"/>
    <s v="BN661 M3x8"/>
    <s v="MYR"/>
    <n v="7.9000000000000001E-2"/>
    <s v="ea"/>
    <n v="100"/>
    <n v="0.06"/>
  </r>
  <r>
    <x v="1843"/>
    <s v="SCREW-COUNT.HEAD HEX. M 3x 8 A.T."/>
    <s v="Bossard"/>
    <s v="DIN7991 A2 BN616"/>
    <s v="MYR"/>
    <n v="0.161"/>
    <s v="ea"/>
    <n v="100"/>
    <n v="0.06"/>
  </r>
  <r>
    <x v="1844"/>
    <s v="SCREW-COUNT.HEAD HEX. M 3x 8 A.T."/>
    <s v="Bossard"/>
    <s v="DIN7991 A2 BN616"/>
    <s v="MYR"/>
    <n v="0.161"/>
    <s v="ea"/>
    <n v="100"/>
    <n v="0.06"/>
  </r>
  <r>
    <x v="1845"/>
    <s v="SCREW-RAISED HEAD HEX. M 3x 8 A.T."/>
    <s v="Bossard"/>
    <s v="ISO7380 A2 BN1593"/>
    <s v="MYR"/>
    <n v="0.191"/>
    <s v="ea"/>
    <n v="100"/>
    <n v="0.06"/>
  </r>
  <r>
    <x v="1846"/>
    <s v="SCREW-RAISED HEAD HEX. M 3x 8 A.T."/>
    <s v="Bossard"/>
    <s v="ISO7380 A2 BN1593"/>
    <s v="MYR"/>
    <n v="0.191"/>
    <s v="ea"/>
    <n v="100"/>
    <n v="0.06"/>
  </r>
  <r>
    <x v="1847"/>
    <s v="SCREW-COUNT.HEAD HEX. M 3x12 A.T."/>
    <s v="Bossard"/>
    <s v="DIN7991 A2 BN616"/>
    <s v="MYR"/>
    <n v="5.2999999999999999E-2"/>
    <s v="ea"/>
    <n v="100"/>
    <n v="0.06"/>
  </r>
  <r>
    <x v="1848"/>
    <s v="SCREW-COUNT.HEAD HEX. M 3x12 A.T."/>
    <s v="Bossard"/>
    <s v="DIN7991 A2 BN616"/>
    <s v="MYR"/>
    <n v="5.2999999999999999E-2"/>
    <s v="ea"/>
    <n v="100"/>
    <n v="0.06"/>
  </r>
  <r>
    <x v="1849"/>
    <s v="SCREW-CYL.HEAD HEXA. M 4x  6 ALL THR."/>
    <s v="Bossard"/>
    <s v="DIN912 A2"/>
    <s v="MYR"/>
    <n v="0.11"/>
    <s v="ea"/>
    <n v="100"/>
    <n v="0.06"/>
  </r>
  <r>
    <x v="1850"/>
    <s v="SCREW-CYL.HEAD HEXA. M 4x  6 ALL THR."/>
    <s v="Bossard"/>
    <s v="DIN912 A2"/>
    <s v="MYR"/>
    <n v="0.11"/>
    <s v="ea"/>
    <n v="100"/>
    <n v="0.06"/>
  </r>
  <r>
    <x v="1851"/>
    <s v="SCREW-RAISED HEAD HEX. M 4x 6 A.T."/>
    <s v="Bossard"/>
    <s v="ISO7380-BN1593"/>
    <s v="MYR"/>
    <n v="9.0999999999999998E-2"/>
    <s v="ea"/>
    <n v="100"/>
    <n v="0.06"/>
  </r>
  <r>
    <x v="1852"/>
    <s v="SCREW-RAISED HEAD HEX. M 4x 6 A.T."/>
    <s v="Bossard"/>
    <s v="ISO7380-BN1593"/>
    <s v="MYR"/>
    <n v="9.0999999999999998E-2"/>
    <s v="ea"/>
    <n v="100"/>
    <n v="0.06"/>
  </r>
  <r>
    <x v="1853"/>
    <s v="SCREW-COUNT.HEAD HEX. M 4x 8 A.T."/>
    <s v="Bossard"/>
    <s v="DIN7991-BN616"/>
    <s v="MYR"/>
    <n v="8.5999999999999993E-2"/>
    <s v="ea"/>
    <n v="100"/>
    <n v="0.06"/>
  </r>
  <r>
    <x v="1854"/>
    <s v="SCREW-COUNT.HEAD HEX. M 4x 8 A.T."/>
    <s v="Bossard"/>
    <s v="DIN7991-BN616"/>
    <s v="MYR"/>
    <n v="8.5999999999999993E-2"/>
    <s v="ea"/>
    <n v="100"/>
    <n v="0.06"/>
  </r>
  <r>
    <x v="1855"/>
    <s v="SCREW-CYL.HEAD HEXA. M 4x  8 ALL THR."/>
    <s v="Bossard"/>
    <s v="DIN912 A2 BN610"/>
    <s v="MYR"/>
    <n v="0.107"/>
    <s v="ea"/>
    <n v="100"/>
    <n v="0.06"/>
  </r>
  <r>
    <x v="1856"/>
    <s v="SCREW-CYL.HEAD HEXA. M 4x  8 ALL THR."/>
    <s v="Bossard"/>
    <s v="DIN912 A2 BN610"/>
    <s v="MYR"/>
    <n v="0.107"/>
    <s v="ea"/>
    <n v="100"/>
    <n v="0.06"/>
  </r>
  <r>
    <x v="1857"/>
    <s v="SCREW-RAISED HEAD HEX. M 4x10 A.T."/>
    <s v="Bossard"/>
    <s v="ISO7380 A2 BN1593"/>
    <s v="MYR"/>
    <n v="0.153"/>
    <s v="ea"/>
    <n v="100"/>
    <n v="0.06"/>
  </r>
  <r>
    <x v="1858"/>
    <s v="SCREW-RAISED HEAD HEX. M 4x10 A.T."/>
    <s v="Bossard"/>
    <s v="ISO7380 A2 BN1593"/>
    <s v="MYR"/>
    <n v="0.153"/>
    <s v="ea"/>
    <n v="100"/>
    <n v="0.06"/>
  </r>
  <r>
    <x v="1859"/>
    <s v="SCREW-COUNT.HEAD HEX. M 4x12 A.T."/>
    <s v="Bossard"/>
    <s v="DIN7991-BN616"/>
    <s v="MYR"/>
    <n v="0.16"/>
    <s v="ea"/>
    <n v="100"/>
    <n v="0.06"/>
  </r>
  <r>
    <x v="1860"/>
    <s v="SCREW-COUNT.HEAD HEX. M 4x12 A.T."/>
    <s v="Bossard"/>
    <s v="DIN7991-BN616"/>
    <s v="MYR"/>
    <n v="0.16"/>
    <s v="ea"/>
    <n v="100"/>
    <n v="0.06"/>
  </r>
  <r>
    <x v="1861"/>
    <s v="SCREW-CYL.HEAD HEXA. M 4x 12 ALL THR."/>
    <s v="Bossard"/>
    <s v="DIN912 A2 BN610"/>
    <s v="MYR"/>
    <n v="0.21200000000000002"/>
    <s v="ea"/>
    <n v="100"/>
    <n v="0.06"/>
  </r>
  <r>
    <x v="1862"/>
    <s v="SCREW-CYL.HEAD HEXA. M 4x 12 ALL THR."/>
    <s v="Bossard"/>
    <s v="DIN912 A2 BN610"/>
    <s v="MYR"/>
    <n v="0.21200000000000002"/>
    <s v="ea"/>
    <n v="100"/>
    <n v="0.06"/>
  </r>
  <r>
    <x v="1863"/>
    <s v="SCREW-RAISED HEAD HEX. M 4x12 A.T."/>
    <s v="Bossard"/>
    <s v="ISO7380 A2 BN1593"/>
    <s v="MYR"/>
    <n v="0.28000000000000003"/>
    <s v="ea"/>
    <n v="100"/>
    <n v="0.06"/>
  </r>
  <r>
    <x v="1864"/>
    <s v="SCREW-RAISED HEAD HEX. M 4x12 A.T."/>
    <s v="Bossard"/>
    <s v="ISO7380 A2 BN1593"/>
    <s v="MYR"/>
    <n v="0.28000000000000003"/>
    <s v="ea"/>
    <n v="100"/>
    <n v="0.06"/>
  </r>
  <r>
    <x v="1865"/>
    <s v="SCREW-CYL.HEAD HEXA. M 4x 14 ALL THR."/>
    <s v="Bossard"/>
    <s v="DIN912 A2 BN610"/>
    <s v="MYR"/>
    <n v="0.23100000000000001"/>
    <s v="ea"/>
    <n v="100"/>
    <n v="0.06"/>
  </r>
  <r>
    <x v="1866"/>
    <s v="SCREW-CYL.HEAD HEXA. M 4x 14 ALL THR."/>
    <s v="Bossard"/>
    <s v="DIN912 A2 BN610"/>
    <s v="MYR"/>
    <n v="0.23100000000000001"/>
    <s v="ea"/>
    <n v="100"/>
    <n v="0.06"/>
  </r>
  <r>
    <x v="1867"/>
    <s v="SCREW-CYL.HEAD HEXA. M 4x 16 ALL THR."/>
    <s v="Bossard"/>
    <s v="DIN912 M4X16(A2) / 1233238"/>
    <s v="MYR"/>
    <n v="0.191"/>
    <s v="ea"/>
    <n v="100"/>
    <n v="0.06"/>
  </r>
  <r>
    <x v="1868"/>
    <s v="SCREW-CYL.HEAD HEXA. M 4x 16 ALL THR."/>
    <s v="Bossard"/>
    <s v="DIN912 M4X16(A2) / 1233238"/>
    <s v="MYR"/>
    <n v="0.191"/>
    <s v="ea"/>
    <n v="100"/>
    <n v="0.06"/>
  </r>
  <r>
    <x v="1869"/>
    <s v="SCREW-CYL.HEAD HEXA. M 4x 16 ALL THR."/>
    <s v="Bossard"/>
    <s v="DIN912 M4X16(A2) / 1233238"/>
    <s v="MYR"/>
    <n v="0.191"/>
    <s v="ea"/>
    <n v="100"/>
    <n v="0.06"/>
  </r>
  <r>
    <x v="1870"/>
    <s v="SCREW-RAISED HEAD HEX. M 4x16 A.T."/>
    <s v="Bossard"/>
    <s v="ISO7380 A2 BN1593"/>
    <s v="MYR"/>
    <n v="0.126"/>
    <s v="ea"/>
    <n v="100"/>
    <n v="0.06"/>
  </r>
  <r>
    <x v="1871"/>
    <s v="SCREW-RAISED HEAD HEX. M 4x16 A.T."/>
    <s v="Bossard"/>
    <s v="ISO7380 A2 BN1593"/>
    <s v="MYR"/>
    <n v="0.126"/>
    <s v="ea"/>
    <n v="100"/>
    <n v="0.06"/>
  </r>
  <r>
    <x v="1872"/>
    <s v="SCREW-CYL.HEAD HEXA. M 4x 18 ALL.THR."/>
    <s v="Bossard"/>
    <s v="DIN912 A2 BN610"/>
    <s v="MYR"/>
    <n v="0.19700000000000004"/>
    <s v="ea"/>
    <n v="100"/>
    <n v="0.06"/>
  </r>
  <r>
    <x v="1873"/>
    <s v="SCREW-CYL.HEAD HEXA. M 4x 18 ALL.THR."/>
    <s v="Bossard"/>
    <s v="DIN912 A2 BN610"/>
    <s v="MYR"/>
    <n v="0.19700000000000004"/>
    <s v="ea"/>
    <n v="100"/>
    <n v="0.06"/>
  </r>
  <r>
    <x v="1874"/>
    <s v="SCREW-CYL.HEAD HEXA. M 4x 20 ALL THR."/>
    <s v="Bossard"/>
    <s v="DIN912 A2 BN610"/>
    <s v="MYR"/>
    <n v="0.191"/>
    <s v="ea"/>
    <n v="100"/>
    <n v="0.06"/>
  </r>
  <r>
    <x v="1875"/>
    <s v="SCREW-CYL.HEAD HEXA. M 4x 20 ALL THR."/>
    <s v="Bossard"/>
    <s v="DIN912 A2 BN610"/>
    <s v="MYR"/>
    <n v="0.191"/>
    <s v="ea"/>
    <n v="100"/>
    <n v="0.06"/>
  </r>
  <r>
    <x v="1876"/>
    <s v="SCREW M4 20MM SS BHCS"/>
    <s v="Bossard"/>
    <s v="ISO7380 A2 BN1593"/>
    <s v="MYR"/>
    <n v="0.57899999999999996"/>
    <s v="ea"/>
    <n v="100"/>
    <n v="0.06"/>
  </r>
  <r>
    <x v="1877"/>
    <s v="SCREW M4 20MM SS BHCS"/>
    <s v="Bossard"/>
    <s v="ISO7380 A2 BN1593"/>
    <s v="MYR"/>
    <n v="0.57899999999999996"/>
    <s v="ea"/>
    <n v="100"/>
    <n v="0.06"/>
  </r>
  <r>
    <x v="1878"/>
    <s v="SCREW M4X.7 22MM LG SHC SS PLN"/>
    <s v="Bossard"/>
    <s v="DIN912 A4 BN612"/>
    <s v="MYR"/>
    <n v="0.23499999999999999"/>
    <s v="ea"/>
    <n v="100"/>
    <n v="0.06"/>
  </r>
  <r>
    <x v="1879"/>
    <s v="SCREW M4X.7 22MM LG SHC SS PLN"/>
    <s v="Bossard"/>
    <s v="DIN912 A4 BN612"/>
    <s v="MYR"/>
    <n v="0.23499999999999999"/>
    <s v="ea"/>
    <n v="100"/>
    <n v="0.06"/>
  </r>
  <r>
    <x v="1880"/>
    <s v="SCREW-CYL.HEAD HEXA. M 4x 25 ALL THR."/>
    <s v="Bossard"/>
    <s v="DIN912 A2 BN610"/>
    <s v="MYR"/>
    <n v="0.30499999999999999"/>
    <s v="ea"/>
    <n v="100"/>
    <n v="0.06"/>
  </r>
  <r>
    <x v="1881"/>
    <s v="SCREW-CYL.HEAD HEXA. M 4x 25 ALL THR."/>
    <s v="Bossard"/>
    <s v="DIN912 A2 BN610"/>
    <s v="MYR"/>
    <n v="0.30499999999999999"/>
    <s v="ea"/>
    <n v="100"/>
    <n v="0.06"/>
  </r>
  <r>
    <x v="1882"/>
    <s v="SCREW-CYL.HEAD HEXA. M 4x 35 PART.THR."/>
    <s v="Bossard"/>
    <s v="DIN912 A2"/>
    <s v="MYR"/>
    <n v="0.24100000000000002"/>
    <s v="ea"/>
    <n v="100"/>
    <n v="0.06"/>
  </r>
  <r>
    <x v="1883"/>
    <s v="SCREW-CYL.HEAD HEXA. M 4x 35 PART.THR."/>
    <s v="Bossard"/>
    <s v="DIN912 A2"/>
    <s v="MYR"/>
    <n v="0.24100000000000002"/>
    <s v="ea"/>
    <n v="100"/>
    <n v="0.06"/>
  </r>
  <r>
    <x v="1884"/>
    <s v="SCREW-CYL.HEAD HEXA. M 4x 40 PART.THR."/>
    <s v="Bossard"/>
    <s v="DIN912 A2"/>
    <s v="MYR"/>
    <n v="0.45899999999999996"/>
    <s v="ea"/>
    <n v="100"/>
    <n v="0.06"/>
  </r>
  <r>
    <x v="1885"/>
    <s v="SCREW-CYL.HEAD HEXA. M 4x 40 PART.THR."/>
    <s v="Bossard"/>
    <s v="DIN912 A2"/>
    <s v="MYR"/>
    <n v="0.45899999999999996"/>
    <s v="ea"/>
    <n v="100"/>
    <n v="0.06"/>
  </r>
  <r>
    <x v="1886"/>
    <s v="SCREW-CYL.HEAD HEXA. M 4x 45 PART.THR."/>
    <s v="Bossard"/>
    <s v="DIN912 A2 BN611"/>
    <s v="MYR"/>
    <n v="0.45200000000000001"/>
    <s v="ea"/>
    <n v="100"/>
    <n v="0.06"/>
  </r>
  <r>
    <x v="1887"/>
    <s v="SCREW-CYL.HEAD HEXA. M 4x 45 PART.THR."/>
    <s v="Bossard"/>
    <s v="DIN912 A2 BN611"/>
    <s v="MYR"/>
    <n v="0.45200000000000001"/>
    <s v="ea"/>
    <n v="100"/>
    <n v="0.06"/>
  </r>
  <r>
    <x v="1888"/>
    <s v="SCREW-CYL.HEAD HEXA. M 5x  6 ALL THR."/>
    <s v="Bossard"/>
    <s v="DIN912 A2 BN610"/>
    <s v="MYR"/>
    <n v="0.159"/>
    <s v="ea"/>
    <n v="100"/>
    <n v="0.06"/>
  </r>
  <r>
    <x v="1889"/>
    <s v="SCREW-CYL.HEAD HEXA. M 5x  6 ALL THR."/>
    <s v="Bossard"/>
    <s v="DIN912 A2 BN610"/>
    <s v="MYR"/>
    <n v="0.159"/>
    <s v="ea"/>
    <n v="100"/>
    <n v="0.06"/>
  </r>
  <r>
    <x v="1890"/>
    <s v="SCREW-RAISED HEAD HEX. M 5X 6"/>
    <s v="Bossard"/>
    <s v="ISO7380-BN1593"/>
    <s v="MYR"/>
    <n v="0.28499999999999998"/>
    <s v="ea"/>
    <n v="100"/>
    <n v="0.06"/>
  </r>
  <r>
    <x v="1891"/>
    <s v="SCREW-RAISED HEAD HEX. M 5X 6"/>
    <s v="Bossard"/>
    <s v="ISO7380-BN1593"/>
    <s v="MYR"/>
    <n v="0.28499999999999998"/>
    <s v="ea"/>
    <n v="100"/>
    <n v="0.06"/>
  </r>
  <r>
    <x v="1892"/>
    <s v="SCREW-CYL.HEAD HEXA. M 5x  8 ALL THR."/>
    <s v="Bossard"/>
    <s v="DIN912 A2"/>
    <s v="MYR"/>
    <n v="0.18400000000000002"/>
    <s v="ea"/>
    <n v="100"/>
    <n v="0.06"/>
  </r>
  <r>
    <x v="1893"/>
    <s v="SCREW-CYL.HEAD HEXA. M 5x  8 ALL THR."/>
    <s v="Bossard"/>
    <s v="DIN912 A2"/>
    <s v="MYR"/>
    <n v="0.18400000000000002"/>
    <s v="ea"/>
    <n v="100"/>
    <n v="0.06"/>
  </r>
  <r>
    <x v="1894"/>
    <s v="SCREW-CYL.HEAD HEXA. M 5x 10 ALL THR."/>
    <s v="Bossard"/>
    <s v="DIN912 A2 BN610"/>
    <s v="MYR"/>
    <n v="0.20400000000000001"/>
    <s v="ea"/>
    <n v="100"/>
    <n v="0.06"/>
  </r>
  <r>
    <x v="1895"/>
    <s v="SCREW-CYL.HEAD HEXA. M 5x 10 ALL THR."/>
    <s v="Bossard"/>
    <s v="DIN912 A2 BN610"/>
    <s v="MYR"/>
    <n v="0.20400000000000001"/>
    <s v="ea"/>
    <n v="100"/>
    <n v="0.06"/>
  </r>
  <r>
    <x v="1896"/>
    <s v="SCREW-RAISED HEAD HEX. M 5x10 A.T."/>
    <s v="Bossard"/>
    <s v="ISO7380 A2 BN1593"/>
    <s v="MYR"/>
    <n v="0.23300000000000001"/>
    <s v="ea"/>
    <n v="100"/>
    <n v="0.06"/>
  </r>
  <r>
    <x v="1897"/>
    <s v="SCREW-RAISED HEAD HEX. M 5x10 A.T."/>
    <s v="Bossard"/>
    <s v="ISO7380 A2 BN1593"/>
    <s v="MYR"/>
    <n v="0.23300000000000001"/>
    <s v="ea"/>
    <n v="100"/>
    <n v="0.06"/>
  </r>
  <r>
    <x v="1898"/>
    <s v="SCREW-COUNT.HEAD HEX. M 5x12 A.T."/>
    <s v="Bossard"/>
    <s v="DIN7991 A2 BN616"/>
    <s v="MYR"/>
    <n v="0.158"/>
    <s v="ea"/>
    <n v="100"/>
    <n v="0.06"/>
  </r>
  <r>
    <x v="1899"/>
    <s v="SCREW-COUNT.HEAD HEX. M 5x12 A.T."/>
    <s v="Bossard"/>
    <s v="DIN7991 A2 BN616"/>
    <s v="MYR"/>
    <n v="0.158"/>
    <s v="ea"/>
    <n v="100"/>
    <n v="0.06"/>
  </r>
  <r>
    <x v="1900"/>
    <s v="SCREW-CYL.HEAD HEXA. M 5x 12 ALL THR."/>
    <s v="Bossard"/>
    <s v="DIN912 A2 BN610"/>
    <s v="MYR"/>
    <n v="0.23300000000000001"/>
    <s v="ea"/>
    <n v="100"/>
    <n v="0.06"/>
  </r>
  <r>
    <x v="1901"/>
    <s v="SCREW-CYL.HEAD HEXA. M 5x 12 ALL THR."/>
    <s v="Bossard"/>
    <s v="DIN912 A2 BN610"/>
    <s v="MYR"/>
    <n v="0.23300000000000001"/>
    <s v="ea"/>
    <n v="100"/>
    <n v="0.06"/>
  </r>
  <r>
    <x v="1902"/>
    <s v="SCREW-CYL.HEAD HEXA. M 5x 14 ALL THR."/>
    <s v="Bossard"/>
    <s v="DIN912 A2 BN610"/>
    <s v="MYR"/>
    <n v="0.30299999999999999"/>
    <s v="ea"/>
    <n v="100"/>
    <n v="0.06"/>
  </r>
  <r>
    <x v="1903"/>
    <s v="SCREW-CYL.HEAD HEXA. M 5x 14 ALL THR."/>
    <s v="Bossard"/>
    <s v="DIN912 A2 BN610"/>
    <s v="MYR"/>
    <n v="0.30299999999999999"/>
    <s v="ea"/>
    <n v="100"/>
    <n v="0.06"/>
  </r>
  <r>
    <x v="1904"/>
    <s v="SCREW-CYL.HEAD HEXA. M 5x 16 ALL THR."/>
    <s v="Bossard"/>
    <s v="DIN912 A2 BN610"/>
    <s v="MYR"/>
    <n v="0.22900000000000001"/>
    <s v="ea"/>
    <n v="100"/>
    <n v="0.06"/>
  </r>
  <r>
    <x v="1905"/>
    <s v="SCREW-CYL.HEAD HEXA. M 5x 16 ALL THR."/>
    <s v="Bossard"/>
    <s v="DIN912 A2 BN610"/>
    <s v="MYR"/>
    <n v="0.22900000000000001"/>
    <s v="ea"/>
    <n v="100"/>
    <n v="0.06"/>
  </r>
  <r>
    <x v="1906"/>
    <s v="SCREW-RAISED HEAD HEX. M 5x16 A.T."/>
    <s v="Bossard"/>
    <s v="ISO7380-BN1593"/>
    <s v="MYR"/>
    <n v="0.17100000000000001"/>
    <s v="ea"/>
    <n v="100"/>
    <n v="0.06"/>
  </r>
  <r>
    <x v="1907"/>
    <s v="SCREW-RAISED HEAD HEX. M 5x16 A.T."/>
    <s v="Bossard"/>
    <s v="ISO7380-BN1593"/>
    <s v="MYR"/>
    <n v="0.17100000000000001"/>
    <s v="ea"/>
    <n v="100"/>
    <n v="0.06"/>
  </r>
  <r>
    <x v="1908"/>
    <s v="SCREW-CYL.HEAD HEXA. M 5x 18 ALL THR."/>
    <s v="Bossard"/>
    <s v="DIN912 A2 BN610"/>
    <s v="MYR"/>
    <n v="0.26300000000000001"/>
    <s v="ea"/>
    <n v="100"/>
    <n v="0.06"/>
  </r>
  <r>
    <x v="1909"/>
    <s v="SCREW-CYL.HEAD HEXA. M 5x 18 ALL THR."/>
    <s v="Bossard"/>
    <s v="DIN912 A2 BN610"/>
    <s v="MYR"/>
    <n v="0.26300000000000001"/>
    <s v="ea"/>
    <n v="100"/>
    <n v="0.06"/>
  </r>
  <r>
    <x v="1910"/>
    <s v="SCREW-CYL.HEAD HEXA. M 5x 20 ALL THR."/>
    <s v="Bossard"/>
    <s v="DIN912 A2 BN610"/>
    <s v="MYR"/>
    <n v="0.2"/>
    <s v="ea"/>
    <n v="100"/>
    <n v="0.06"/>
  </r>
  <r>
    <x v="1911"/>
    <s v="SCREW-CYL.HEAD HEXA. M 5x 20 ALL THR."/>
    <s v="Bossard"/>
    <s v="DIN912 A2 BN610"/>
    <s v="MYR"/>
    <n v="0.2"/>
    <s v="ea"/>
    <n v="100"/>
    <n v="0.06"/>
  </r>
  <r>
    <x v="1912"/>
    <s v="SCREW-RAISED HEAD HEX. M 5x20 A.T."/>
    <s v="Bossard"/>
    <s v="ISO7380-BN1593"/>
    <s v="MYR"/>
    <n v="0.86899999999999988"/>
    <s v="ea"/>
    <n v="100"/>
    <n v="0.06"/>
  </r>
  <r>
    <x v="1913"/>
    <s v="SCREW-RAISED HEAD HEX. M 5x20 A.T."/>
    <s v="Bossard"/>
    <s v="ISO7380-BN1593"/>
    <s v="MYR"/>
    <n v="0.86899999999999988"/>
    <s v="ea"/>
    <n v="100"/>
    <n v="0.06"/>
  </r>
  <r>
    <x v="1914"/>
    <s v="SCREW-CYL.HEAD HEXA. M 5x 25 ALL THR."/>
    <s v="Bossard"/>
    <s v="DIN912 A2 BN610"/>
    <s v="MYR"/>
    <n v="0.19400000000000003"/>
    <s v="ea"/>
    <n v="100"/>
    <n v="0.06"/>
  </r>
  <r>
    <x v="1915"/>
    <s v="SCREW-CYL.HEAD HEXA. M 5x 25 ALL THR."/>
    <s v="Bossard"/>
    <s v="DIN912 A2 BN610"/>
    <s v="MYR"/>
    <n v="0.19400000000000003"/>
    <s v="ea"/>
    <n v="100"/>
    <n v="0.06"/>
  </r>
  <r>
    <x v="1916"/>
    <s v="SCREW-CYL.HEAD HEXA. M 5x 35 PART.THR."/>
    <s v="Bossard"/>
    <s v="DIN912 A2"/>
    <s v="MYR"/>
    <n v="0.51"/>
    <s v="ea"/>
    <n v="100"/>
    <n v="0.06"/>
  </r>
  <r>
    <x v="1917"/>
    <s v="SCREW-CYL.HEAD HEXA. M 5x 35 PART.THR."/>
    <s v="Bossard"/>
    <s v="DIN912 A2"/>
    <s v="MYR"/>
    <n v="0.51"/>
    <s v="ea"/>
    <n v="100"/>
    <n v="0.06"/>
  </r>
  <r>
    <x v="1918"/>
    <s v="SCREW-CYL.HEAD HEXA. M 5x 40 PART.THR."/>
    <s v="Bossard"/>
    <s v="DIN912 A2"/>
    <s v="MYR"/>
    <n v="0.48499999999999999"/>
    <s v="ea"/>
    <n v="100"/>
    <n v="0.06"/>
  </r>
  <r>
    <x v="1919"/>
    <s v="SCREW-CYL.HEAD HEXA. M 5x 40 PART.THR."/>
    <s v="Bossard"/>
    <s v="DIN912 A2"/>
    <s v="MYR"/>
    <n v="0.48499999999999999"/>
    <s v="ea"/>
    <n v="100"/>
    <n v="0.06"/>
  </r>
  <r>
    <x v="1920"/>
    <s v="SCREW-CYL.HEAD HEXA. M 5x 60 PART.THR. DIN912 A2"/>
    <s v="Bossard"/>
    <s v="BN611 M5 x 60"/>
    <s v="MYR"/>
    <n v="0.97699999999999987"/>
    <s v="ea"/>
    <n v="100"/>
    <n v="0.06"/>
  </r>
  <r>
    <x v="1921"/>
    <s v="SCREW-CYL.HEAD HEXA. M 5x 60 PART.THR. DIN912 A2"/>
    <s v="Bossard"/>
    <s v="BN611 M5 x 60"/>
    <s v="MYR"/>
    <n v="0.97699999999999987"/>
    <s v="ea"/>
    <n v="100"/>
    <n v="0.06"/>
  </r>
  <r>
    <x v="1922"/>
    <s v="VIS T.CYL.6P.CR.M 6x 10"/>
    <s v="Bossard"/>
    <s v="DIN912 A2 BN610"/>
    <s v="MYR"/>
    <n v="0.35100000000000003"/>
    <s v="ea"/>
    <n v="100"/>
    <n v="0.06"/>
  </r>
  <r>
    <x v="1923"/>
    <s v="VIS T.CYL.6P.CR.M 6x 10"/>
    <s v="Bossard"/>
    <s v="DIN912 A2 BN610"/>
    <s v="MYR"/>
    <n v="0.35100000000000003"/>
    <s v="ea"/>
    <n v="100"/>
    <n v="0.06"/>
  </r>
  <r>
    <x v="1924"/>
    <s v="SCREW-RAISED HEAD HEX. M 6x10 A.T."/>
    <s v="Bossard"/>
    <s v="ISO7380 A2 BN1593"/>
    <s v="MYR"/>
    <n v="0.24700000000000003"/>
    <s v="ea"/>
    <n v="100"/>
    <n v="0.06"/>
  </r>
  <r>
    <x v="1925"/>
    <s v="SCREW-RAISED HEAD HEX. M 6x10 A.T."/>
    <s v="Bossard"/>
    <s v="ISO7380 A2 BN1593"/>
    <s v="MYR"/>
    <n v="0.24700000000000003"/>
    <s v="ea"/>
    <n v="100"/>
    <n v="0.06"/>
  </r>
  <r>
    <x v="1926"/>
    <s v="SCREW-CYL.HEAD HEXA. M 6x 12 ALL THR."/>
    <s v="Bossard"/>
    <s v="DIN912 A2"/>
    <s v="MYR"/>
    <n v="0.53900000000000003"/>
    <s v="ea"/>
    <n v="100"/>
    <n v="0.06"/>
  </r>
  <r>
    <x v="1927"/>
    <s v="SCREW-CYL.HEAD HEXA. M 6x 12 ALL THR."/>
    <s v="Bossard"/>
    <s v="DIN912 A2"/>
    <s v="MYR"/>
    <n v="0.53900000000000003"/>
    <s v="ea"/>
    <n v="100"/>
    <n v="0.06"/>
  </r>
  <r>
    <x v="1928"/>
    <s v="SCREW-CYL.HEAD HEXA. M 6x 16 ALL THR."/>
    <s v="Bossard"/>
    <s v="DIN912 A2 BN610"/>
    <s v="MYR"/>
    <n v="0.32500000000000001"/>
    <s v="ea"/>
    <n v="100"/>
    <n v="0.06"/>
  </r>
  <r>
    <x v="1929"/>
    <s v="SCREW-CYL.HEAD HEXA. M 6x 16 ALL THR."/>
    <s v="Bossard"/>
    <s v="DIN912 A2 BN610"/>
    <s v="MYR"/>
    <n v="0.32500000000000001"/>
    <s v="ea"/>
    <n v="100"/>
    <n v="0.06"/>
  </r>
  <r>
    <x v="1930"/>
    <s v="SCREW-RAISED HEAD HEX. M 6x16 A.T."/>
    <s v="Bossard"/>
    <s v="ISO7380 A2 BN1593"/>
    <s v="MYR"/>
    <n v="0.27700000000000002"/>
    <s v="ea"/>
    <n v="100"/>
    <n v="0.06"/>
  </r>
  <r>
    <x v="1931"/>
    <s v="SCREW-RAISED HEAD HEX. M 6x16 A.T."/>
    <s v="Bossard"/>
    <s v="ISO7380 A2 BN1593"/>
    <s v="MYR"/>
    <n v="0.27700000000000002"/>
    <s v="ea"/>
    <n v="100"/>
    <n v="0.06"/>
  </r>
  <r>
    <x v="1932"/>
    <s v="SCREW CYL.HEAD HEXA. M 6X18"/>
    <s v="Bossard"/>
    <s v="DIN912 BN610"/>
    <s v="MYR"/>
    <n v="0.36599999999999999"/>
    <s v="ea"/>
    <n v="100"/>
    <n v="0.06"/>
  </r>
  <r>
    <x v="1933"/>
    <s v="SCREW CYL.HEAD HEXA. M 6X18"/>
    <s v="Bossard"/>
    <s v="DIN912 BN610"/>
    <s v="MYR"/>
    <n v="0.36599999999999999"/>
    <s v="ea"/>
    <n v="100"/>
    <n v="0.06"/>
  </r>
  <r>
    <x v="1934"/>
    <s v="SCREW-CYL.HEAD HEXA. M 6x 20 ALL THR."/>
    <s v="Bossard"/>
    <s v="DIN912 A2 BN610"/>
    <s v="MYR"/>
    <n v="0.47"/>
    <s v="ea"/>
    <n v="100"/>
    <n v="0.06"/>
  </r>
  <r>
    <x v="1935"/>
    <s v="SCREW-CYL.HEAD HEXA. M 6x 20 ALL THR."/>
    <s v="Bossard"/>
    <s v="DIN912 A2 BN610"/>
    <s v="MYR"/>
    <n v="0.47"/>
    <s v="ea"/>
    <n v="100"/>
    <n v="0.06"/>
  </r>
  <r>
    <x v="1936"/>
    <s v="SCREW M6 X 22MM SS SHC"/>
    <s v="Bossard"/>
    <s v="DIN912 A2 BN610"/>
    <s v="MYR"/>
    <n v="0.45600000000000002"/>
    <s v="ea"/>
    <n v="200"/>
    <n v="0.06"/>
  </r>
  <r>
    <x v="1937"/>
    <s v="SCREW M6 X 22MM SS SHC"/>
    <s v="Bossard"/>
    <s v="DIN912 A2 BN610"/>
    <s v="MYR"/>
    <n v="0.45600000000000002"/>
    <s v="ea"/>
    <n v="200"/>
    <n v="0.06"/>
  </r>
  <r>
    <x v="1938"/>
    <s v="SCREW HEX.HEAD CAP M 6X25"/>
    <s v="Bossard"/>
    <s v="DIN933 BN622"/>
    <s v="MYR"/>
    <n v="0.53900000000000003"/>
    <s v="ea"/>
    <n v="100"/>
    <n v="0.06"/>
  </r>
  <r>
    <x v="1939"/>
    <s v="SCREW HEX.HEAD CAP M 6X25"/>
    <s v="Bossard"/>
    <s v="DIN933 BN622"/>
    <s v="MYR"/>
    <n v="0.53900000000000003"/>
    <s v="ea"/>
    <n v="100"/>
    <n v="0.06"/>
  </r>
  <r>
    <x v="1940"/>
    <s v="SCREW CYL.HEAD HEXA. M 6X25"/>
    <s v="Bossard"/>
    <s v="DIN912 A2 BN610"/>
    <s v="MYR"/>
    <n v="0.53600000000000003"/>
    <s v="ea"/>
    <n v="100"/>
    <n v="0.06"/>
  </r>
  <r>
    <x v="1941"/>
    <s v="SCREW CYL.HEAD HEXA. M 6X25"/>
    <s v="Bossard"/>
    <s v="DIN912 A2 BN610"/>
    <s v="MYR"/>
    <n v="0.53600000000000003"/>
    <s v="ea"/>
    <n v="100"/>
    <n v="0.06"/>
  </r>
  <r>
    <x v="1942"/>
    <s v="SCREW-CYL.HEAD HEXA. M 6x 30 ALL THR."/>
    <s v="Bossard"/>
    <s v="DIN912 A2 BN610"/>
    <s v="MYR"/>
    <n v="0.37"/>
    <s v="ea"/>
    <n v="100"/>
    <n v="0.06"/>
  </r>
  <r>
    <x v="1943"/>
    <s v="SCREW-CYL.HEAD HEXA. M 6x 30 ALL THR."/>
    <s v="Bossard"/>
    <s v="DIN912 A2 BN610"/>
    <s v="MYR"/>
    <n v="0.37"/>
    <s v="ea"/>
    <n v="100"/>
    <n v="0.06"/>
  </r>
  <r>
    <x v="1944"/>
    <s v="SCREW CYL.HEAD HEXA. M 8X12"/>
    <s v="Bossard"/>
    <s v="DIN912 A2 BN610"/>
    <s v="MYR"/>
    <n v="1.181"/>
    <s v="ea"/>
    <n v="100"/>
    <n v="0.06"/>
  </r>
  <r>
    <x v="1945"/>
    <s v="SCREW CYL.HEAD HEXA. M 8X12"/>
    <s v="Bossard"/>
    <s v="DIN912 A2 BN610"/>
    <s v="MYR"/>
    <n v="1.181"/>
    <s v="ea"/>
    <n v="100"/>
    <n v="0.06"/>
  </r>
  <r>
    <x v="1946"/>
    <s v="SCREW CYL.HEAD HEXA. M 8X20"/>
    <s v="Bossard"/>
    <s v="DIN912 A2 BN610"/>
    <s v="MYR"/>
    <n v="0.66799999999999993"/>
    <s v="ea"/>
    <n v="100"/>
    <n v="0.06"/>
  </r>
  <r>
    <x v="1947"/>
    <s v="SCREW CYL.HEAD HEXA. M 8X20"/>
    <s v="Bossard"/>
    <s v="DIN912 A2 BN610"/>
    <s v="MYR"/>
    <n v="0.66799999999999993"/>
    <s v="ea"/>
    <n v="100"/>
    <n v="0.06"/>
  </r>
  <r>
    <x v="1948"/>
    <s v="SCREW CYL.HEAD HEXA. M 8X25"/>
    <s v="Bossard"/>
    <s v="DIN912 A2 BN610"/>
    <s v="MYR"/>
    <n v="1.0149999999999999"/>
    <s v="ea"/>
    <n v="100"/>
    <n v="0.06"/>
  </r>
  <r>
    <x v="1949"/>
    <s v="SCREW CYL.HEAD HEXA. M 8X25"/>
    <s v="Bossard"/>
    <s v="DIN912 A2 BN610"/>
    <s v="MYR"/>
    <n v="1.0149999999999999"/>
    <s v="ea"/>
    <n v="100"/>
    <n v="0.06"/>
  </r>
  <r>
    <x v="1950"/>
    <s v="SCREW CYL.HEAD HEXA. M 8X30"/>
    <s v="Bossard"/>
    <s v="DIN912 A2 BN610"/>
    <s v="MYR"/>
    <n v="1.228"/>
    <s v="ea"/>
    <n v="100"/>
    <n v="0.06"/>
  </r>
  <r>
    <x v="1951"/>
    <s v="SCREW CYL.HEAD HEXA. M 8X30"/>
    <s v="Bossard"/>
    <s v="DIN912 A2 BN610"/>
    <s v="MYR"/>
    <n v="1.228"/>
    <s v="ea"/>
    <n v="100"/>
    <n v="0.06"/>
  </r>
  <r>
    <x v="1952"/>
    <s v="SCREW CYL.HEAD HEXA. M 8X35"/>
    <s v="Bossard"/>
    <s v="DIN912 BN610"/>
    <s v="MYR"/>
    <n v="1.0349999999999999"/>
    <s v="ea"/>
    <n v="100"/>
    <n v="0.06"/>
  </r>
  <r>
    <x v="1953"/>
    <s v="KNURLED NUT M4-DIN 466-BRASS"/>
    <s v="Bossard"/>
    <s v="BN 526 M4"/>
    <s v="MYR"/>
    <n v="3.5640000000000005"/>
    <s v="ea"/>
    <n v="100"/>
    <n v="0.06"/>
  </r>
  <r>
    <x v="1954"/>
    <s v="OADM 12I6460/S35A"/>
    <s v="Baumer"/>
    <n v="10147122"/>
    <s v="USD "/>
    <n v="1262.8399999999999"/>
    <s v="ea"/>
    <n v="1"/>
    <n v="0.1"/>
  </r>
  <r>
    <x v="1955"/>
    <s v="Spacer (M4 x50)"/>
    <s v="Bossard"/>
    <s v="N/A"/>
    <s v="MYR"/>
    <n v="1.1639999999999999"/>
    <s v="ea"/>
    <n v="100"/>
    <n v="0.06"/>
  </r>
  <r>
    <x v="1956"/>
    <s v="SCREW-CYL.HEAD SLOT. M 2.5X25 ALL THR. ISO1207"/>
    <s v="Bossard"/>
    <s v="BN 532 M2.5x25"/>
    <s v="MYR"/>
    <n v="0.85"/>
    <s v="ea"/>
    <n v="100"/>
    <n v="0.06"/>
  </r>
  <r>
    <x v="1957"/>
    <s v="IFRM 05P15A3/S05L"/>
    <s v="Baumer"/>
    <n v="10144452"/>
    <s v="USD "/>
    <n v="80.78"/>
    <s v="ea"/>
    <n v="1"/>
    <n v="0.1"/>
  </r>
  <r>
    <x v="1958"/>
    <s v="Kabeldose ESW 05"/>
    <s v="Baumer"/>
    <n v="10144022"/>
    <s v="USD "/>
    <n v="13.52"/>
    <s v="ea"/>
    <n v="1"/>
    <n v="0.1"/>
  </r>
  <r>
    <x v="1959"/>
    <s v="SCREW CYL.HEAD HEXA. M 8X35"/>
    <s v="Bossard"/>
    <s v="DIN912 BN610"/>
    <s v="MYR"/>
    <n v="1.0349999999999999"/>
    <s v="ea"/>
    <n v="100"/>
    <n v="0.06"/>
  </r>
  <r>
    <x v="1960"/>
    <s v="HEXAGON STANDOFFS WITH INTERNAL THREADS STEEL ZONC PLATED BLUE "/>
    <s v="Bossard"/>
    <s v="BN3319 M4 x 35"/>
    <s v="MYR"/>
    <n v="0.74"/>
    <s v="ea"/>
    <n v="100"/>
    <n v="0.06"/>
  </r>
  <r>
    <x v="1961"/>
    <s v="Spacer (M4x5)"/>
    <s v="Bossard"/>
    <s v="BN3318 M4x5"/>
    <s v="MYR"/>
    <n v="0.67"/>
    <s v="ea"/>
    <n v="100"/>
    <n v="0.06"/>
  </r>
  <r>
    <x v="1962"/>
    <s v="Spacer (M3 x10)"/>
    <s v="Bossard"/>
    <s v="N/A"/>
    <s v="MYR"/>
    <n v="0.51500000000000001"/>
    <s v="ea"/>
    <n v="100"/>
    <n v="0.06"/>
  </r>
  <r>
    <x v="1963"/>
    <s v="Hex standoffs int/ext thrds st znb"/>
    <s v="Bossard"/>
    <s v="BN3318, M3x12"/>
    <s v="MYR"/>
    <n v="0.41200000000000003"/>
    <s v="ea"/>
    <n v="100"/>
    <n v="0.06"/>
  </r>
  <r>
    <x v="1964"/>
    <s v="Threaded Insert M3x6 H2870ZG"/>
    <s v="Bossard"/>
    <s v="Kerbkonus 308 000 030.160"/>
    <s v="MYR"/>
    <n v="1.5"/>
    <s v="ea"/>
    <n v="1000"/>
    <n v="0.06"/>
  </r>
  <r>
    <x v="1965"/>
    <s v="Parallel key DIN 6885-A3x3x12-1.4571"/>
    <s v="Bossard"/>
    <s v="BN 870 3x3x12"/>
    <s v="MYR"/>
    <n v="0.4"/>
    <s v="ea"/>
    <n v="100"/>
    <n v="0.06"/>
  </r>
  <r>
    <x v="1966"/>
    <s v="Snap Ring DIN 471-20x1.2-spring steel"/>
    <s v="Bossard"/>
    <s v="BN20013 20"/>
    <s v="MYR"/>
    <n v="3.5"/>
    <s v="ea"/>
    <n v="100"/>
    <n v="0.06"/>
  </r>
  <r>
    <x v="1967"/>
    <s v="SCREW-CYL.HEAD SLOT. M 6X 50 ALL THR. ISO1207"/>
    <s v="Bossard"/>
    <s v="BN 532 M6x50"/>
    <s v="MYR"/>
    <n v="2.8"/>
    <s v="ea"/>
    <n v="100"/>
    <n v="0.06"/>
  </r>
  <r>
    <x v="1968"/>
    <s v="SCREW-CYL.HEAD SLOT. M 6X 25 ALL THR. ISO1207"/>
    <s v="Bossard"/>
    <s v="BN 532 M6x25"/>
    <s v="MYR"/>
    <n v="1.4"/>
    <s v="ea"/>
    <n v="100"/>
    <n v="0.06"/>
  </r>
  <r>
    <x v="1969"/>
    <s v="SCREW-CYL.HEAD SLOT. M 4X 16 ALL THR. ISO1207"/>
    <s v="Bossard"/>
    <s v="BN 532 M4x16"/>
    <s v="MYR"/>
    <n v="0.56000000000000005"/>
    <s v="ea"/>
    <n v="100"/>
    <n v="0.06"/>
  </r>
  <r>
    <x v="1970"/>
    <s v="SCREW-CYL.HEAD SLOT. M 5X 12 ALL THR. ISO1207"/>
    <s v="Bossard"/>
    <s v="BN 532 M5x12"/>
    <s v="MYR"/>
    <n v="0.57999999999999996"/>
    <s v="ea"/>
    <n v="100"/>
    <n v="0.06"/>
  </r>
  <r>
    <x v="1971"/>
    <s v="nut DIN 439- M12-A2"/>
    <s v="Bossard"/>
    <s v="N/A"/>
    <s v="MYR"/>
    <n v="1.4"/>
    <s v="ea"/>
    <n v="100"/>
    <n v="0.06"/>
  </r>
  <r>
    <x v="1972"/>
    <s v="SCREW-CYL.HEAD SLOT. M 2.5X16 ALL THR. ISO1207"/>
    <s v="Bossard"/>
    <s v="BN532 M2.5 x 16"/>
    <s v="MYR"/>
    <n v="0.20600000000000002"/>
    <s v="ea"/>
    <n v="100"/>
    <n v="0.06"/>
  </r>
  <r>
    <x v="1973"/>
    <s v="Hex self clinching bushes st st A1"/>
    <s v="Bossard"/>
    <s v="BN 640 M 3 h1 = 0,9"/>
    <s v="MYR"/>
    <n v="2.35"/>
    <s v="ea"/>
    <n v="100"/>
    <n v="0.06"/>
  </r>
  <r>
    <x v="1974"/>
    <s v="SCREW DIN 84  M3X25 BRASS"/>
    <s v="Bossard"/>
    <s v="BN 532 M3x25"/>
    <s v="MYR"/>
    <n v="0.33100000000000002"/>
    <s v="ea"/>
    <n v="100"/>
    <n v="0.06"/>
  </r>
  <r>
    <x v="1975"/>
    <s v="Handle SO 3000 S8 comp"/>
    <s v="Bossard"/>
    <s v="GN 725-150-M8"/>
    <s v="MYR"/>
    <n v="163"/>
    <s v="ea"/>
    <n v="1"/>
    <n v="0.06"/>
  </r>
  <r>
    <x v="1976"/>
    <s v="HEXAGON STANDOFFS WITH INTERNAL THREADS STEEL ZONC PLATED BLUE "/>
    <s v="Bossard"/>
    <s v="BN3319 M4 x 35"/>
    <s v="MYR"/>
    <n v="0.74"/>
    <s v="ea"/>
    <n v="100"/>
    <n v="0.06"/>
  </r>
  <r>
    <x v="1977"/>
    <s v="SCREW DIN 84-M2X5-BRASS"/>
    <s v="Bossard"/>
    <s v="BN 532 M2x5"/>
    <s v="MYR"/>
    <n v="8.7999999999999995E-2"/>
    <s v="ea"/>
    <n v="100"/>
    <n v="0.06"/>
  </r>
  <r>
    <x v="1978"/>
    <s v="countersunk screw DIN 963-M2x12-brass"/>
    <s v="Bossard"/>
    <s v="N/A"/>
    <s v="MYR"/>
    <n v="0.36"/>
    <s v="ea"/>
    <n v="100"/>
    <n v="0.06"/>
  </r>
  <r>
    <x v="1979"/>
    <s v="SCREW DIN 84-M2X4-BRASS"/>
    <s v="Bossard"/>
    <s v="BN 532 M2x4"/>
    <s v="MYR"/>
    <n v="0.109"/>
    <s v="ea"/>
    <n v="100"/>
    <n v="0.06"/>
  </r>
  <r>
    <x v="1980"/>
    <s v="KVT Tappex Trisert 136-M2"/>
    <s v="Bossard"/>
    <s v="136-M2"/>
    <s v="MYR"/>
    <n v="0.6"/>
    <s v="ea"/>
    <n v="1000"/>
    <n v="0.06"/>
  </r>
  <r>
    <x v="1981"/>
    <s v="Tappex - Thread insert Trisert 145M2,5"/>
    <s v="Bossard"/>
    <s v="KVT 145M2.5"/>
    <s v="MYR"/>
    <n v="0.5"/>
    <s v="ea"/>
    <n v="1000"/>
    <n v="0.06"/>
  </r>
  <r>
    <x v="1982"/>
    <s v="slotted head screw DIN 84-M1x6-brass"/>
    <s v="Bossard"/>
    <s v="Bossard 1159739"/>
    <s v="MYR"/>
    <n v="0.45"/>
    <s v="ea"/>
    <n v="100"/>
    <n v="0.06"/>
  </r>
  <r>
    <x v="1983"/>
    <s v="SCREW-COUNT.HEAD SLOT. M2.5x8 BRASS ISO2009"/>
    <s v="Bossard"/>
    <s v="BN537"/>
    <s v="MYR"/>
    <n v="0.25"/>
    <s v="ea"/>
    <n v="200"/>
    <n v="0.06"/>
  </r>
  <r>
    <x v="1984"/>
    <s v="screw DIN 84-M2,5x14-brass"/>
    <s v="Bossard"/>
    <s v="BN532 M2.5x14"/>
    <s v="MYR"/>
    <n v="0.3"/>
    <s v="ea"/>
    <n v="200"/>
    <n v="0.06"/>
  </r>
  <r>
    <x v="1985"/>
    <s v="SCREW DIN 84-M3X5-BRASS"/>
    <s v="Bossard"/>
    <s v="BN 532 M3x5"/>
    <s v="MYR"/>
    <n v="0.16400000000000003"/>
    <s v="ea"/>
    <n v="100"/>
    <n v="0.06"/>
  </r>
  <r>
    <x v="1986"/>
    <s v="Countersunk screw DIN 963-M2,5x10-brass"/>
    <s v="Bossard"/>
    <s v="BN537 M2.5 x 10"/>
    <s v="MYR"/>
    <n v="0.15"/>
    <s v="ea"/>
    <n v="200"/>
    <n v="0.06"/>
  </r>
  <r>
    <x v="1987"/>
    <s v="Countersunk screw DIN 963-M3x14-brass"/>
    <s v="Bossard"/>
    <s v="BN537 M3 x 14"/>
    <s v="MYR"/>
    <n v="0.3"/>
    <s v="ea"/>
    <n v="100"/>
    <n v="0.06"/>
  </r>
  <r>
    <x v="1988"/>
    <s v="SCREW-CYL.HEAD SLOT. M 2.5X 6 ALL THR. ISO1207"/>
    <s v="Bossard"/>
    <s v="BN532 2.5x6"/>
    <s v="MYR"/>
    <n v="0.16"/>
    <s v="ea"/>
    <n v="200"/>
    <n v="0.06"/>
  </r>
  <r>
    <x v="1989"/>
    <s v="Inductive Sensor"/>
    <s v="Baumer"/>
    <s v="??"/>
    <s v="USD "/>
    <n v="85.89"/>
    <s v="ea"/>
    <n v="1"/>
    <n v="0.1"/>
  </r>
  <r>
    <x v="1990"/>
    <s v="SCREW DIN 84-M2X10-BRASS"/>
    <s v="Bossard"/>
    <s v="BN 532 M2x10"/>
    <s v="MYR"/>
    <n v="0.11900000000000001"/>
    <s v="ea"/>
    <n v="100"/>
    <n v="0.06"/>
  </r>
  <r>
    <x v="1991"/>
    <s v="SCREW-CYL.HEAD SLOT. M 1.6X 8 ALL THR. ISO1207"/>
    <s v="Bossard"/>
    <s v="BN532 M1.6x8"/>
    <s v="MYR"/>
    <n v="0.4"/>
    <s v="ea"/>
    <n v="200"/>
    <n v="0.06"/>
  </r>
  <r>
    <x v="1992"/>
    <s v="SCREW DIN 963-M1,6X5-BRASS"/>
    <s v="Bossard"/>
    <s v="BN 537 M1.6x5"/>
    <s v="MYR"/>
    <n v="0.53400000000000003"/>
    <s v="ea"/>
    <n v="100"/>
    <n v="0.06"/>
  </r>
  <r>
    <x v="1993"/>
    <s v="SCREW DIN 963-M2X6-BRASS"/>
    <s v="Bossard"/>
    <s v="BN 537 M2x6"/>
    <s v="MYR"/>
    <n v="0.20900000000000002"/>
    <s v="ea"/>
    <n v="100"/>
    <n v="0.06"/>
  </r>
  <r>
    <x v="1994"/>
    <s v="SCREW DIN 84-M3X6-BRASS"/>
    <s v="Bossard"/>
    <s v="BN 532 M3x6"/>
    <s v="MYR"/>
    <n v="0.16700000000000004"/>
    <s v="ea"/>
    <n v="100"/>
    <n v="0.06"/>
  </r>
  <r>
    <x v="1995"/>
    <s v="SCREW DIN 84-M3X8-BRASS"/>
    <s v="Bossard"/>
    <s v="BN 532 M3x8"/>
    <s v="MYR"/>
    <n v="0.17800000000000002"/>
    <s v="ea"/>
    <n v="100"/>
    <n v="0.06"/>
  </r>
  <r>
    <x v="1996"/>
    <s v="SCREW DIN 84-M2X6-BRASS"/>
    <s v="Bossard"/>
    <s v="BN 532 M2x6"/>
    <s v="MYR"/>
    <n v="0.122"/>
    <s v="ea"/>
    <n v="100"/>
    <n v="0.06"/>
  </r>
  <r>
    <x v="1997"/>
    <s v="SCREW DIN 963-M3X6-BRASS"/>
    <s v="Bossard"/>
    <s v="BN 537 M3x6"/>
    <s v="MYR"/>
    <n v="0.10199999999999999"/>
    <s v="ea"/>
    <n v="100"/>
    <n v="0.06"/>
  </r>
  <r>
    <x v="1998"/>
    <s v="SCREW DIN 963-M2X5-BRASS"/>
    <s v="Bossard"/>
    <s v="BN 537 M2x5"/>
    <s v="MYR"/>
    <n v="0.20600000000000002"/>
    <s v="ea"/>
    <n v="100"/>
    <n v="0.06"/>
  </r>
  <r>
    <x v="1999"/>
    <s v="SCREW-CYL.HEAD SLOT. M 4X 6 ALL THR. ISO1207"/>
    <s v="Bossard"/>
    <s v="BN 532 M4x6"/>
    <s v="MYR"/>
    <n v="0.35"/>
    <s v="ea"/>
    <n v="100"/>
    <n v="0.06"/>
  </r>
  <r>
    <x v="2000"/>
    <s v="SCREW DIN 963-M3X8-BRASS"/>
    <s v="Bossard"/>
    <s v="BN 537 M3x8"/>
    <s v="MYR"/>
    <n v="0.154"/>
    <s v="ea"/>
    <n v="100"/>
    <n v="0.06"/>
  </r>
  <r>
    <x v="2001"/>
    <s v="SCREW DIN 84-M2X5-BRASS"/>
    <s v="Bossard"/>
    <s v="BN 532 M2x5"/>
    <s v="MYR"/>
    <n v="8.7999999999999995E-2"/>
    <s v="ea"/>
    <n v="100"/>
    <n v="0.06"/>
  </r>
  <r>
    <x v="2002"/>
    <s v="PEM CLS-M4-2"/>
    <s v="Bossard"/>
    <s v="PEM CLS-M4-2"/>
    <s v="MYR"/>
    <n v="0.38"/>
    <s v="ea"/>
    <n v="1000"/>
    <n v="0.06"/>
  </r>
  <r>
    <x v="2003"/>
    <s v="Einpressmutter (PEM) CLS M3-2"/>
    <s v="Bossard"/>
    <s v="CLS M3-2"/>
    <s v="MYR"/>
    <n v="0.33799999999999997"/>
    <s v="ea"/>
    <n v="1000"/>
    <n v="0.06"/>
  </r>
  <r>
    <x v="2004"/>
    <s v="Special parts brass , TrisertThreadInserts, brass, plain"/>
    <s v="Bossard"/>
    <s v="KVT 145M2"/>
    <s v="MYR"/>
    <n v="0.94799999999999995"/>
    <s v="ea"/>
    <n v="100"/>
    <n v="0.06"/>
  </r>
  <r>
    <x v="2005"/>
    <s v="Screw DIN 963- M1x4-brass"/>
    <s v="Bossard"/>
    <s v="Bossard 1160516"/>
    <s v="MYR"/>
    <n v="0.61"/>
    <s v="ea"/>
    <n v="100"/>
    <n v="0.06"/>
  </r>
  <r>
    <x v="2006"/>
    <s v="SCREW-CYL.HEAD SLOT. M 2X 3 ALL THR. ISO1207"/>
    <s v="Bossard"/>
    <s v="BN532 M2x3"/>
    <s v="MYR"/>
    <n v="0.2"/>
    <s v="ea"/>
    <n v="200"/>
    <n v="0.06"/>
  </r>
  <r>
    <x v="2007"/>
    <s v="SCREW-CYL.HEAD SLOT. M1.6X 6 ALL THR"/>
    <s v="Bossard"/>
    <s v="BN532 M1.6x6"/>
    <s v="MYR"/>
    <n v="0.2"/>
    <s v="ea"/>
    <n v="200"/>
    <n v="0.06"/>
  </r>
  <r>
    <x v="2008"/>
    <s v="screw DIN 84-M3x30-brass"/>
    <s v="Bossard"/>
    <s v="BN 532 M3x30"/>
    <s v="MYR"/>
    <n v="0.9"/>
    <s v="ea"/>
    <n v="100"/>
    <n v="0.06"/>
  </r>
  <r>
    <x v="2009"/>
    <s v="PEM CLS-M4-2"/>
    <s v="Bossard"/>
    <s v="PEM CLS-M4-2"/>
    <s v="MYR"/>
    <n v="0.38"/>
    <s v="ea"/>
    <n v="1000"/>
    <n v="0.06"/>
  </r>
  <r>
    <x v="2010"/>
    <s v="SCREW DIN 84-M2X8-BRASS"/>
    <s v="Bossard"/>
    <s v="BN 532 M2x8"/>
    <s v="MYR"/>
    <n v="8.299999999999999E-2"/>
    <s v="ea"/>
    <n v="100"/>
    <n v="0.06"/>
  </r>
  <r>
    <x v="2011"/>
    <s v="screw DIN 84-M2x14-brass"/>
    <s v="Bossard"/>
    <s v="BN532 M2x14"/>
    <s v="MYR"/>
    <n v="0.34"/>
    <s v="ea"/>
    <n v="200"/>
    <n v="0.06"/>
  </r>
  <r>
    <x v="2012"/>
    <s v="SCREW DIN 84-M2X8-BRASS"/>
    <s v="Bossard"/>
    <s v="BN 532 M2x8"/>
    <s v="MYR"/>
    <n v="8.299999999999999E-2"/>
    <s v="ea"/>
    <n v="100"/>
    <n v="0.06"/>
  </r>
  <r>
    <x v="2013"/>
    <s v="Sltd cheese hd machine screw brass D84A"/>
    <s v="Bossard"/>
    <s v="BN532 M 3 x 10"/>
    <s v="MYR"/>
    <n v="0.13699999999999998"/>
    <s v="ea"/>
    <n v="100"/>
    <n v="0.06"/>
  </r>
  <r>
    <x v="2014"/>
    <s v="SCREW-CYL.HEAD SLOT. M 2.5X 3 ALL THR. ISO1207"/>
    <s v="Bossard"/>
    <s v="BN 532 M2.5x3"/>
    <s v="MYR"/>
    <n v="0.3"/>
    <s v="ea"/>
    <n v="100"/>
    <n v="0.06"/>
  </r>
  <r>
    <x v="2015"/>
    <s v="screw DIN 84-M3x14-brass"/>
    <s v="Bossard"/>
    <s v="BN532 M3x14"/>
    <s v="MYR"/>
    <n v="0.28000000000000003"/>
    <s v="ea"/>
    <n v="200"/>
    <n v="0.06"/>
  </r>
  <r>
    <x v="2016"/>
    <s v="SCREW-CYL.HEAD SLOT. M 3X 4 ALL THR. ISO1207"/>
    <s v="Bossard"/>
    <s v="BN532 M3x4"/>
    <s v="MYR"/>
    <n v="0.22"/>
    <s v="ea"/>
    <n v="200"/>
    <n v="0.06"/>
  </r>
  <r>
    <x v="2017"/>
    <s v="SCREW DIN 963-M2X8-BRASS"/>
    <s v="Bossard"/>
    <s v="BN 537 M2x8"/>
    <s v="MYR"/>
    <n v="0.14899999999999999"/>
    <s v="ea"/>
    <n v="100"/>
    <n v="0.06"/>
  </r>
  <r>
    <x v="2018"/>
    <s v="countersunk screw DIN 963-M2x10-brass"/>
    <s v="Bossard"/>
    <s v="BN537 M2 x 10"/>
    <s v="MYR"/>
    <n v="0.22700000000000004"/>
    <s v="ea"/>
    <n v="100"/>
    <n v="0.06"/>
  </r>
  <r>
    <x v="2019"/>
    <s v="SCREW-CYL.HEAD SLOT. M 1.6X 4 ALL THR. ISO1207"/>
    <s v="Bossard"/>
    <s v="BN532 M1.6x4"/>
    <s v="MYR"/>
    <n v="0.38"/>
    <s v="ea"/>
    <n v="200"/>
    <n v="0.06"/>
  </r>
  <r>
    <x v="2020"/>
    <s v="SCREW DIN 963-M1,6X4-BRASS"/>
    <s v="Bossard"/>
    <s v="BN 537 M1.6x4"/>
    <s v="MYR"/>
    <n v="0.48700000000000004"/>
    <s v="ea"/>
    <n v="100"/>
    <n v="0.06"/>
  </r>
  <r>
    <x v="2021"/>
    <s v="slotted head screw DIN 84-M4x8-brass"/>
    <s v="Bossard"/>
    <s v="BN 532 M4x8"/>
    <s v="MYR"/>
    <n v="0.4"/>
    <s v="ea"/>
    <n v="100"/>
    <n v="0.06"/>
  </r>
  <r>
    <x v="2022"/>
    <s v="SCREW-CYL.HEAD SLOT. M 6X 10 ALL THR. ISO1207"/>
    <s v="Bossard"/>
    <s v="BN 532 M6x10"/>
    <s v="MYR"/>
    <n v="0.85"/>
    <s v="ea"/>
    <n v="100"/>
    <n v="0.06"/>
  </r>
  <r>
    <x v="2023"/>
    <s v="SCREW-CYL.HEAD SLOT. M 6X 16 ALL THR. ISO1207"/>
    <s v="Bossard"/>
    <s v="BN 532 M6x16"/>
    <s v="MYR"/>
    <n v="1.1000000000000001"/>
    <s v="ea"/>
    <n v="100"/>
    <n v="0.06"/>
  </r>
  <r>
    <x v="2024"/>
    <s v="SCREW DIN 963-M2,5X4-BRASS"/>
    <s v="Bossard"/>
    <s v="BN 537 M2.5x4"/>
    <s v="MYR"/>
    <n v="0.183"/>
    <s v="ea"/>
    <n v="100"/>
    <n v="0.06"/>
  </r>
  <r>
    <x v="2025"/>
    <s v="SCREW-CYL.HEAD SLOT. M 2X25 ALL THR. ISO1207"/>
    <s v="Bossard"/>
    <s v="BN 532 M2x25"/>
    <s v="MYR"/>
    <n v="0.8"/>
    <s v="ea"/>
    <n v="100"/>
    <n v="0.06"/>
  </r>
  <r>
    <x v="2026"/>
    <s v="Spacer (M4x8)"/>
    <s v="Bossard"/>
    <s v="BN3318 M4x8"/>
    <s v="MYR"/>
    <n v="0.73"/>
    <s v="ea"/>
    <n v="100"/>
    <n v="0.06"/>
  </r>
  <r>
    <x v="2027"/>
    <s v="Gewindeeinsatz Trisert, 145M5"/>
    <s v="Bossard"/>
    <s v="KVT 145M5"/>
    <s v="MYR"/>
    <n v="2.415"/>
    <s v="ea"/>
    <n v="1000"/>
    <n v="0.06"/>
  </r>
  <r>
    <x v="2028"/>
    <s v="SCREW-CYL.HEAD SLOT. M 2.5X10 ALL THR. ISO1207"/>
    <s v="Bossard"/>
    <s v="BN532 M2.5x10"/>
    <s v="MYR"/>
    <n v="0.188"/>
    <s v="ea"/>
    <n v="200"/>
    <n v="0.06"/>
  </r>
  <r>
    <x v="2029"/>
    <s v="Sltd cheese hd machine screw brass D84A"/>
    <s v="Bossard"/>
    <s v="BN532 M 3 x 10"/>
    <s v="MYR"/>
    <n v="0.13699999999999998"/>
    <s v="ea"/>
    <n v="100"/>
    <n v="0.06"/>
  </r>
  <r>
    <x v="2030"/>
    <s v="SPACER -HEX M3 X5 FEMALE"/>
    <s v="Bossard"/>
    <s v="(BN3319 ZP) "/>
    <s v="MYR"/>
    <n v="0.59899999999999998"/>
    <s v="ea"/>
    <n v="100"/>
    <n v="0.06"/>
  </r>
  <r>
    <x v="2031"/>
    <s v="Spacer (M3 x 8)"/>
    <s v="Bossard"/>
    <s v="BN3319 M3x8"/>
    <s v="MYR"/>
    <n v="0.75"/>
    <s v="ea"/>
    <n v="100"/>
    <n v="0.06"/>
  </r>
  <r>
    <x v="2032"/>
    <s v="PEM CLS-M2,5-1"/>
    <s v="Bossard"/>
    <s v="CLS-M2,5-1"/>
    <s v="MYR"/>
    <n v="0.52"/>
    <s v="ea"/>
    <n v="1000"/>
    <n v="0.06"/>
  </r>
  <r>
    <x v="2033"/>
    <s v="SCREW-CYL.HEAD SLOT. M 2.5X20 ALL THR. ISO1207"/>
    <s v="Bossard"/>
    <s v="BN 532 M2.5x20"/>
    <s v="MYR"/>
    <n v="0.38"/>
    <s v="ea"/>
    <n v="100"/>
    <n v="0.06"/>
  </r>
  <r>
    <x v="2034"/>
    <s v="SCREW-CYL.HEAD SLOT. M 2X20 ALL THR. ISO1207"/>
    <s v="Bossard"/>
    <s v="BN 532 M2x20"/>
    <s v="MYR"/>
    <n v="0.75"/>
    <s v="ea"/>
    <n v="100"/>
    <n v="0.06"/>
  </r>
  <r>
    <x v="2035"/>
    <s v="SPACER -HEX M3 X5 FEMALE"/>
    <s v="Bossard"/>
    <s v="(BN3319 ZP) "/>
    <s v="MYR"/>
    <n v="0.59899999999999998"/>
    <s v="ea"/>
    <n v="100"/>
    <n v="0.06"/>
  </r>
  <r>
    <x v="2036"/>
    <s v="Self-clinching nuts PEM® SP st st"/>
    <s v="Bossard"/>
    <s v="BN20520 "/>
    <s v="MYR"/>
    <n v="1.68"/>
    <s v="ea"/>
    <n v="1000"/>
    <n v="0.06"/>
  </r>
  <r>
    <x v="2037"/>
    <s v="SCREW DIN 963-M1,6X6-BRASS"/>
    <s v="Bossard"/>
    <s v="BN 537 M1.6x6"/>
    <s v="MYR"/>
    <n v="0.436"/>
    <s v="ea"/>
    <n v="100"/>
    <n v="0.06"/>
  </r>
  <r>
    <x v="2038"/>
    <s v="slotted head screw DIN 84-M4x25-brass"/>
    <s v="Bossard"/>
    <s v="BN 532 M4x25"/>
    <s v="MYR"/>
    <n v="0.95"/>
    <s v="ea"/>
    <n v="100"/>
    <n v="0.06"/>
  </r>
  <r>
    <x v="2039"/>
    <s v="SCREW DIN 963-M1,6X3-BRASS"/>
    <s v="Bossard"/>
    <s v="BN 537 M1.6x3"/>
    <s v="MYR"/>
    <n v="0.38800000000000007"/>
    <s v="ea"/>
    <n v="100"/>
    <n v="0.06"/>
  </r>
  <r>
    <x v="2040"/>
    <s v="M3_Anchor"/>
    <s v="Bossard"/>
    <s v="KERBKONUS 709.000.030.500"/>
    <s v="MYR"/>
    <n v="2.8"/>
    <s v="ea"/>
    <n v="1000"/>
    <n v="0.06"/>
  </r>
  <r>
    <x v="2041"/>
    <s v="Self-clinching nuts PEM® SP st st"/>
    <s v="Bossard"/>
    <s v="BN20520 "/>
    <s v="MYR"/>
    <n v="1.68"/>
    <s v="ea"/>
    <n v="1000"/>
    <n v="0.06"/>
  </r>
  <r>
    <x v="2042"/>
    <s v="SPACER-HEX. M3X  8 MALE/FEMALE"/>
    <s v="Bossard"/>
    <s v="BN3318 M3 X 8"/>
    <s v="MYR"/>
    <n v="0.67899999999999994"/>
    <s v="ea"/>
    <n v="100"/>
    <n v="0.06"/>
  </r>
  <r>
    <x v="2043"/>
    <s v="Cable Fixing"/>
    <s v="Bossard"/>
    <s v="Panduit FCC-A-C8"/>
    <s v="MYR"/>
    <n v="1.25"/>
    <s v="ea"/>
    <n v="100"/>
    <n v="0.06"/>
  </r>
  <r>
    <x v="2044"/>
    <s v="Handle (OPI Unit)"/>
    <s v="Bossard"/>
    <s v="Elesa GN 300-63-M6-SW"/>
    <s v="MYR"/>
    <n v="41.2"/>
    <s v="ea"/>
    <n v="10"/>
    <n v="0.06"/>
  </r>
  <r>
    <x v="2045"/>
    <s v="spring pin DIN 1481-6 x16 A2"/>
    <s v="Bossard"/>
    <s v="BN337 6x16"/>
    <s v="MYR"/>
    <n v="0.39200000000000002"/>
    <s v="ea"/>
    <n v="100"/>
    <n v="0.06"/>
  </r>
  <r>
    <x v="2046"/>
    <s v="SCREW-CYL.HEAD SLOT. M 2.5X12ALL THR. ISO1207"/>
    <s v="Bossard"/>
    <s v="BN532 M2.5x12"/>
    <s v="MYR"/>
    <n v="0.28000000000000003"/>
    <s v="ea"/>
    <n v="200"/>
    <n v="0.06"/>
  </r>
  <r>
    <x v="2047"/>
    <s v="Disk Spring DIN 2093-14x7.2x0.5-A2"/>
    <s v="Bossard"/>
    <s v="Schnorr 038600"/>
    <s v="MYR"/>
    <n v="3.5"/>
    <s v="ea"/>
    <n v="1000"/>
    <n v="0.06"/>
  </r>
  <r>
    <x v="2048"/>
    <s v="Disk Spring DIN 2093-14x7.2x0.8-A2"/>
    <s v="Bossard"/>
    <s v="Schnorr 039040"/>
    <s v="MYR"/>
    <n v="3.6"/>
    <s v="ea"/>
    <n v="1000"/>
    <n v="0.06"/>
  </r>
  <r>
    <x v="2049"/>
    <s v="SCREW-CYL.HEAD SLOT. M 2.5X 4 ALL THR. ISO1207"/>
    <s v="Bossard"/>
    <s v="BN532 2.5x4"/>
    <s v="MYR"/>
    <n v="0.15"/>
    <s v="ea"/>
    <n v="200"/>
    <n v="0.06"/>
  </r>
  <r>
    <x v="2050"/>
    <s v="SCREW DIN 84-M2,5X8-BRASS"/>
    <s v="Bossard"/>
    <s v="BN 532 M2.5x8"/>
    <s v="MYR"/>
    <n v="0.16400000000000003"/>
    <s v="ea"/>
    <n v="100"/>
    <n v="0.06"/>
  </r>
  <r>
    <x v="2051"/>
    <s v="SCREW-CYL.HEAD SLOT. M 1.6X 10 ALL THR. ISO1207"/>
    <s v="Bossard"/>
    <s v="BN532 M1.6x10"/>
    <s v="MYR"/>
    <n v="0.45"/>
    <s v="ea"/>
    <n v="100"/>
    <n v="0.06"/>
  </r>
  <r>
    <x v="2052"/>
    <s v="SPLIT PIN ISO 8752-1.5X8-A2"/>
    <s v="Bossard"/>
    <s v="BN 337 1.5x8"/>
    <s v="MYR"/>
    <n v="0.155"/>
    <s v="ea"/>
    <n v="100"/>
    <n v="0.06"/>
  </r>
  <r>
    <x v="2053"/>
    <s v="PEM CLS-M3-1"/>
    <s v="Bossard"/>
    <s v="PEM CLS-M3-1"/>
    <s v="MYR"/>
    <n v="0.4"/>
    <s v="ea"/>
    <n v="1000"/>
    <n v="0.06"/>
  </r>
  <r>
    <x v="2054"/>
    <s v="Nut DIN 934-M24-A2"/>
    <s v="Bossard"/>
    <s v="N/A"/>
    <s v="MYR"/>
    <n v="13.7"/>
    <s v="ea"/>
    <n v="25"/>
    <n v="0.06"/>
  </r>
  <r>
    <x v="2055"/>
    <s v="FHDM 12P5001/S35A"/>
    <s v="Baumer"/>
    <n v="10234167"/>
    <s v="USD "/>
    <n v="186.81"/>
    <s v="ea"/>
    <n v="1"/>
    <n v="0.1"/>
  </r>
  <r>
    <x v="2056"/>
    <s v="snap ring DIN 471-12x1-A2"/>
    <s v="Bossard"/>
    <s v="BN682 12"/>
    <s v="MYR"/>
    <n v="0.39200000000000002"/>
    <s v="ea"/>
    <n v="100"/>
    <n v="0.06"/>
  </r>
  <r>
    <x v="2057"/>
    <s v="SCREW DIN963-M3X16-BRASS"/>
    <s v="Bossard"/>
    <s v="BN 537 M3x16"/>
    <s v="MYR"/>
    <n v="0.18200000000000002"/>
    <s v="ea"/>
    <n v="100"/>
    <n v="0.06"/>
  </r>
  <r>
    <x v="2058"/>
    <s v="Ensat SB M3x4 (MS)"/>
    <s v="Bossard"/>
    <s v="KKV 307.000.030.800"/>
    <s v="MYR"/>
    <n v="3.1"/>
    <s v="ea"/>
    <n v="100"/>
    <n v="0.06"/>
  </r>
  <r>
    <x v="2059"/>
    <s v="PIN 2.5H8X10 ISO2338"/>
    <s v="Bossard"/>
    <s v="BN 684 2.5H8X10"/>
    <s v="MYR"/>
    <n v="0.18900000000000003"/>
    <s v="ea"/>
    <n v="100"/>
    <n v="0.06"/>
  </r>
  <r>
    <x v="2060"/>
    <s v="Kerb Konus Mubux-A M5"/>
    <s v="Bossard"/>
    <s v="Kerb Konus 850 000 050.800"/>
    <s v="MYR"/>
    <n v="2.5"/>
    <s v="ea"/>
    <n v="100"/>
    <n v="0.06"/>
  </r>
  <r>
    <x v="2061"/>
    <s v="SCREW-CYL.HEAD SLOT. M 1.6X 3 ALL THR. ISO1207"/>
    <s v="Bossard"/>
    <s v="BN532 M1.6x3"/>
    <s v="MYR"/>
    <n v="0.36"/>
    <s v="ea"/>
    <n v="200"/>
    <n v="0.06"/>
  </r>
  <r>
    <x v="2062"/>
    <s v="SCREW-CYL.HEAD SLOT. M 3X16 ALL THR. ISO1207"/>
    <s v="Bossard"/>
    <s v="BN532 M3x16"/>
    <s v="MYR"/>
    <n v="0.28999999999999998"/>
    <s v="ea"/>
    <n v="200"/>
    <n v="0.06"/>
  </r>
  <r>
    <x v="2063"/>
    <s v="CLSS-M5-2"/>
    <s v="Bossard"/>
    <s v="CLS-M5-2"/>
    <s v="MYR"/>
    <n v="0.7"/>
    <s v="ea"/>
    <n v="1000"/>
    <n v="0.06"/>
  </r>
  <r>
    <x v="2064"/>
    <s v="Sealing Ring Copper DIN 7603 A - 10x13,5"/>
    <s v="Bossard"/>
    <s v="BN447 10x13,5"/>
    <s v="MYR"/>
    <n v="0.3"/>
    <s v="ea"/>
    <n v="100"/>
    <n v="0.06"/>
  </r>
  <r>
    <x v="2065"/>
    <s v="SPACER M5X8"/>
    <s v="Bossard"/>
    <s v="BN3319 M5x8"/>
    <s v="MYR"/>
    <n v="0.95"/>
    <s v="ea"/>
    <n v="100"/>
    <n v="0.06"/>
  </r>
  <r>
    <x v="2066"/>
    <s v="SNAP RING DIN 472-8X0.8-SPRING STEEL"/>
    <s v="Bossard"/>
    <s v="BN 822 8"/>
    <s v="MYR"/>
    <n v="0.10199999999999999"/>
    <s v="ea"/>
    <n v="100"/>
    <n v="0.06"/>
  </r>
  <r>
    <x v="2067"/>
    <s v="Threaded Insert M4x6"/>
    <s v="Bossard"/>
    <s v="Kerb Konus 307 000 040.160 (BN905)"/>
    <s v="MYR"/>
    <n v="1.7"/>
    <s v="ea"/>
    <n v="100"/>
    <n v="0.06"/>
  </r>
  <r>
    <x v="2068"/>
    <s v="Self-tapping screw DIN 7981 A2 4.8x9.5"/>
    <s v="Bossard"/>
    <s v="BN695 ST 4,8 x 9,5"/>
    <s v="MYR"/>
    <n v="0.41"/>
    <s v="ea"/>
    <n v="100"/>
    <n v="0.06"/>
  </r>
  <r>
    <x v="2069"/>
    <s v="Insert nut KALEI M4"/>
    <s v="Bossard"/>
    <s v="BN640 M4"/>
    <s v="MYR"/>
    <n v="0.7"/>
    <s v="ea"/>
    <n v="100"/>
    <n v="0.06"/>
  </r>
  <r>
    <x v="2070"/>
    <s v="MSBA 42C2NRC0-_x000a_K44/10720200"/>
    <s v="Baumer"/>
    <n v="11175711"/>
    <s v="USD "/>
    <n v="1416.1"/>
    <s v="ea"/>
    <n v="1"/>
    <n v="0.1"/>
  </r>
  <r>
    <x v="2071"/>
    <s v="Screw DIN 84  M1X8 BRASS"/>
    <s v="Bossard"/>
    <s v="BN532 M1x8"/>
    <s v="MYR"/>
    <n v="0.5"/>
    <s v="ea"/>
    <n v="100"/>
    <n v="0.06"/>
  </r>
  <r>
    <x v="2072"/>
    <s v="SPACER-HEX. M3X  8 MALE/FEMALE"/>
    <s v="Bossard"/>
    <s v="BN3318 M3 X 8"/>
    <s v="MYR"/>
    <n v="0.67899999999999994"/>
    <s v="ea"/>
    <n v="100"/>
    <n v="0.06"/>
  </r>
  <r>
    <x v="2073"/>
    <s v="SCREW-CYL.HEAD HEX. M1.6x 4 A.T. ISO 4762"/>
    <s v="Bossard"/>
    <s v="BN612 M1.6x4"/>
    <s v="MYR"/>
    <n v="0.10300000000000001"/>
    <s v="ea"/>
    <n v="100"/>
    <n v="0.06"/>
  </r>
  <r>
    <x v="2074"/>
    <s v="SCREW-CYL.HEAD HEX. M1.6x 4 A.T. ISO 4762"/>
    <s v="Bossard"/>
    <s v="BN612 M1.6x4"/>
    <s v="MYR"/>
    <n v="0.10300000000000001"/>
    <s v="ea"/>
    <n v="100"/>
    <n v="0.06"/>
  </r>
  <r>
    <x v="2075"/>
    <s v="NUT-HEX. 0.8d M 4"/>
    <s v="Bossard"/>
    <s v="DIN 934 A2 BN628"/>
    <s v="MYR"/>
    <n v="5.3999999999999992E-2"/>
    <s v="ea"/>
    <n v="100"/>
    <n v="0.06"/>
  </r>
  <r>
    <x v="2076"/>
    <s v="PANDUIT products"/>
    <s v="Bossard"/>
    <s v="LPMM-S5-M20"/>
    <s v="MYR"/>
    <n v="0.72099999999999997"/>
    <s v="ea"/>
    <n v="1000"/>
    <n v="0.06"/>
  </r>
  <r>
    <x v="2077"/>
    <s v="HexNut"/>
    <s v="Bossard"/>
    <s v="BN91130 #8-32"/>
    <s v="MYR"/>
    <n v="0.55700000000000005"/>
    <s v="ea"/>
    <n v="100"/>
    <n v="0.06"/>
  </r>
  <r>
    <x v="2078"/>
    <s v="NUT-HEX. 0.8d M 4"/>
    <s v="Bossard"/>
    <s v="DIN 934 A2 BN628"/>
    <s v="MYR"/>
    <n v="5.3999999999999992E-2"/>
    <s v="ea"/>
    <n v="100"/>
    <n v="0.06"/>
  </r>
  <r>
    <x v="2079"/>
    <s v="SCREW-RAISED HEAD HEX. M 4x 8 A.T."/>
    <s v="Bossard"/>
    <s v="ISO7380 A2 BN1593"/>
    <s v="MYR"/>
    <n v="0.21600000000000003"/>
    <s v="ea"/>
    <n v="100"/>
    <n v="0.06"/>
  </r>
  <r>
    <x v="2080"/>
    <s v="WASHER M12 LOCK HLCR SS"/>
    <s v="Bossard"/>
    <s v="DIN7980 A2 BN5258"/>
    <s v="MYR"/>
    <n v="0.28000000000000003"/>
    <s v="ea"/>
    <n v="100"/>
    <n v="0.06"/>
  </r>
  <r>
    <x v="2081"/>
    <s v="SCREW M8-1.25-6G 25MM BHCS SS"/>
    <s v="Bossard"/>
    <s v="ISO7380 A2 BN1593"/>
    <s v="MYR"/>
    <n v="1.2"/>
    <s v="ea"/>
    <n v="100"/>
    <n v="0.06"/>
  </r>
  <r>
    <x v="2082"/>
    <s v="SCREW M3-0.5-6G 25MM BHCS SS"/>
    <s v="Bossard"/>
    <s v="ARTICLE NO: 1575236RL"/>
    <s v="MYR"/>
    <n v="0.16800000000000001"/>
    <s v="ea"/>
    <n v="100"/>
    <n v="0.06"/>
  </r>
  <r>
    <x v="2083"/>
    <s v="Bow Grip"/>
    <s v="Bossard"/>
    <s v="Elesa GN 427-12-88-EL"/>
    <s v="MYR"/>
    <n v="92"/>
    <s v="ea"/>
    <n v="10"/>
    <n v="0.06"/>
  </r>
  <r>
    <x v="2084"/>
    <s v="DOWEL PIN"/>
    <s v="Bossard"/>
    <n v="1304526"/>
    <s v="MYR"/>
    <n v="0.46"/>
    <s v="ea"/>
    <n v="100"/>
    <n v="0.06"/>
  </r>
  <r>
    <x v="2085"/>
    <s v="DOWEL PIN"/>
    <s v="Bossard"/>
    <n v="1304771"/>
    <s v="MYR"/>
    <n v="0.44"/>
    <s v="ea"/>
    <n v="100"/>
    <n v="0.06"/>
  </r>
  <r>
    <x v="2086"/>
    <s v="DOWEL PIN"/>
    <s v="Bossard"/>
    <n v="1304275"/>
    <s v="MYR"/>
    <n v="0.7"/>
    <s v="ea"/>
    <n v="100"/>
    <n v="0.06"/>
  </r>
  <r>
    <x v="2087"/>
    <s v="RETAINING RING"/>
    <s v="Bossard"/>
    <n v="1254499"/>
    <s v="MYR"/>
    <n v="0.13300000000000001"/>
    <s v="ea"/>
    <n v="100"/>
    <n v="0.06"/>
  </r>
  <r>
    <x v="2088"/>
    <s v="SECURING SCREW ALLEN"/>
    <s v="Bossard"/>
    <n v="1233513"/>
    <s v="MYR"/>
    <n v="2.0299999999999998"/>
    <s v="ea"/>
    <n v="100"/>
    <n v="0.06"/>
  </r>
  <r>
    <x v="2089"/>
    <s v="THREADED PIN"/>
    <s v="Bossard"/>
    <n v="1237179"/>
    <s v="MYR"/>
    <n v="0.14499999999999999"/>
    <s v="ea"/>
    <n v="100"/>
    <n v="0.06"/>
  </r>
  <r>
    <x v="2090"/>
    <s v="COUNTERSUNK HEAD SCREW"/>
    <s v="Bossard"/>
    <n v="3061474"/>
    <s v="MYR"/>
    <n v="0.187"/>
    <s v="ea"/>
    <n v="100"/>
    <n v="0.06"/>
  </r>
  <r>
    <x v="2091"/>
    <s v="COUNTERSUNK HEAD SCREW"/>
    <s v="Bossard"/>
    <n v="3061476"/>
    <s v="MYR"/>
    <n v="0.17599999999999999"/>
    <s v="ea"/>
    <n v="100"/>
    <n v="0.06"/>
  </r>
  <r>
    <x v="2092"/>
    <s v="THREADED INSERT"/>
    <s v="Bossard"/>
    <s v="KVT 300113407 073-M3"/>
    <s v="MYR"/>
    <n v="0.47"/>
    <s v="ea"/>
    <n v="100"/>
    <n v="0.06"/>
  </r>
  <r>
    <x v="2093"/>
    <s v="PANEX SIDE MOUNT"/>
    <s v="Bossard"/>
    <s v="Southco P/N: D8-336-310-121"/>
    <s v="MYR"/>
    <n v="6.9"/>
    <s v="ea"/>
    <n v="100"/>
    <n v="0.06"/>
  </r>
  <r>
    <x v="2094"/>
    <s v="SPRING PLATE"/>
    <s v="Bossard"/>
    <s v="Southco P/N: D3-336-400-190"/>
    <s v="MYR"/>
    <n v="2.8"/>
    <s v="ea"/>
    <n v="1000"/>
    <n v="0.06"/>
  </r>
  <r>
    <x v="2095"/>
    <s v="PIECE-CENTERING-POSITIONING"/>
    <s v="Bossard"/>
    <s v="Halder 22630.0012"/>
    <s v="MYR"/>
    <n v="36.75"/>
    <s v="ea"/>
    <n v="10"/>
    <n v="0.06"/>
  </r>
  <r>
    <x v="2096"/>
    <s v="SCHNORR products"/>
    <s v="Bossard"/>
    <s v="Schnorr 004 500"/>
    <s v="MYR"/>
    <n v="3.8849999999999998"/>
    <s v="ea"/>
    <n v="100"/>
    <n v="0.06"/>
  </r>
  <r>
    <x v="2097"/>
    <s v="SCHNORR products"/>
    <s v="Bossard"/>
    <s v="Schnorr 000 100"/>
    <s v="MYR"/>
    <n v="5.25"/>
    <s v="ea"/>
    <n v="200"/>
    <n v="0.06"/>
  </r>
  <r>
    <x v="2098"/>
    <s v="WASHER SCHNORR 3.2X8X0.2 DIN2093"/>
    <s v="Bossard"/>
    <s v="SCHNORR DIN2093 3.2X8X0.2"/>
    <s v="MYR"/>
    <n v="1.3"/>
    <s v="ea"/>
    <n v="1000"/>
    <n v="0.06"/>
  </r>
  <r>
    <x v="2099"/>
    <s v="SCHNORR 000550 SPRING STEEL PHOSPHATIZED"/>
    <s v="Bossard"/>
    <s v="BN1375 - 8, 4.2, 0.2"/>
    <s v="MYR"/>
    <n v="0.26300000000000001"/>
    <s v="ea"/>
    <n v="100"/>
    <n v="0.06"/>
  </r>
  <r>
    <x v="2100"/>
    <s v="WASHER-SCHNORR  6.2x 12.5x0.5"/>
    <s v="Bossard"/>
    <n v="2500"/>
    <s v="MYR"/>
    <n v="5.7999999999999996E-2"/>
    <s v="ea"/>
    <n v="100"/>
    <n v="0.06"/>
  </r>
  <r>
    <x v="2101"/>
    <s v="WASHER SPRING 3.2X6X0.4 CONICAL"/>
    <s v="Bossard"/>
    <n v="1280449"/>
    <s v="MYR"/>
    <n v="5.0999999999999997E-2"/>
    <s v="ea"/>
    <n v="200"/>
    <n v="0.06"/>
  </r>
  <r>
    <x v="2102"/>
    <s v="WASHER-SPRING  4.3x 8x0.5 CONICAL"/>
    <s v="Bossard"/>
    <s v="BN797 M4"/>
    <s v="MYR"/>
    <n v="4.2000000000000003E-2"/>
    <s v="ea"/>
    <n v="200"/>
    <n v="0.06"/>
  </r>
  <r>
    <x v="2103"/>
    <s v="Wavy spr wash type B st mznb D137B"/>
    <s v="Bossard"/>
    <s v="BN798 M3"/>
    <s v="MYR"/>
    <n v="5.2999999999999999E-2"/>
    <s v="ea"/>
    <n v="200"/>
    <n v="0.06"/>
  </r>
  <r>
    <x v="2104"/>
    <s v="WASHER SPING 5.3X11X0.5 CRINKLED"/>
    <s v="Bossard"/>
    <n v="1280707"/>
    <s v="MYR"/>
    <n v="0.111"/>
    <s v="ea"/>
    <n v="200"/>
    <n v="0.06"/>
  </r>
  <r>
    <x v="2105"/>
    <s v="WASHER SPRING 6.4X12X0.5 CRINKLED"/>
    <s v="Bossard"/>
    <n v="1280775"/>
    <s v="MYR"/>
    <n v="6.8999999999999992E-2"/>
    <s v="ea"/>
    <n v="200"/>
    <n v="0.06"/>
  </r>
  <r>
    <x v="2106"/>
    <s v="WASHER SPRING 8.4X15X0.8 CRINKLED"/>
    <s v="Bossard"/>
    <n v="1280783"/>
    <s v="MYR"/>
    <n v="0.23800000000000002"/>
    <s v="ea"/>
    <n v="200"/>
    <n v="0.06"/>
  </r>
  <r>
    <x v="2107"/>
    <s v="WASHER-SPRING 10.5x21x1 CRINKLED"/>
    <s v="Bossard"/>
    <s v="DIN137B ZP"/>
    <s v="MYR"/>
    <n v="0.22"/>
    <s v="ea"/>
    <n v="200"/>
    <n v="0.06"/>
  </r>
  <r>
    <x v="2108"/>
    <s v="WASHER-SHIM  8x20x0.2"/>
    <s v="Bossard"/>
    <s v="DIN988 CLAIRE"/>
    <s v="MYR"/>
    <n v="0.41499999999999998"/>
    <s v="ea"/>
    <n v="100"/>
    <n v="0.06"/>
  </r>
  <r>
    <x v="2109"/>
    <s v="WASHER-SHIM  8x20x0.5"/>
    <s v="Bossard"/>
    <s v="DIN988 CLAIRE"/>
    <s v="MYR"/>
    <n v="0.52500000000000002"/>
    <s v="ea"/>
    <n v="100"/>
    <n v="0.06"/>
  </r>
  <r>
    <x v="2110"/>
    <s v="WASHER-ADJUSTING  4x 8x0.5"/>
    <s v="Bossard"/>
    <s v="DIN988 CLAIRE HUILEE"/>
    <s v="MYR"/>
    <n v="7.3999999999999996E-2"/>
    <s v="ea"/>
    <n v="100"/>
    <n v="0.06"/>
  </r>
  <r>
    <x v="2111"/>
    <s v="WASHER-ADJUSTING  4x 8x0.2"/>
    <s v="Bossard"/>
    <s v="DIN988 CLAIRE HUILEE"/>
    <s v="MYR"/>
    <n v="4.6999999999999993E-2"/>
    <s v="ea"/>
    <n v="100"/>
    <n v="0.06"/>
  </r>
  <r>
    <x v="2112"/>
    <s v="WASHER-SHIM-RING 10X22X0.2 DIN988"/>
    <s v="Bossard"/>
    <s v="BN748 10x22x0.2"/>
    <s v="MYR"/>
    <n v="0.72099999999999997"/>
    <s v="ea"/>
    <n v="100"/>
    <n v="0.06"/>
  </r>
  <r>
    <x v="2113"/>
    <s v="Shim washers ~DIN 988 spring st"/>
    <s v="Bossard"/>
    <s v="BN748 M10x22x0.5"/>
    <s v="MYR"/>
    <n v="0.66399999999999992"/>
    <s v="ea"/>
    <n v="100"/>
    <n v="0.06"/>
  </r>
  <r>
    <x v="2114"/>
    <s v="WASHER-SHIM  6x18x0.5"/>
    <s v="Bossard"/>
    <s v="DIN988 CLAIRE"/>
    <s v="MYR"/>
    <n v="0.58300000000000007"/>
    <s v="ea"/>
    <n v="100"/>
    <n v="0.06"/>
  </r>
  <r>
    <x v="2115"/>
    <s v="WASHER ADJUSTING 10x16x0.2"/>
    <s v="Bossard"/>
    <s v="N/A"/>
    <s v="MYR"/>
    <n v="0.1"/>
    <s v="ea"/>
    <n v="100"/>
    <n v="0.06"/>
  </r>
  <r>
    <x v="2116"/>
    <s v="WASHER-ADJUSTING  8x14x0.2"/>
    <s v="Bossard"/>
    <s v="DIN988 CLAIRE HUILEE"/>
    <s v="MYR"/>
    <n v="7.8E-2"/>
    <s v="ea"/>
    <n v="100"/>
    <n v="0.06"/>
  </r>
  <r>
    <x v="2117"/>
    <s v="Shim washers ~DIN 988 spring st"/>
    <s v="Bossard"/>
    <s v="BN748 M3 x 15 x 0.5"/>
    <s v="MYR"/>
    <n v="0.84"/>
    <s v="ea"/>
    <n v="100"/>
    <n v="0.06"/>
  </r>
  <r>
    <x v="2118"/>
    <s v="SCREW-RAISED HEAD HEX. M 4x 8 A.T."/>
    <s v="Bossard"/>
    <s v="ISO7380 A2 BN1593"/>
    <s v="MYR"/>
    <n v="0.21600000000000003"/>
    <s v="ea"/>
    <n v="100"/>
    <n v="0.06"/>
  </r>
  <r>
    <x v="2119"/>
    <s v="Shim rings steel 2K50 D988"/>
    <s v="Bossard"/>
    <s v="BN1976 M3 x 6"/>
    <s v="MYR"/>
    <n v="5.1999999999999991E-2"/>
    <s v="ea"/>
    <n v="100"/>
    <n v="0.06"/>
  </r>
  <r>
    <x v="2120"/>
    <s v="WASHER-ADJUSTING  3x 6x0.2"/>
    <s v="Bossard"/>
    <s v="DIN988 CLAIRE HUILEE"/>
    <s v="MYR"/>
    <n v="5.3999999999999992E-2"/>
    <s v="ea"/>
    <n v="100"/>
    <n v="0.06"/>
  </r>
  <r>
    <x v="2121"/>
    <s v="WASHER-ADJUSTING  3x 6x0.5"/>
    <s v="Bossard"/>
    <s v="DIN988 CLAIRE HUILEE"/>
    <s v="MYR"/>
    <n v="4.5999999999999999E-2"/>
    <s v="ea"/>
    <n v="100"/>
    <n v="0.06"/>
  </r>
  <r>
    <x v="2122"/>
    <s v="WASHER ADJUSTING 3X6X0.3"/>
    <s v="Bossard"/>
    <n v="1225332"/>
    <s v="MYR"/>
    <n v="4.8000000000000001E-2"/>
    <s v="ea"/>
    <n v="100"/>
    <n v="0.06"/>
  </r>
  <r>
    <x v="2123"/>
    <s v="WASHER-SHIM  4x16x0.2"/>
    <s v="Bossard"/>
    <s v="DIN988 CLAIRE"/>
    <s v="MYR"/>
    <n v="0.59"/>
    <s v="ea"/>
    <n v="100"/>
    <n v="0.06"/>
  </r>
  <r>
    <x v="2124"/>
    <s v="Shim rings steel 2K50 D988"/>
    <s v="Bossard"/>
    <s v="BN1976 M5 x 10"/>
    <s v="MYR"/>
    <n v="0.126"/>
    <s v="ea"/>
    <n v="100"/>
    <n v="0.06"/>
  </r>
  <r>
    <x v="2125"/>
    <s v="WASHER-ADJUSTING  5X10X0.2"/>
    <s v="Bossard"/>
    <s v="DIN988 CLAIRE HUILEE"/>
    <s v="MYR"/>
    <n v="0.111"/>
    <s v="ea"/>
    <n v="200"/>
    <n v="0.06"/>
  </r>
  <r>
    <x v="2126"/>
    <s v="WASHER-ADJUSTING  5x10x0.5"/>
    <s v="Bossard"/>
    <s v="DIN988 CLAIRE HUILEE"/>
    <s v="MYR"/>
    <n v="0.105"/>
    <s v="ea"/>
    <n v="200"/>
    <n v="0.06"/>
  </r>
  <r>
    <x v="2127"/>
    <s v="WASHER-ADJUSTING  6x12x0.2"/>
    <s v="Bossard"/>
    <s v="DIN988 CLAIRE HUILEE"/>
    <s v="MYR"/>
    <n v="0.13200000000000001"/>
    <s v="ea"/>
    <n v="100"/>
    <n v="0.06"/>
  </r>
  <r>
    <x v="2128"/>
    <s v="SHIM RINGS STEEL 2K50 DIN 988 "/>
    <s v="Bossard"/>
    <s v="N/A"/>
    <s v="MYR"/>
    <n v="0.27"/>
    <s v="ea"/>
    <n v="100"/>
    <n v="0.06"/>
  </r>
  <r>
    <x v="2129"/>
    <s v="Flat washers thin type st znb"/>
    <s v="Bossard"/>
    <s v="BN735 M 3 / 3,2/13/0,5"/>
    <s v="MYR"/>
    <n v="0.109"/>
    <s v="ea"/>
    <n v="200"/>
    <n v="0.06"/>
  </r>
  <r>
    <x v="2130"/>
    <s v="WASHER-MEDIUM STRONG 17X40X1.6"/>
    <s v="Bossard"/>
    <s v="BN 735"/>
    <s v="MYR"/>
    <n v="0.72099999999999997"/>
    <s v="ea"/>
    <n v="100"/>
    <n v="0.06"/>
  </r>
  <r>
    <x v="2131"/>
    <s v="WASHER-CHAMFERLESS 10.5x25x4"/>
    <s v="Bossard"/>
    <s v="DIN7349 ZP"/>
    <s v="MYR"/>
    <n v="0.35600000000000004"/>
    <s v="ea"/>
    <n v="100"/>
    <n v="0.06"/>
  </r>
  <r>
    <x v="2132"/>
    <s v="WASHER-CHAMFERLESS  4.3x12x1.6"/>
    <s v="Bossard"/>
    <s v="DIN7349 ZP"/>
    <s v="MYR"/>
    <n v="4.8000000000000001E-2"/>
    <s v="ea"/>
    <n v="200"/>
    <n v="0.06"/>
  </r>
  <r>
    <x v="2133"/>
    <s v="WASHER-LARGE DIAMETER  5.3x20x1.5"/>
    <s v="Bossard"/>
    <s v="BN732"/>
    <s v="MYR"/>
    <n v="0.155"/>
    <s v="ea"/>
    <n v="100"/>
    <n v="0.06"/>
  </r>
  <r>
    <x v="2134"/>
    <s v="WASHER-CHAMFERLESS  6.4x17x3"/>
    <s v="Bossard"/>
    <s v="DIN7349 ZP"/>
    <s v="MYR"/>
    <n v="0.27500000000000002"/>
    <s v="ea"/>
    <n v="200"/>
    <n v="0.06"/>
  </r>
  <r>
    <x v="2135"/>
    <s v="WASHER-LARGE DIAMETER  6.4x25x1.8"/>
    <s v="Bossard"/>
    <s v="BN732"/>
    <s v="MYR"/>
    <n v="0.25700000000000001"/>
    <s v="ea"/>
    <n v="100"/>
    <n v="0.06"/>
  </r>
  <r>
    <x v="2136"/>
    <s v="WASHER-LARGE DIAMETER  8.4X30X2  M8"/>
    <s v="Bossard"/>
    <s v="BN732 00732"/>
    <s v="MYR"/>
    <n v="0.23900000000000002"/>
    <s v="ea"/>
    <n v="100"/>
    <n v="0.06"/>
  </r>
  <r>
    <x v="2137"/>
    <s v="WASHER-LARGE DIAMETER 10.5X30X2"/>
    <s v="Bossard"/>
    <s v="BN732 10(10.5) x 30/2"/>
    <s v="MYR"/>
    <n v="0.57800000000000007"/>
    <s v="ea"/>
    <n v="100"/>
    <n v="0.06"/>
  </r>
  <r>
    <x v="2138"/>
    <s v="WASHER-LARGE DIAMETER 10.5X35X2.5"/>
    <s v="Bossard"/>
    <s v="BN732 10(10.5)x35x2.5"/>
    <s v="MYR"/>
    <n v="0.77300000000000002"/>
    <s v="ea"/>
    <n v="100"/>
    <n v="0.06"/>
  </r>
  <r>
    <x v="2139"/>
    <s v="Flat washers w/o chamfer st znb D433"/>
    <s v="Bossard"/>
    <s v="BN726 M3"/>
    <s v="MYR"/>
    <n v="2.1000000000000001E-2"/>
    <s v="ea"/>
    <n v="100"/>
    <n v="0.06"/>
  </r>
  <r>
    <x v="2140"/>
    <s v="WASHER-CHAMFERLESS  2.2X 5X0.3"/>
    <s v="Bossard"/>
    <s v="DIN125A TEIL 1 ZP"/>
    <s v="MYR"/>
    <n v="7.0999999999999994E-2"/>
    <s v="ea"/>
    <n v="200"/>
    <n v="0.06"/>
  </r>
  <r>
    <x v="2141"/>
    <s v="WASHER-CHAMFERLESS  3.2X 7X0.5"/>
    <s v="Bossard"/>
    <s v="DIN125A TEIL 1 ZP"/>
    <s v="MYR"/>
    <n v="2.4E-2"/>
    <s v="ea"/>
    <n v="200"/>
    <n v="0.06"/>
  </r>
  <r>
    <x v="2142"/>
    <s v="WASHER-CHAMFERLESS  5.3x15x2"/>
    <s v="Bossard"/>
    <s v="DIN7349 ZP"/>
    <s v="MYR"/>
    <n v="0.08"/>
    <s v="ea"/>
    <n v="200"/>
    <n v="0.06"/>
  </r>
  <r>
    <x v="2143"/>
    <s v="WASHER-CHAMFERLESS  5.3x10x1"/>
    <s v="Bossard"/>
    <s v="DIN125A TEIL 1 ZP"/>
    <s v="MYR"/>
    <n v="2.4E-2"/>
    <s v="ea"/>
    <n v="200"/>
    <n v="0.06"/>
  </r>
  <r>
    <x v="2144"/>
    <s v="WASHER CHAMFERED PLAIN 6.4X12X1.6"/>
    <s v="Bossard"/>
    <n v="1762036"/>
    <s v="MYR"/>
    <n v="0.114"/>
    <s v="ea"/>
    <n v="200"/>
    <n v="0.06"/>
  </r>
  <r>
    <x v="2145"/>
    <s v="WASHER-CHAMFERLESS  2.7x 6x0.5"/>
    <s v="Bossard"/>
    <s v="DIN125A TEIL 1 ZP"/>
    <s v="MYR"/>
    <n v="2.6000000000000002E-2"/>
    <s v="ea"/>
    <n v="1000"/>
    <n v="0.06"/>
  </r>
  <r>
    <x v="2146"/>
    <s v="WASHER-CHAMFERED PLAIN  8.4x16x1.6"/>
    <s v="Bossard"/>
    <s v="DIN125B ZP"/>
    <s v="MYR"/>
    <n v="0.121"/>
    <s v="ea"/>
    <n v="200"/>
    <n v="0.06"/>
  </r>
  <r>
    <x v="2147"/>
    <s v="WASHER-CHAMFERED PLAIN 10.5x20x2"/>
    <s v="Bossard"/>
    <s v="DIN125B ZP"/>
    <s v="MYR"/>
    <n v="0.36799999999999999"/>
    <s v="ea"/>
    <n v="200"/>
    <n v="0.06"/>
  </r>
  <r>
    <x v="2148"/>
    <s v="Flat washers thick type st znb"/>
    <s v="Bossard"/>
    <s v="BN737 M8"/>
    <s v="MYR"/>
    <n v="0.315"/>
    <s v="ea"/>
    <n v="100"/>
    <n v="0.06"/>
  </r>
  <r>
    <x v="2149"/>
    <s v="WASHER-CHAMFERLESS 3.2X 9X0.8"/>
    <s v="Bossard"/>
    <s v="1269976"/>
    <s v="MYR"/>
    <n v="0.08"/>
    <s v="ea"/>
    <n v="200"/>
    <n v="0.06"/>
  </r>
  <r>
    <x v="2150"/>
    <s v="WASHER-CHAMFERLESS 4.3X12X1"/>
    <s v="Bossard"/>
    <s v="1269992"/>
    <s v="MYR"/>
    <n v="2.8000000000000004E-2"/>
    <s v="ea"/>
    <n v="200"/>
    <n v="0.06"/>
  </r>
  <r>
    <x v="2151"/>
    <s v="WASHER-CHAMFERLESS 13X24X2.5"/>
    <s v="Bossard"/>
    <s v="DIN125B ZP"/>
    <s v="MYR"/>
    <n v="0.85"/>
    <s v="ea"/>
    <n v="100"/>
    <n v="0.06"/>
  </r>
  <r>
    <x v="2152"/>
    <s v="Ext serrat lock wash type A st znb D6798A"/>
    <s v="Bossard"/>
    <s v="BN781 M2.5"/>
    <s v="MYR"/>
    <n v="0.11599999999999999"/>
    <s v="ea"/>
    <n v="200"/>
    <n v="0.06"/>
  </r>
  <r>
    <x v="2153"/>
    <s v="SCW WASHER-SERRATED 3.2X6X0.4"/>
    <s v="Bossard"/>
    <s v="1278037"/>
    <s v="MYR"/>
    <n v="2.6000000000000002E-2"/>
    <s v="ea"/>
    <n v="200"/>
    <n v="0.06"/>
  </r>
  <r>
    <x v="2154"/>
    <s v="Shim rings steel 2K50 D988"/>
    <s v="Bossard"/>
    <s v="BN1976 M3 x 6"/>
    <s v="MYR"/>
    <n v="5.1999999999999991E-2"/>
    <s v="ea"/>
    <n v="100"/>
    <n v="0.06"/>
  </r>
  <r>
    <x v="2155"/>
    <s v="WASHER-SERRATED 4.3X 8X0.5"/>
    <s v="Bossard"/>
    <s v="DIN6798A BN781 M 4 / 4,3"/>
    <s v="MYR"/>
    <n v="2.6000000000000002E-2"/>
    <s v="ea"/>
    <n v="200"/>
    <n v="0.06"/>
  </r>
  <r>
    <x v="2156"/>
    <s v="Ext serrat lock wash type A st znb D6798A"/>
    <s v="Bossard"/>
    <s v="BN781 M5"/>
    <s v="MYR"/>
    <n v="0.06"/>
    <s v="ea"/>
    <n v="200"/>
    <n v="0.06"/>
  </r>
  <r>
    <x v="2157"/>
    <s v="WASHER-SERRATED 4.3X 8X0.5"/>
    <s v="Bossard"/>
    <s v="DIN6798A BN781 M 4 / 4,3"/>
    <s v="MYR"/>
    <n v="2.6000000000000002E-2"/>
    <s v="ea"/>
    <n v="200"/>
    <n v="0.06"/>
  </r>
  <r>
    <x v="2158"/>
    <s v="WASHER SERRATED M6"/>
    <s v="Bossard"/>
    <s v="DIN6798A BN781"/>
    <s v="MYR"/>
    <n v="7.0000000000000007E-2"/>
    <s v="ea"/>
    <n v="200"/>
    <n v="0.06"/>
  </r>
  <r>
    <x v="2159"/>
    <s v="WASHER SERRATED M6"/>
    <s v="Bossard"/>
    <s v="DIN6798A BN781"/>
    <s v="MYR"/>
    <n v="7.0000000000000007E-2"/>
    <s v="ea"/>
    <n v="200"/>
    <n v="0.06"/>
  </r>
  <r>
    <x v="2160"/>
    <s v="WASHER-SPRING-LOCK 4.1X7.6X0.9 (M4) DIN127B"/>
    <s v="Bossard"/>
    <s v="DIN127B NOIRCIE"/>
    <s v="MYR"/>
    <n v="0.03"/>
    <s v="ea"/>
    <n v="200"/>
    <n v="0.06"/>
  </r>
  <r>
    <x v="2161"/>
    <s v="WASHER-CHAMFERLESS  3.2x 9x1"/>
    <s v="Bossard"/>
    <s v="DIN7349 ZP"/>
    <s v="MYR"/>
    <n v="2.5000000000000001E-2"/>
    <s v="ea"/>
    <n v="200"/>
    <n v="0.06"/>
  </r>
  <r>
    <x v="2162"/>
    <s v="WASHER-ADJUSTING  6X12X0.5"/>
    <s v="Bossard"/>
    <s v="DIN988 CLAIRE HUILEE"/>
    <s v="MYR"/>
    <n v="7.4999999999999997E-2"/>
    <s v="ea"/>
    <n v="100"/>
    <n v="0.06"/>
  </r>
  <r>
    <x v="2163"/>
    <s v="WASHER-ADJUSTING  8x14x0.5"/>
    <s v="Bossard"/>
    <s v="DIN988 CLAIRE HUILEE"/>
    <s v="MYR"/>
    <n v="7.4999999999999997E-2"/>
    <s v="ea"/>
    <n v="100"/>
    <n v="0.06"/>
  </r>
  <r>
    <x v="2164"/>
    <s v="WASHER-INSUL.DIN7735-WHITE 2X4.5X0.3"/>
    <s v="Bossard"/>
    <s v="BN1074 M2"/>
    <s v="MYR"/>
    <n v="0.10300000000000001"/>
    <s v="ea"/>
    <n v="100"/>
    <n v="0.06"/>
  </r>
  <r>
    <x v="2165"/>
    <s v="WASHER-CHAMFERLESS  8.4x21x4"/>
    <s v="Bossard"/>
    <s v="DIN7349 ZP"/>
    <s v="MYR"/>
    <n v="0.7"/>
    <s v="ea"/>
    <n v="200"/>
    <n v="0.06"/>
  </r>
  <r>
    <x v="2166"/>
    <s v="WASHER-CHAMFERLESS  2.2x 4.5x0.3 "/>
    <s v="Bossard"/>
    <s v="(DIN 433 TEIL 1 A2)"/>
    <s v="MYR"/>
    <n v="0.02"/>
    <s v="ea"/>
    <n v="200"/>
    <n v="0.06"/>
  </r>
  <r>
    <x v="2167"/>
    <s v="WASHER-SCHNORR  4.2x 10x0.4"/>
    <s v="Bossard"/>
    <s v="Schnorr 001 100"/>
    <s v="MYR"/>
    <n v="3.5"/>
    <s v="ea"/>
    <n v="500"/>
    <n v="0.06"/>
  </r>
  <r>
    <x v="2168"/>
    <s v="WASHER-SCHNORR  5.2x 10x0.5"/>
    <s v="Bossard"/>
    <n v="1500"/>
    <s v="MYR"/>
    <n v="5.1999999999999991E-2"/>
    <s v="ea"/>
    <n v="100"/>
    <n v="0.06"/>
  </r>
  <r>
    <x v="2169"/>
    <s v="WASHER ADJUSTING 4X8X0.3"/>
    <s v="Bossard"/>
    <n v="1225375"/>
    <s v="MYR"/>
    <n v="0.1"/>
    <s v="ea"/>
    <n v="100"/>
    <n v="0.06"/>
  </r>
  <r>
    <x v="2170"/>
    <s v="WASHER ADJUSTING 10x16x0.5"/>
    <s v="Bossard"/>
    <s v="N/A"/>
    <s v="MYR"/>
    <n v="0.14000000000000001"/>
    <s v="ea"/>
    <n v="100"/>
    <n v="0.06"/>
  </r>
  <r>
    <x v="2171"/>
    <s v="WASHER CHAMFERLESS 6.4X11X1.6 BN726"/>
    <s v="Bossard"/>
    <s v="1269593"/>
    <s v="MYR"/>
    <n v="9.6000000000000002E-2"/>
    <s v="ea"/>
    <n v="200"/>
    <n v="0.06"/>
  </r>
  <r>
    <x v="2172"/>
    <s v="WASHER-SCHNORR  6.2x 12.5x0.35"/>
    <s v="Bossard"/>
    <s v="BN1375 6,2"/>
    <s v="MYR"/>
    <n v="0.376"/>
    <s v="ea"/>
    <n v="100"/>
    <n v="0.06"/>
  </r>
  <r>
    <x v="2173"/>
    <s v="Flt wash w/o chamfer st st A2 D125A"/>
    <s v="Bossard"/>
    <s v="BN670 M1.6"/>
    <s v="MYR"/>
    <n v="8.6999999999999994E-2"/>
    <s v="ea"/>
    <n v="200"/>
    <n v="0.06"/>
  </r>
  <r>
    <x v="2174"/>
    <s v="Disc springs series A spring steel D2093A"/>
    <s v="Bossard"/>
    <s v="BN804 M8"/>
    <s v="MYR"/>
    <n v="0.158"/>
    <s v="ea"/>
    <n v="100"/>
    <n v="0.06"/>
  </r>
  <r>
    <x v="2175"/>
    <s v="WASHER M6"/>
    <s v="Bossard"/>
    <s v="DIN9021 BN1356"/>
    <s v="MYR"/>
    <n v="0.16600000000000001"/>
    <s v="ea"/>
    <n v="100"/>
    <n v="0.06"/>
  </r>
  <r>
    <x v="2176"/>
    <s v="PLUG, HEX SKT, 1/8, STEEL"/>
    <s v="SMC"/>
    <s v="1/8 PLUG"/>
    <s v="MYR"/>
    <n v="1.78"/>
    <s v="ea"/>
    <n v="1"/>
    <n v="0.06"/>
  </r>
  <r>
    <x v="2177"/>
    <s v="VALVE, 3 PORT, NC, 3.1W, VAC"/>
    <s v="SMC"/>
    <s v="10-VQ110U-5L-X607"/>
    <s v="MYR"/>
    <n v="122.65"/>
    <s v="ea"/>
    <n v="1"/>
    <n v="0.06"/>
  </r>
  <r>
    <x v="2178"/>
    <s v="VALVE, 3 PORT, NC, 3.1W, VAC"/>
    <s v="SMC"/>
    <s v="10-VQ110U-5M-X607"/>
    <s v="MYR"/>
    <n v="140.88"/>
    <s v="ea"/>
    <n v="1"/>
    <n v="0.06"/>
  </r>
  <r>
    <x v="2179"/>
    <s v="AIR-TREATMENT-MOTOR-TORQUE"/>
    <s v="SMC"/>
    <s v="AC20-KJN005B"/>
    <s v="MYR"/>
    <n v="341.43"/>
    <s v="ea"/>
    <n v="1"/>
    <n v="0.06"/>
  </r>
  <r>
    <x v="2180"/>
    <s v="Pressure Regulator"/>
    <s v="SMC"/>
    <s v="AC20-LQJ001"/>
    <s v="MYR"/>
    <n v="209.24"/>
    <s v="ea"/>
    <n v="1"/>
    <n v="0.06"/>
  </r>
  <r>
    <x v="2181"/>
    <s v="FILTER,REGULATOR,LUBRICATOR"/>
    <s v="SMC"/>
    <s v="AC40D-03"/>
    <s v="MYR"/>
    <n v="246.48"/>
    <s v="ea"/>
    <n v="1"/>
    <n v="0.06"/>
  </r>
  <r>
    <x v="2182"/>
    <s v="REGULATOR,FILTER MIST SEPORATR"/>
    <s v="SMC"/>
    <s v="AC40D-03-R-A"/>
    <s v="MYR"/>
    <n v="200.78"/>
    <s v="ea"/>
    <n v="1"/>
    <n v="0.06"/>
  </r>
  <r>
    <x v="2183"/>
    <s v="FILTER REGULATOR ASSY,SMC"/>
    <s v="SMC"/>
    <s v="AC40D-N03G-Z-A"/>
    <s v="MYR"/>
    <n v="262.77"/>
    <s v="ea"/>
    <n v="1"/>
    <n v="0.06"/>
  </r>
  <r>
    <x v="2184"/>
    <s v="FILTER REGULATOR ASSY,SMC"/>
    <s v="SMC"/>
    <s v="AC40D-N03G-Z-B"/>
    <s v="MYR"/>
    <n v="268.14"/>
    <s v="ea"/>
    <n v="1"/>
    <n v="0.06"/>
  </r>
  <r>
    <x v="2185"/>
    <s v="REGULATOR, FLTR/MIST SEP."/>
    <s v="SMC"/>
    <s v="AC40D-N04DG-S-RZ-A"/>
    <s v="MYR"/>
    <n v="517.47"/>
    <s v="ea"/>
    <n v="1"/>
    <n v="0.06"/>
  </r>
  <r>
    <x v="2186"/>
    <s v="REGULATOR, FLTR/MIST SEP."/>
    <s v="SMC"/>
    <s v="AC40D-N04D-Z-A"/>
    <s v="MYR"/>
    <n v="402.61"/>
    <s v="ea"/>
    <n v="1"/>
    <n v="0.06"/>
  </r>
  <r>
    <x v="2187"/>
    <s v="Air Filter"/>
    <s v="SMC"/>
    <s v="AF10-M5-A"/>
    <s v="MYR"/>
    <n v="31.96"/>
    <s v="ea"/>
    <n v="1"/>
    <n v="0.06"/>
  </r>
  <r>
    <x v="2188"/>
    <s v="FILTER-AIR AF2000-01"/>
    <s v="SMC"/>
    <s v="AF20-01C"/>
    <s v="MYR"/>
    <n v="54.22"/>
    <s v="ea"/>
    <n v="1"/>
    <n v="0.06"/>
  </r>
  <r>
    <x v="2189"/>
    <s v="CDA FILTER"/>
    <s v="SMC"/>
    <s v="AF20-02-A"/>
    <s v="MYR"/>
    <n v="48.31"/>
    <s v="ea"/>
    <n v="1"/>
    <n v="0.06"/>
  </r>
  <r>
    <x v="2190"/>
    <s v="AIR FILTER"/>
    <s v="SMC"/>
    <s v="AF20-F01C"/>
    <s v="MYR"/>
    <n v="63.11"/>
    <s v="ea"/>
    <n v="1"/>
    <n v="0.06"/>
  </r>
  <r>
    <x v="2191"/>
    <s v="Air Filter Insert for 80.0000.1799"/>
    <s v="SMC"/>
    <s v="AF20P-060S"/>
    <s v="MYR"/>
    <n v="4.1500000000000004"/>
    <s v="ea"/>
    <n v="1"/>
    <n v="0.06"/>
  </r>
  <r>
    <x v="2192"/>
    <s v="ANGLE-BRACKET-FIXING-FILTER"/>
    <s v="SMC"/>
    <s v="AF22P-050AS"/>
    <s v="MYR"/>
    <n v="6.13"/>
    <s v="ea"/>
    <n v="1"/>
    <n v="0.06"/>
  </r>
  <r>
    <x v="2193"/>
    <s v="Air Filter"/>
    <s v="SMC"/>
    <s v="AF30-F02-A"/>
    <s v="MYR"/>
    <n v="41.01"/>
    <s v="ea"/>
    <n v="1"/>
    <n v="0.06"/>
  </r>
  <r>
    <x v="2194"/>
    <s v="Air Filter"/>
    <s v="SMC"/>
    <s v="AF30-F02BC-A    "/>
    <s v="MYR"/>
    <n v="148.34"/>
    <s v="ea"/>
    <n v="1"/>
    <n v="0.06"/>
  </r>
  <r>
    <x v="2195"/>
    <s v="Air Filter"/>
    <s v="SMC"/>
    <s v="AF30-F02C-A    "/>
    <s v="MYR"/>
    <n v="143.59"/>
    <s v="ea"/>
    <n v="1"/>
    <n v="0.06"/>
  </r>
  <r>
    <x v="2196"/>
    <s v="FILTER-PNEUMATIC G3/8 + BRACKET"/>
    <s v="SMC"/>
    <s v="AF30-F03B-6-A"/>
    <s v="MYR"/>
    <n v="56.85"/>
    <s v="ea"/>
    <n v="1"/>
    <n v="0.06"/>
  </r>
  <r>
    <x v="2197"/>
    <s v="Mounting Angle (AF30)"/>
    <s v="SMC"/>
    <s v="AF30P-050AS"/>
    <s v="MYR"/>
    <n v="12.35"/>
    <s v="ea"/>
    <n v="1"/>
    <n v="0.06"/>
  </r>
  <r>
    <x v="2198"/>
    <s v="Filter"/>
    <s v="SMC"/>
    <s v="AF40-F04"/>
    <s v="MYR"/>
    <n v="53.94"/>
    <s v="ea"/>
    <n v="1"/>
    <n v="0.06"/>
  </r>
  <r>
    <x v="2199"/>
    <s v="FILTER ELEMENT,FILTER-RGLTR"/>
    <s v="SMC"/>
    <s v="AF40P-060S"/>
    <s v="MYR"/>
    <n v="18.2"/>
    <s v="ea"/>
    <n v="1"/>
    <n v="0.06"/>
  </r>
  <r>
    <x v="2200"/>
    <s v="Air Filter"/>
    <s v="SMC"/>
    <s v="AFD20-F01-A"/>
    <s v="MYR"/>
    <n v="74.099999999999994"/>
    <s v="ea"/>
    <n v="1"/>
    <n v="0.06"/>
  </r>
  <r>
    <x v="2201"/>
    <s v="FILTER-PNEUMATIC SUBMICRONICAL"/>
    <s v="SMC"/>
    <s v="AFD20-F02C-A"/>
    <s v="MYR"/>
    <n v="95.39"/>
    <s v="ea"/>
    <n v="1"/>
    <n v="0.06"/>
  </r>
  <r>
    <x v="2202"/>
    <s v="SEPARATOR MIST AFM2000-01"/>
    <s v="SMC"/>
    <s v="AFM20-01C"/>
    <s v="MYR"/>
    <n v="67.849999999999994"/>
    <s v="ea"/>
    <n v="1"/>
    <n v="0.06"/>
  </r>
  <r>
    <x v="2203"/>
    <s v="MIST SEPERATOR"/>
    <s v="SMC"/>
    <s v="AFM20-F01-A"/>
    <s v="MYR"/>
    <n v="70.489999999999995"/>
    <s v="ea"/>
    <n v="1"/>
    <n v="0.06"/>
  </r>
  <r>
    <x v="2204"/>
    <s v="FILTER PNEUMATIC AFM20P-060AS"/>
    <s v="SMC"/>
    <s v="AFM20P-060AS"/>
    <s v="MYR"/>
    <n v="42.64"/>
    <s v="ea"/>
    <n v="1"/>
    <n v="0.06"/>
  </r>
  <r>
    <x v="2205"/>
    <s v="SEPARATOR,MIST"/>
    <s v="SMC"/>
    <s v="AFM40-N03-Z-A"/>
    <s v="MYR"/>
    <n v="97.52"/>
    <s v="ea"/>
    <n v="1"/>
    <n v="0.06"/>
  </r>
  <r>
    <x v="2206"/>
    <s v="FILTER ELEMENT,MIST SEPARATOR"/>
    <s v="SMC"/>
    <s v="AFM40P-060AS"/>
    <s v="MYR"/>
    <n v="58.6"/>
    <s v="ea"/>
    <n v="1"/>
    <n v="0.06"/>
  </r>
  <r>
    <x v="2207"/>
    <s v="VALVE,BUSHING CHECK 1/8&quot;M-F FF"/>
    <s v="SMC"/>
    <s v="AKB01A-N01S"/>
    <s v="MYR"/>
    <n v="24.7"/>
    <s v="ea"/>
    <n v="1"/>
    <n v="0.06"/>
  </r>
  <r>
    <x v="2208"/>
    <s v="VALVE-NONRETURN AKB04B-04S"/>
    <s v="SMC"/>
    <s v="AKB04B-04S"/>
    <s v="MYR"/>
    <n v="59.03"/>
    <s v="ea"/>
    <n v="1"/>
    <n v="0.06"/>
  </r>
  <r>
    <x v="2209"/>
    <s v="VALVE-RETAINER 1/8"/>
    <s v="SMC"/>
    <s v="AKH04A-01S"/>
    <s v="MYR"/>
    <n v="13.87"/>
    <s v="ea"/>
    <n v="1"/>
    <n v="0.06"/>
  </r>
  <r>
    <x v="2210"/>
    <s v="CHECK VALVE"/>
    <s v="SMC"/>
    <s v="AKH06-00"/>
    <s v="MYR"/>
    <n v="11.55"/>
    <s v="ea"/>
    <n v="1"/>
    <n v="0.06"/>
  </r>
  <r>
    <x v="2211"/>
    <s v="Pneumatic Fitting"/>
    <s v="SMC"/>
    <s v="AKH06B-M5"/>
    <s v="MYR"/>
    <n v="17"/>
    <s v="ea"/>
    <n v="1"/>
    <n v="0.06"/>
  </r>
  <r>
    <x v="2212"/>
    <s v="Non-return valve"/>
    <s v="SMC"/>
    <s v="AKH08-00"/>
    <s v="MYR"/>
    <n v="18.829999999999998"/>
    <s v="ea"/>
    <n v="1"/>
    <n v="0.06"/>
  </r>
  <r>
    <x v="2213"/>
    <s v="Rⁿckschlagventil"/>
    <s v="SMC"/>
    <s v="AKH10-00"/>
    <s v="MYR"/>
    <n v="29.2"/>
    <s v="ea"/>
    <n v="1"/>
    <n v="0.06"/>
  </r>
  <r>
    <x v="2214"/>
    <s v="CHECK VALVE"/>
    <s v="SMC"/>
    <s v="AKH10-00"/>
    <s v="MYR"/>
    <n v="29.2"/>
    <s v="ea"/>
    <n v="1"/>
    <n v="0.06"/>
  </r>
  <r>
    <x v="2215"/>
    <s v="Return valve"/>
    <s v="SMC"/>
    <s v="AKH12-00"/>
    <s v="MYR"/>
    <n v="39.57"/>
    <s v="ea"/>
    <n v="1"/>
    <n v="0.06"/>
  </r>
  <r>
    <x v="2216"/>
    <s v="Rⁿckschlagventil 1/2&quot;"/>
    <s v="SMC"/>
    <s v="AKH12A-04S"/>
    <s v="MYR"/>
    <n v="51.96"/>
    <s v="ea"/>
    <n v="1"/>
    <n v="0.06"/>
  </r>
  <r>
    <x v="2217"/>
    <s v="FILTER PNEUMATIC AME-EL150"/>
    <s v="SMC"/>
    <s v="AME-EL150"/>
    <s v="MYR"/>
    <n v="63.56"/>
    <s v="ea"/>
    <n v="1"/>
    <n v="0.06"/>
  </r>
  <r>
    <x v="2218"/>
    <s v="MUFFLER, 1/8NPT, 16"/>
    <s v="SMC"/>
    <s v="AN101-N01"/>
    <s v="MYR"/>
    <n v="9.84"/>
    <s v="ea"/>
    <n v="1"/>
    <n v="0.06"/>
  </r>
  <r>
    <x v="2219"/>
    <s v="FITTING,SILENCER"/>
    <s v="SMC"/>
    <s v="AN101-N01"/>
    <s v="MYR"/>
    <n v="9.84"/>
    <s v="ea"/>
    <n v="1"/>
    <n v="0.06"/>
  </r>
  <r>
    <x v="2220"/>
    <s v="SILENCER,COMPACT,1/8 PORT"/>
    <s v="SMC"/>
    <s v="AN103-01"/>
    <s v="MYR"/>
    <n v="5.38"/>
    <s v="ea"/>
    <n v="1"/>
    <n v="0.06"/>
  </r>
  <r>
    <x v="2221"/>
    <s v="SOUND ABSORBER"/>
    <s v="SMC"/>
    <s v="AN120-M3"/>
    <s v="MYR"/>
    <n v="3.56"/>
    <s v="ea"/>
    <n v="1"/>
    <n v="0.06"/>
  </r>
  <r>
    <x v="2222"/>
    <s v="SOUND ABSORBER"/>
    <s v="SMC"/>
    <s v="AN120-M5"/>
    <s v="MYR"/>
    <n v="3.87"/>
    <s v="ea"/>
    <n v="1"/>
    <n v="0.06"/>
  </r>
  <r>
    <x v="2223"/>
    <s v="Silencer 1/4&quot;"/>
    <s v="SMC"/>
    <s v="AN15-02    "/>
    <s v="MYR"/>
    <n v="11.07"/>
    <s v="ea"/>
    <n v="1"/>
    <n v="0.06"/>
  </r>
  <r>
    <x v="2224"/>
    <s v="SOUND ABSORBER"/>
    <s v="SMC"/>
    <s v="AN15-C08"/>
    <s v="MYR"/>
    <n v="8.7100000000000009"/>
    <s v="ea"/>
    <n v="1"/>
    <n v="0.06"/>
  </r>
  <r>
    <x v="2225"/>
    <s v="SILENCER,10MM,ONE-TOUCH"/>
    <s v="SMC"/>
    <s v="AN200-KM10"/>
    <s v="MYR"/>
    <n v="9.23"/>
    <s v="ea"/>
    <n v="1"/>
    <n v="0.06"/>
  </r>
  <r>
    <x v="2226"/>
    <s v="SILENCER"/>
    <s v="SMC"/>
    <s v="AN200-KM8"/>
    <s v="MYR"/>
    <n v="8.98"/>
    <s v="ea"/>
    <n v="1"/>
    <n v="0.06"/>
  </r>
  <r>
    <x v="2227"/>
    <s v="SILENCER-MALE ON SHAFT D=10"/>
    <s v="SMC"/>
    <s v="AN20-C10"/>
    <s v="MYR"/>
    <n v="14.33"/>
    <s v="ea"/>
    <n v="1"/>
    <n v="0.06"/>
  </r>
  <r>
    <x v="2228"/>
    <s v="SILENCER-MALE G3/8"/>
    <s v="SMC"/>
    <s v="AN30-03"/>
    <s v="MYR"/>
    <n v="8.35"/>
    <s v="ea"/>
    <n v="1"/>
    <n v="0.06"/>
  </r>
  <r>
    <x v="2229"/>
    <s v="SILENCER-1/2NPT 30DB 92X30MM"/>
    <s v="SMC"/>
    <s v="AN40-N04"/>
    <s v="MYR"/>
    <n v="13.45"/>
    <s v="ea"/>
    <n v="1"/>
    <n v="0.06"/>
  </r>
  <r>
    <x v="2230"/>
    <s v="SILENCER-MALE ON SHAFT D=12"/>
    <s v="SMC"/>
    <s v="ANA1-C12"/>
    <s v="MYR"/>
    <n v="18.079999999999998"/>
    <s v="ea"/>
    <n v="1"/>
    <n v="0.06"/>
  </r>
  <r>
    <x v="2231"/>
    <s v="QUICK EXHAUST VALVE"/>
    <s v="SMC"/>
    <s v="AQ240F-04-00"/>
    <s v="MYR"/>
    <n v="21.43"/>
    <s v="ea"/>
    <n v="1"/>
    <n v="0.06"/>
  </r>
  <r>
    <x v="2232"/>
    <s v="valve (fast exhausting)"/>
    <s v="SMC"/>
    <s v="AQ240F-04-00    "/>
    <s v="MYR"/>
    <n v="21.43"/>
    <s v="ea"/>
    <n v="1"/>
    <n v="0.06"/>
  </r>
  <r>
    <x v="2233"/>
    <s v="VALVE,QUICK EXH,1/4X1/4X1/4"/>
    <s v="SMC"/>
    <s v="AQ240F-06-06"/>
    <s v="MYR"/>
    <n v="32.54"/>
    <s v="ea"/>
    <n v="1"/>
    <n v="0.06"/>
  </r>
  <r>
    <x v="2234"/>
    <s v="VALVE-PRESSURE REDUCER M5  2BARS"/>
    <s v="SMC"/>
    <s v="AR1000-M5-1"/>
    <s v="MYR"/>
    <n v="27.9"/>
    <s v="ea"/>
    <n v="1"/>
    <n v="0.06"/>
  </r>
  <r>
    <x v="2235"/>
    <s v="VALVE-PRESSURE-REDUCER  7BARS + BRACKET"/>
    <s v="SMC"/>
    <s v="AR10-M5B"/>
    <s v="MYR"/>
    <n v="26.01"/>
    <s v="ea"/>
    <n v="1"/>
    <n v="0.06"/>
  </r>
  <r>
    <x v="2236"/>
    <s v="REGULATOR-PRESSURE M5 W/GAUGE 10-32"/>
    <s v="SMC"/>
    <s v="AR10-M5BG"/>
    <s v="MYR"/>
    <n v="54"/>
    <s v="ea"/>
    <n v="1"/>
    <n v="0.06"/>
  </r>
  <r>
    <x v="2237"/>
    <s v="REGULATOR/GAUGE, SMC"/>
    <s v="SMC"/>
    <s v="AR10-M5BG-Z"/>
    <s v="MYR"/>
    <n v="54"/>
    <s v="ea"/>
    <n v="1"/>
    <n v="0.06"/>
  </r>
  <r>
    <x v="2238"/>
    <s v="REGULATOR,MODULAR,1/8 PORT"/>
    <s v="SMC"/>
    <s v="AR20-01BG-A"/>
    <s v="MYR"/>
    <n v="71.73"/>
    <s v="ea"/>
    <n v="1"/>
    <n v="0.06"/>
  </r>
  <r>
    <x v="2239"/>
    <s v="REGULATOR-AIR AR20-01GH"/>
    <s v="SMC"/>
    <s v="AR20-01GH"/>
    <s v="MYR"/>
    <n v="43.34"/>
    <s v="ea"/>
    <n v="1"/>
    <n v="0.06"/>
  </r>
  <r>
    <x v="2240"/>
    <s v="REGULATOR-AIR AR20-02BG"/>
    <s v="SMC"/>
    <s v="AR20-02BG"/>
    <s v="MYR"/>
    <n v="50.22"/>
    <s v="ea"/>
    <n v="1"/>
    <n v="0.06"/>
  </r>
  <r>
    <x v="2241"/>
    <s v="REG,MODULAR,1/4BSPT,GAUGE MPA"/>
    <s v="SMC"/>
    <s v="AR20-02BG-A"/>
    <s v="MYR"/>
    <n v="50.23"/>
    <s v="ea"/>
    <n v="1"/>
    <n v="0.06"/>
  </r>
  <r>
    <x v="2242"/>
    <s v="PRESSURE REGULATOR"/>
    <s v="SMC"/>
    <s v="AR20-F01H-A"/>
    <s v="MYR"/>
    <n v="50.87"/>
    <s v="ea"/>
    <n v="1"/>
    <n v="0.06"/>
  </r>
  <r>
    <x v="2243"/>
    <s v="PRESSURE REGULATOR (MAIN AIR)"/>
    <s v="SMC"/>
    <s v="AR20-F01H-B"/>
    <s v="MYR"/>
    <n v="46.27"/>
    <s v="ea"/>
    <n v="1"/>
    <n v="0.06"/>
  </r>
  <r>
    <x v="2244"/>
    <s v="Pressure Regulator"/>
    <s v="SMC"/>
    <s v="AR20-F01H-B"/>
    <s v="MYR"/>
    <n v="46.27"/>
    <s v="ea"/>
    <n v="1"/>
    <n v="0.06"/>
  </r>
  <r>
    <x v="2245"/>
    <s v="REGULATOR,1/4NPT F-F,7-125PSI"/>
    <s v="SMC"/>
    <s v="AR20-N02BE-YZ-B"/>
    <s v="MYR"/>
    <n v="71.73"/>
    <s v="ea"/>
    <n v="1"/>
    <n v="0.06"/>
  </r>
  <r>
    <x v="2246"/>
    <s v="REGULATOR WITH GAUGE &amp; BRACKET"/>
    <s v="SMC"/>
    <s v="AR20-N02BG-Z"/>
    <s v="MYR"/>
    <n v="53.83"/>
    <s v="ea"/>
    <n v="1"/>
    <n v="0.06"/>
  </r>
  <r>
    <x v="2247"/>
    <s v="REGULATOR, PNL MNT, 1/4&quot;NPT"/>
    <s v="SMC"/>
    <s v="AR20-N02H-Z-B"/>
    <s v="MYR"/>
    <n v="46.27"/>
    <s v="ea"/>
    <n v="1"/>
    <n v="0.06"/>
  </r>
  <r>
    <x v="2248"/>
    <s v="Pressure regulator clamping"/>
    <s v="SMC"/>
    <s v="AR20P-260S"/>
    <s v="MYR"/>
    <n v="1.98"/>
    <s v="ea"/>
    <n v="1"/>
    <n v="0.06"/>
  </r>
  <r>
    <x v="2249"/>
    <s v="BRACKET ASSY,REGULATOR"/>
    <s v="SMC"/>
    <s v="AR20P-270AS"/>
    <s v="MYR"/>
    <n v="4.1100000000000003"/>
    <s v="ea"/>
    <n v="1"/>
    <n v="0.06"/>
  </r>
  <r>
    <x v="2250"/>
    <s v="Pressure Regulator Adapter"/>
    <s v="SMC"/>
    <s v="AR20P-390S"/>
    <s v="MYR"/>
    <n v="12.02"/>
    <s v="ea"/>
    <n v="1"/>
    <n v="0.06"/>
  </r>
  <r>
    <x v="2251"/>
    <s v="BRACKET-FASTENER FOR REDUCER-PRES AR22P"/>
    <s v="SMC"/>
    <s v="AR22P-270AS"/>
    <s v="MYR"/>
    <n v="6.75"/>
    <s v="ea"/>
    <n v="1"/>
    <n v="0.06"/>
  </r>
  <r>
    <x v="2252"/>
    <s v="REGULATOR,AIR"/>
    <s v="SMC"/>
    <s v="AR25-N02GH-Z-A"/>
    <s v="MYR"/>
    <n v="53.86"/>
    <s v="ea"/>
    <n v="1"/>
    <n v="0.06"/>
  </r>
  <r>
    <x v="2253"/>
    <s v="REGULATOR, 58 PSI, 3/8 BSPT"/>
    <s v="SMC"/>
    <s v="AR30-03H-B"/>
    <s v="MYR"/>
    <n v="68.02"/>
    <s v="ea"/>
    <n v="1"/>
    <n v="0.06"/>
  </r>
  <r>
    <x v="2254"/>
    <s v="REGULATOR, AIR 3/8 NPT 0-30PSI"/>
    <s v="SMC"/>
    <s v="AR30-N03BE-1Z-B"/>
    <s v="MYR"/>
    <n v="87.64"/>
    <s v="ea"/>
    <n v="1"/>
    <n v="0.06"/>
  </r>
  <r>
    <x v="2255"/>
    <s v="REGULATOR,AIR 3/8 NPT 0-125PS1"/>
    <s v="SMC"/>
    <s v="AR30-N03BE-Z"/>
    <s v="MYR"/>
    <n v="87.64"/>
    <s v="ea"/>
    <n v="1"/>
    <n v="0.06"/>
  </r>
  <r>
    <x v="2256"/>
    <s v="BRACKET-FIXATION-REGULATOR + NUT"/>
    <s v="SMC"/>
    <s v="AR30P-270AS"/>
    <s v="MYR"/>
    <n v="3.67"/>
    <s v="ea"/>
    <n v="1"/>
    <n v="0.06"/>
  </r>
  <r>
    <x v="2257"/>
    <s v="Pressure Regulator with Gauge"/>
    <s v="SMC"/>
    <s v="ARG20-F02G1H"/>
    <s v="MYR"/>
    <n v="118.04"/>
    <s v="ea"/>
    <n v="1"/>
    <n v="0.06"/>
  </r>
  <r>
    <x v="2258"/>
    <s v="Pressure Regulator"/>
    <s v="SMC"/>
    <s v="ARJ210-M5BG"/>
    <s v="MYR"/>
    <n v="58.84"/>
    <s v="ea"/>
    <n v="1"/>
    <n v="0.06"/>
  </r>
  <r>
    <x v="2259"/>
    <s v="REGULATOR,MINI,30-100PSI"/>
    <s v="SMC"/>
    <s v="ARJ310F-N01-07"/>
    <s v="MYR"/>
    <n v="53.63"/>
    <s v="ea"/>
    <n v="1"/>
    <n v="0.06"/>
  </r>
  <r>
    <x v="2260"/>
    <s v="REGUL-PRESSURE ARM10F W/GAUGE DIA 4"/>
    <s v="SMC"/>
    <s v="ARM10F1-06G"/>
    <s v="MYR"/>
    <n v="69.42"/>
    <s v="ea"/>
    <n v="1"/>
    <n v="0.06"/>
  </r>
  <r>
    <x v="2261"/>
    <s v="REGULATOR X2 MAN, ARM11"/>
    <s v="SMC"/>
    <s v="ARM11BC2-208-A"/>
    <s v="MYR"/>
    <n v="203.11"/>
    <s v="ea"/>
    <n v="1"/>
    <n v="0.06"/>
  </r>
  <r>
    <x v="2262"/>
    <s v="PRESSURE REGULATOR + BRACKET"/>
    <s v="SMC"/>
    <s v="ARP20-01BE-Y"/>
    <s v="MYR"/>
    <n v="172.09"/>
    <s v="ea"/>
    <n v="1"/>
    <n v="0.06"/>
  </r>
  <r>
    <x v="2263"/>
    <s v="Fixed Throttle 1.0 Tube 4"/>
    <s v="SMC"/>
    <s v="AS1001F-04-10-X250"/>
    <s v="MYR"/>
    <n v="35.529999999999994"/>
    <s v="ea"/>
    <n v="1"/>
    <n v="0.06"/>
  </r>
  <r>
    <x v="2264"/>
    <s v="Fixed Throttle (0.1mm)"/>
    <s v="SMC"/>
    <s v="AS1001F-04-1-X250"/>
    <s v="MYR"/>
    <n v="41.52"/>
    <s v="ea"/>
    <n v="1"/>
    <n v="0.06"/>
  </r>
  <r>
    <x v="2265"/>
    <s v="ONE WAY RESTRICTOR"/>
    <s v="SMC"/>
    <s v="AS1001F-04-3"/>
    <s v="MYR"/>
    <n v="22.51"/>
    <s v="ea"/>
    <n v="1"/>
    <n v="0.06"/>
  </r>
  <r>
    <x v="2266"/>
    <s v="Fixed throttle (0.4mm)"/>
    <s v="SMC"/>
    <s v="AS1001F-04-4-X250"/>
    <s v="MYR"/>
    <n v="41.52"/>
    <s v="ea"/>
    <n v="1"/>
    <n v="0.06"/>
  </r>
  <r>
    <x v="2267"/>
    <s v="Fixed throttle (0.5mm)"/>
    <s v="SMC"/>
    <s v="AS1001F-04-5-X250"/>
    <s v="MYR"/>
    <n v="41.52"/>
    <s v="ea"/>
    <n v="1"/>
    <n v="0.06"/>
  </r>
  <r>
    <x v="2268"/>
    <s v="Fixed throttle (0.6mm)"/>
    <s v="SMC"/>
    <s v="AS1001F-04-6-X250"/>
    <s v="MYR"/>
    <n v="35.529999999999994"/>
    <s v="ea"/>
    <n v="1"/>
    <n v="0.06"/>
  </r>
  <r>
    <x v="2269"/>
    <s v="Fixed Throttle 0.2 Tube3.2"/>
    <s v="SMC"/>
    <s v="AS1001F-23-2-X250"/>
    <s v="MYR"/>
    <n v="42.64"/>
    <s v="ea"/>
    <n v="1"/>
    <n v="0.06"/>
  </r>
  <r>
    <x v="2270"/>
    <s v="Fixed Throttle 0.5 Tube3.2"/>
    <s v="SMC"/>
    <s v="AS1001F-23-5-X250"/>
    <s v="MYR"/>
    <n v="42.64"/>
    <s v="ea"/>
    <n v="1"/>
    <n v="0.06"/>
  </r>
  <r>
    <x v="2271"/>
    <s v="VALVE, FLOW CONTROL,1/8&quot; TUBE"/>
    <s v="SMC"/>
    <s v="AS1002F-01"/>
    <s v="MYR"/>
    <n v="19"/>
    <s v="ea"/>
    <n v="1"/>
    <n v="0.06"/>
  </r>
  <r>
    <x v="2272"/>
    <s v="SPEED CONTROLLER"/>
    <s v="SMC"/>
    <s v="AS1002F-04"/>
    <s v="MYR"/>
    <n v="10.83"/>
    <s v="ea"/>
    <n v="1"/>
    <n v="0.06"/>
  </r>
  <r>
    <x v="2273"/>
    <s v="FIXED THROTTLE (0.2MM)"/>
    <s v="SMC"/>
    <s v="AS1002F-04-2-X250"/>
    <s v="MYR"/>
    <n v="35.799999999999997"/>
    <s v="ea"/>
    <n v="1"/>
    <n v="0.06"/>
  </r>
  <r>
    <x v="2274"/>
    <s v="FIXED THROTTLE (0.3MM)"/>
    <s v="SMC"/>
    <s v="AS1002F-04-3-X250"/>
    <s v="MYR"/>
    <n v="35.799999999999997"/>
    <s v="ea"/>
    <n v="1"/>
    <n v="0.06"/>
  </r>
  <r>
    <x v="2275"/>
    <s v="Fixed Throttle 0.8 Tube 4"/>
    <s v="SMC"/>
    <s v="AS1002F-04-8-X250"/>
    <s v="MYR"/>
    <n v="43"/>
    <s v="ea"/>
    <n v="1"/>
    <n v="0.06"/>
  </r>
  <r>
    <x v="2276"/>
    <s v="Pressure Regulator"/>
    <s v="SMC"/>
    <s v="AS1002F-04-J"/>
    <s v="MYR"/>
    <n v="20.28"/>
    <s v="ea"/>
    <n v="1"/>
    <n v="0.06"/>
  </r>
  <r>
    <x v="2277"/>
    <s v="STOPPER-SCREW-KNURLED 6-6"/>
    <s v="SMC"/>
    <s v="AS1002F-06"/>
    <s v="MYR"/>
    <n v="11.06"/>
    <s v="ea"/>
    <n v="1"/>
    <n v="0.06"/>
  </r>
  <r>
    <x v="2278"/>
    <s v="FLOW CONTROLLER, 6MM TUBE"/>
    <s v="SMC"/>
    <s v="AS1002F-06"/>
    <s v="MYR"/>
    <n v="11.06"/>
    <s v="ea"/>
    <n v="1"/>
    <n v="0.06"/>
  </r>
  <r>
    <x v="2279"/>
    <s v="STOPPER-SCREW-KNURLED 3.2-3.2"/>
    <s v="SMC"/>
    <s v="AS1002F-23"/>
    <s v="MYR"/>
    <n v="10.91"/>
    <s v="ea"/>
    <n v="1"/>
    <n v="0.06"/>
  </r>
  <r>
    <x v="2280"/>
    <s v="Fixed Throttle 0.1 Tube3.2"/>
    <s v="SMC"/>
    <s v="AS1002F-23-1-X250"/>
    <s v="MYR"/>
    <n v="47.52"/>
    <s v="ea"/>
    <n v="1"/>
    <n v="0.06"/>
  </r>
  <r>
    <x v="2281"/>
    <s v="Fixed Throttle 0.3 Tube3.2"/>
    <s v="SMC"/>
    <s v="AS1002F-23-3-X250"/>
    <s v="MYR"/>
    <n v="44.1"/>
    <s v="ea"/>
    <n v="1"/>
    <n v="0.06"/>
  </r>
  <r>
    <x v="2282"/>
    <s v="Fixed Throttle 0.4 Tube3.2"/>
    <s v="SMC"/>
    <s v="AS1002F-23-4-X250"/>
    <s v="MYR"/>
    <n v="44.55"/>
    <s v="ea"/>
    <n v="1"/>
    <n v="0.06"/>
  </r>
  <r>
    <x v="2283"/>
    <s v="Fixed Throttle 0.6 Tube3.2"/>
    <s v="SMC"/>
    <s v="AS1002F-23-6-X250"/>
    <s v="MYR"/>
    <n v="40.1"/>
    <s v="ea"/>
    <n v="1"/>
    <n v="0.06"/>
  </r>
  <r>
    <x v="2284"/>
    <s v="Pressure Regulator (3mm Hose)"/>
    <s v="SMC"/>
    <s v="AS1002F-23-J"/>
    <s v="MYR"/>
    <n v="14.55"/>
    <s v="ea"/>
    <n v="1"/>
    <n v="0.06"/>
  </r>
  <r>
    <x v="2285"/>
    <s v="L-Bracket for flow reducer"/>
    <s v="SMC"/>
    <s v="AS-10L"/>
    <s v="MYR"/>
    <n v="3.12"/>
    <s v="ea"/>
    <n v="1"/>
    <n v="0.06"/>
  </r>
  <r>
    <x v="2286"/>
    <s v="RESTRICTOR-TUBE REVER.-LOCK M3-M3"/>
    <s v="SMC"/>
    <s v="AS1200-M3"/>
    <s v="MYR"/>
    <n v="17.72"/>
    <s v="ea"/>
    <n v="1"/>
    <n v="0.06"/>
  </r>
  <r>
    <x v="2287"/>
    <s v="FLOW CONTROL, METER OUT, M3 X 4MM TUBING"/>
    <s v="SMC"/>
    <s v="AS1201F-M3-04"/>
    <s v="MYR"/>
    <n v="15.31"/>
    <s v="ea"/>
    <n v="1"/>
    <n v="0.06"/>
  </r>
  <r>
    <x v="2288"/>
    <s v="Pneumatic throttle"/>
    <s v="SMC"/>
    <s v="AS1201F-M3-23    "/>
    <s v="MYR"/>
    <n v="13.33"/>
    <s v="ea"/>
    <n v="1"/>
    <n v="0.06"/>
  </r>
  <r>
    <x v="2289"/>
    <s v="RESTRICTOR-SCREW-KNURLED M5 D=2"/>
    <s v="SMC"/>
    <s v="AS1201F-M5-02A"/>
    <s v="MYR"/>
    <n v="11.25"/>
    <s v="ea"/>
    <n v="1"/>
    <n v="0.06"/>
  </r>
  <r>
    <x v="2290"/>
    <s v="Fixed throttle,meter out,M5,4mm tube,0.3mm"/>
    <s v="SMC"/>
    <s v="AS1201F-M5-04-3-X250"/>
    <s v="MYR"/>
    <n v="38.83"/>
    <s v="ea"/>
    <n v="1"/>
    <n v="0.06"/>
  </r>
  <r>
    <x v="2291"/>
    <s v="FIX THROTTLE"/>
    <s v="SMC"/>
    <s v="AS1201F-M5-04-3-X250"/>
    <s v="MYR"/>
    <n v="38.83"/>
    <s v="ea"/>
    <n v="1"/>
    <n v="0.06"/>
  </r>
  <r>
    <x v="2292"/>
    <s v="Fixed throttle (0.5mm)"/>
    <s v="SMC"/>
    <s v="AS1201F-M5-04-5-X250"/>
    <s v="MYR"/>
    <n v="37.22"/>
    <s v="ea"/>
    <n v="1"/>
    <n v="0.06"/>
  </r>
  <r>
    <x v="2293"/>
    <s v="Pressure Regulator (silver) out"/>
    <s v="SMC"/>
    <s v="AS1201F-M5-04-J"/>
    <s v="MYR"/>
    <n v="14.06"/>
    <s v="ea"/>
    <n v="1"/>
    <n v="0.06"/>
  </r>
  <r>
    <x v="2294"/>
    <s v="RESTRICTOR-SCREW-KNURLED M5 D=6 CYLINDER"/>
    <s v="SMC"/>
    <s v="AS1201F-M5-06A"/>
    <s v="MYR"/>
    <n v="10.91"/>
    <s v="ea"/>
    <n v="1"/>
    <n v="0.06"/>
  </r>
  <r>
    <x v="2295"/>
    <s v="FLOWCTRL,6MM OD,M5  METEROUT"/>
    <s v="SMC"/>
    <s v="AS1201F-M5-06A"/>
    <s v="MYR"/>
    <n v="10.91"/>
    <s v="ea"/>
    <n v="1"/>
    <n v="0.06"/>
  </r>
  <r>
    <x v="2296"/>
    <s v="Pressure Regulator"/>
    <s v="SMC"/>
    <s v="AS1201F-M5-23"/>
    <s v="MYR"/>
    <n v="11.11"/>
    <s v="ea"/>
    <n v="1"/>
    <n v="0.06"/>
  </r>
  <r>
    <x v="2297"/>
    <s v="Throttle (Slow Motion)"/>
    <s v="SMC"/>
    <s v="AS1201FM-M5-23"/>
    <s v="MYR"/>
    <n v="19.670000000000002"/>
    <s v="ea"/>
    <n v="1"/>
    <n v="0.06"/>
  </r>
  <r>
    <x v="2298"/>
    <s v="FLOWMETER WITH LABEL / ELBOWED DIAM=2"/>
    <s v="SMC"/>
    <s v="AS1201FS-M5-02"/>
    <s v="MYR"/>
    <n v="27.929999999999996"/>
    <s v="ea"/>
    <n v="1"/>
    <n v="0.06"/>
  </r>
  <r>
    <x v="2299"/>
    <s v="FLOWMETER WITH LABEL / ELBOWED DIAM=4"/>
    <s v="SMC"/>
    <s v="AS1201FS-M5-04"/>
    <s v="MYR"/>
    <n v="25.7"/>
    <s v="ea"/>
    <n v="1"/>
    <n v="0.06"/>
  </r>
  <r>
    <x v="2300"/>
    <s v="Pneumatic Fitting"/>
    <s v="SMC"/>
    <s v="AS1211F-M3-23"/>
    <s v="MYR"/>
    <n v="17.23"/>
    <s v="ea"/>
    <n v="1"/>
    <n v="0.06"/>
  </r>
  <r>
    <x v="2301"/>
    <s v="Pressure Regulator (black) in"/>
    <s v="SMC"/>
    <s v="AS1211F-M5-04-J"/>
    <s v="MYR"/>
    <n v="12.35"/>
    <s v="ea"/>
    <n v="1"/>
    <n v="0.06"/>
  </r>
  <r>
    <x v="2302"/>
    <s v="RESTRICTOR-SCREW-KNURLED M5 D=6 BLOWING"/>
    <s v="SMC"/>
    <s v="AS1211F-M5-06"/>
    <s v="MYR"/>
    <n v="10.91"/>
    <s v="ea"/>
    <n v="1"/>
    <n v="0.06"/>
  </r>
  <r>
    <x v="2303"/>
    <s v="PRESSURE REGULATOR"/>
    <s v="SMC"/>
    <s v="AS1211F-M5-23-J/AS1211F-M5-23A"/>
    <s v="MYR"/>
    <n v="16.72"/>
    <s v="ea"/>
    <n v="1"/>
    <n v="0.06"/>
  </r>
  <r>
    <x v="2304"/>
    <s v="FLOWMETER WITH LABEL/ELBOWED D=2 VACUUM  "/>
    <s v="SMC"/>
    <s v="AS1211FS-M5-02"/>
    <s v="MYR"/>
    <n v="28.5"/>
    <s v="ea"/>
    <n v="1"/>
    <n v="0.06"/>
  </r>
  <r>
    <x v="2305"/>
    <s v="FLOWMETER WITH LABEL/ELBOWED D=4 VACUUM"/>
    <s v="SMC"/>
    <s v="AS1211FS-M5-04"/>
    <s v="MYR"/>
    <n v="25.7"/>
    <s v="ea"/>
    <n v="1"/>
    <n v="0.06"/>
  </r>
  <r>
    <x v="2306"/>
    <s v="VALVE, FLOW_CONTROL  C"/>
    <s v="SMC"/>
    <s v="AS1301F-M5-04"/>
    <s v="MYR"/>
    <n v="13.32"/>
    <s v="ea"/>
    <n v="1"/>
    <n v="0.06"/>
  </r>
  <r>
    <x v="2307"/>
    <s v="FLOWMETER"/>
    <s v="SMC"/>
    <s v="AS1301F-M5-04A"/>
    <s v="MYR"/>
    <n v="14.24"/>
    <s v="ea"/>
    <n v="1"/>
    <n v="0.06"/>
  </r>
  <r>
    <x v="2308"/>
    <s v="Choke Valve"/>
    <s v="SMC"/>
    <s v="AS2001F-06"/>
    <s v="MYR"/>
    <n v="21.65"/>
    <s v="ea"/>
    <n v="1"/>
    <n v="0.06"/>
  </r>
  <r>
    <x v="2309"/>
    <s v="VALVE,FLOW CONTROL"/>
    <s v="SMC"/>
    <s v="AS2002F-03"/>
    <s v="MYR"/>
    <n v="18.04"/>
    <s v="ea"/>
    <n v="1"/>
    <n v="0.06"/>
  </r>
  <r>
    <x v="2310"/>
    <s v="VALVE  FLOW CONTROL/4MM TUBE"/>
    <s v="SMC"/>
    <s v="AS2002F-04"/>
    <s v="MYR"/>
    <n v="22.7"/>
    <s v="ea"/>
    <n v="1"/>
    <n v="0.06"/>
  </r>
  <r>
    <x v="2311"/>
    <s v="ONE WAY RESTRICTOR"/>
    <s v="SMC"/>
    <s v="AS2002F-04"/>
    <s v="MYR"/>
    <n v="22.7"/>
    <s v="ea"/>
    <n v="1"/>
    <n v="0.06"/>
  </r>
  <r>
    <x v="2312"/>
    <s v="SPEED CONTROLLER-6MM"/>
    <s v="SMC"/>
    <s v="AS2002F-06"/>
    <s v="MYR"/>
    <n v="24.04"/>
    <s v="ea"/>
    <n v="1"/>
    <n v="0.06"/>
  </r>
  <r>
    <x v="2313"/>
    <s v="FLOW CONTROL-INLINE 1/4X6MM"/>
    <s v="SMC"/>
    <s v="AS2051F-06"/>
    <s v="MYR"/>
    <n v="22.56"/>
    <s v="ea"/>
    <n v="1"/>
    <n v="0.06"/>
  </r>
  <r>
    <x v="2314"/>
    <s v="STOPPER WITH SCREW-KNURLED 8-8"/>
    <s v="SMC"/>
    <s v="AS2051F-08"/>
    <s v="MYR"/>
    <n v="18.190000000000001"/>
    <s v="ea"/>
    <n v="1"/>
    <n v="0.06"/>
  </r>
  <r>
    <x v="2315"/>
    <s v="RESTRICTOR D=6"/>
    <s v="SMC"/>
    <s v="AS2052F-06"/>
    <s v="MYR"/>
    <n v="18.190000000000001"/>
    <s v="ea"/>
    <n v="1"/>
    <n v="0.06"/>
  </r>
  <r>
    <x v="2316"/>
    <s v="THROTTLE VALVE TAMPER PROOF"/>
    <s v="SMC"/>
    <s v="AS2200-F02-ST"/>
    <s v="MYR"/>
    <n v="34.959999999999994"/>
    <s v="ea"/>
    <n v="1"/>
    <n v="0.06"/>
  </r>
  <r>
    <x v="2317"/>
    <s v="STOPPER-SCREW-KNURLED G1/8 D=4"/>
    <s v="SMC"/>
    <s v="AS2201F-01-04SA"/>
    <s v="MYR"/>
    <n v="16.489999999999998"/>
    <s v="ea"/>
    <n v="1"/>
    <n v="0.06"/>
  </r>
  <r>
    <x v="2318"/>
    <s v="RESTRICTOR 1/8-06"/>
    <s v="SMC"/>
    <s v="AS2201F-01-06SA"/>
    <s v="MYR"/>
    <n v="19.100000000000001"/>
    <s v="ea"/>
    <n v="1"/>
    <n v="0.06"/>
  </r>
  <r>
    <x v="2319"/>
    <s v="ONE WAY FLOW JOINING CTL VALVE"/>
    <s v="SMC"/>
    <s v="AS2201F-01-06SD"/>
    <s v="MYR"/>
    <n v="20.21"/>
    <s v="ea"/>
    <n v="1"/>
    <n v="0.06"/>
  </r>
  <r>
    <x v="2320"/>
    <s v="ELBOW,ONE-TOUCH CONTROLLER"/>
    <s v="SMC"/>
    <s v="AS2201F-N02-09S"/>
    <s v="MYR"/>
    <n v="26.93"/>
    <s v="ea"/>
    <n v="1"/>
    <n v="0.06"/>
  </r>
  <r>
    <x v="2321"/>
    <s v="CONTROLLER,SPEED,G1/8,U01,4MM"/>
    <s v="SMC"/>
    <s v="AS2201F-U01-04"/>
    <s v="MYR"/>
    <n v="22.09"/>
    <s v="ea"/>
    <n v="1"/>
    <n v="0.06"/>
  </r>
  <r>
    <x v="2322"/>
    <s v="Pressure Regulator"/>
    <s v="SMC"/>
    <s v="AS2211F-01-04"/>
    <s v="MYR"/>
    <n v="18.440000000000001"/>
    <s v="ea"/>
    <n v="1"/>
    <n v="0.06"/>
  </r>
  <r>
    <x v="2323"/>
    <s v="Pressure Regulator"/>
    <s v="SMC"/>
    <s v="AS2211F-01-06"/>
    <s v="MYR"/>
    <n v="17.89"/>
    <s v="ea"/>
    <n v="1"/>
    <n v="0.06"/>
  </r>
  <r>
    <x v="2324"/>
    <s v="RESTRICTOR 1/8-06 METER-IN"/>
    <s v="SMC"/>
    <s v="AS2211F-01-06SA"/>
    <s v="MYR"/>
    <n v="24.04"/>
    <s v="ea"/>
    <n v="1"/>
    <n v="0.06"/>
  </r>
  <r>
    <x v="2325"/>
    <s v="Pressure Regulator"/>
    <s v="SMC"/>
    <s v="AS2211F-01-23-J"/>
    <s v="MYR"/>
    <n v="24.17"/>
    <s v="ea"/>
    <n v="1"/>
    <n v="0.06"/>
  </r>
  <r>
    <x v="2326"/>
    <s v="FLOW CONTROLLER"/>
    <s v="SMC"/>
    <s v="AS3002F-07"/>
    <s v="MYR"/>
    <n v="34.01"/>
    <s v="ea"/>
    <n v="1"/>
    <n v="0.06"/>
  </r>
  <r>
    <x v="2327"/>
    <s v="SPEED CONTROLLER"/>
    <s v="SMC"/>
    <s v="AS3002F-08"/>
    <s v="MYR"/>
    <n v="26.68"/>
    <s v="ea"/>
    <n v="1"/>
    <n v="0.06"/>
  </r>
  <r>
    <x v="2328"/>
    <s v="ONE WAY FLOW JOINING CTL VALVE"/>
    <s v="SMC"/>
    <s v="AS3201F-03-08SD"/>
    <s v="MYR"/>
    <n v="29.69"/>
    <s v="ea"/>
    <n v="1"/>
    <n v="0.06"/>
  </r>
  <r>
    <x v="2329"/>
    <s v="RESTRICTOR-FOR-EXHAUST RAPID M3"/>
    <s v="SMC"/>
    <s v="ASV120F-M3-04"/>
    <s v="MYR"/>
    <n v="63.72"/>
    <s v="ea"/>
    <n v="1"/>
    <n v="0.06"/>
  </r>
  <r>
    <x v="2330"/>
    <s v="ELECTROVALVE 3/2 NC PROGRESSIVE"/>
    <s v="SMC"/>
    <s v="AV3000-03-5YO"/>
    <s v="MYR"/>
    <n v="246.88"/>
    <s v="ea"/>
    <n v="1"/>
    <n v="0.06"/>
  </r>
  <r>
    <x v="2331"/>
    <s v="FILTER REGULATOR"/>
    <s v="SMC"/>
    <s v="AW10-M5B-A"/>
    <s v="MYR"/>
    <n v="49.63"/>
    <s v="ea"/>
    <n v="1"/>
    <n v="0.06"/>
  </r>
  <r>
    <x v="2332"/>
    <s v="Air Filter with Regulator"/>
    <s v="SMC"/>
    <s v="AW20-F01H-B    "/>
    <s v="MYR"/>
    <n v="82.41"/>
    <s v="ea"/>
    <n v="1"/>
    <n v="0.06"/>
  </r>
  <r>
    <x v="2333"/>
    <s v="REGULATOR / FILTER, AIR, AW20"/>
    <s v="SMC"/>
    <s v="AW20-N02BE-2Z-B"/>
    <s v="MYR"/>
    <n v="109.3"/>
    <s v="ea"/>
    <n v="1"/>
    <n v="0.06"/>
  </r>
  <r>
    <x v="2334"/>
    <s v="Air Filter Holder for 80.0000.0349"/>
    <s v="SMC"/>
    <s v="AW20P-270AS    "/>
    <s v="MYR"/>
    <n v="3.66"/>
    <s v="ea"/>
    <n v="1"/>
    <n v="0.06"/>
  </r>
  <r>
    <x v="2335"/>
    <s v="FILTER-REGULATOR G3/8"/>
    <s v="SMC"/>
    <s v="AW30-03H-A"/>
    <s v="MYR"/>
    <n v="60.14"/>
    <s v="ea"/>
    <n v="1"/>
    <n v="0.06"/>
  </r>
  <r>
    <x v="2336"/>
    <s v="FILTER-REGULATOR"/>
    <s v="SMC"/>
    <s v="AW40-N03B-Z/ AW40-N03B-Z-B"/>
    <s v="MYR"/>
    <n v="193.47"/>
    <s v="ea"/>
    <n v="1"/>
    <n v="0.06"/>
  </r>
  <r>
    <x v="2337"/>
    <s v="Anschlusskabel Valve Plunger-Arm 1000mm"/>
    <s v="SMC"/>
    <s v="AXT 661-14A-10"/>
    <s v="MYR"/>
    <n v="4.3600000000000003"/>
    <s v="ea"/>
    <n v="1"/>
    <n v="0.06"/>
  </r>
  <r>
    <x v="2338"/>
    <s v="CONN ASSY,PLUG 300MM VQ100 SER"/>
    <s v="SMC"/>
    <s v="AXT661-14A"/>
    <s v="MYR"/>
    <n v="4.1900000000000004"/>
    <s v="ea"/>
    <n v="1"/>
    <n v="0.06"/>
  </r>
  <r>
    <x v="2339"/>
    <s v="Connector Cable Valve"/>
    <s v="SMC"/>
    <s v="AXT661-14A-10"/>
    <s v="MYR"/>
    <n v="4.3600000000000003"/>
    <s v="ea"/>
    <n v="1"/>
    <n v="0.06"/>
  </r>
  <r>
    <x v="2340"/>
    <s v="Cable with Plug"/>
    <s v="SMC"/>
    <s v="AXT661-14A-6"/>
    <s v="MYR"/>
    <n v="5.34"/>
    <s v="ea"/>
    <n v="1"/>
    <n v="0.06"/>
  </r>
  <r>
    <x v="2341"/>
    <s v="LEAD WIRE, NEG. COM, 600MM LG."/>
    <s v="SMC"/>
    <s v="AXT661-14AN-6"/>
    <s v="MYR"/>
    <n v="6.75"/>
    <s v="ea"/>
    <n v="1"/>
    <n v="0.06"/>
  </r>
  <r>
    <x v="2342"/>
    <s v="BRACKET-AN. FASTENING AW/AR B1"/>
    <s v="SMC"/>
    <s v="B120"/>
    <s v="MYR"/>
    <n v="3.52"/>
    <s v="ea"/>
    <n v="1"/>
    <n v="0.06"/>
  </r>
  <r>
    <x v="2343"/>
    <s v="BRACKET"/>
    <s v="SMC"/>
    <s v="B210L"/>
    <s v="MYR"/>
    <n v="1.28"/>
    <s v="ea"/>
    <n v="1"/>
    <n v="0.06"/>
  </r>
  <r>
    <x v="2344"/>
    <s v="BRACKET REGULATOR"/>
    <s v="SMC"/>
    <s v="B21-1-T1"/>
    <s v="MYR"/>
    <n v="20.239999999999998"/>
    <s v="ea"/>
    <n v="1"/>
    <n v="0.06"/>
  </r>
  <r>
    <x v="2345"/>
    <s v="BEFESTIGUNGSWINKEL (MIKROFILTER)"/>
    <s v="SMC"/>
    <s v="B240A"/>
    <s v="MYR"/>
    <n v="4.18"/>
    <s v="ea"/>
    <n v="1"/>
    <n v="0.06"/>
  </r>
  <r>
    <x v="2346"/>
    <s v="Sensor Fitting"/>
    <s v="SMC"/>
    <s v="BJ2-006"/>
    <s v="MYR"/>
    <n v="6.13"/>
    <s v="ea"/>
    <n v="1"/>
    <n v="0.06"/>
  </r>
  <r>
    <x v="2347"/>
    <s v="Sensor Fitting"/>
    <s v="SMC"/>
    <s v="BJ2-008"/>
    <s v="MYR"/>
    <n v="6.13"/>
    <s v="ea"/>
    <n v="1"/>
    <n v="0.06"/>
  </r>
  <r>
    <x v="2348"/>
    <s v="Sensor Fiting"/>
    <s v="SMC"/>
    <s v="BJ2-012"/>
    <s v="MYR"/>
    <n v="6.13"/>
    <s v="ea"/>
    <n v="1"/>
    <n v="0.06"/>
  </r>
  <r>
    <x v="2349"/>
    <s v="SWITCH, HOLDER, BRACKET"/>
    <s v="SMC"/>
    <s v="BJ3-1"/>
    <s v="MYR"/>
    <n v="4.18"/>
    <s v="ea"/>
    <n v="1"/>
    <n v="0.06"/>
  </r>
  <r>
    <x v="2350"/>
    <s v="Sensor Fixing"/>
    <s v="SMC"/>
    <s v="BM2-020"/>
    <s v="MYR"/>
    <n v="6.99"/>
    <s v="ea"/>
    <n v="1"/>
    <n v="0.06"/>
  </r>
  <r>
    <x v="2351"/>
    <s v="COLLAR-FIXING-SENSOR 25"/>
    <s v="SMC"/>
    <s v="BM2-025"/>
    <s v="MYR"/>
    <n v="7.25"/>
    <s v="ea"/>
    <n v="1"/>
    <n v="0.06"/>
  </r>
  <r>
    <x v="2352"/>
    <s v="SWITCH MNT ASSY-20MM BORE"/>
    <s v="SMC"/>
    <s v="BM5-020"/>
    <s v="MYR"/>
    <n v="21.47"/>
    <s v="ea"/>
    <n v="1"/>
    <n v="0.06"/>
  </r>
  <r>
    <x v="2353"/>
    <s v="BRACKET SENSOR SMC M9P"/>
    <s v="SMC"/>
    <s v="BMG2-012"/>
    <s v="MYR"/>
    <n v="3.09"/>
    <s v="ea"/>
    <n v="1"/>
    <n v="0.06"/>
  </r>
  <r>
    <x v="2354"/>
    <s v="SWITCH SPACER"/>
    <s v="SMC"/>
    <s v="BMY3-016"/>
    <s v="MYR"/>
    <n v="4.4400000000000004"/>
    <s v="ea"/>
    <n v="1"/>
    <n v="0.06"/>
  </r>
  <r>
    <x v="2355"/>
    <s v="AUTO SWITCH MOUNTING BRACKET BQ4-012"/>
    <s v="SMC"/>
    <s v="BQ4-012"/>
    <s v="MYR"/>
    <n v="1.89"/>
    <s v="ea"/>
    <n v="1"/>
    <n v="0.06"/>
  </r>
  <r>
    <x v="2356"/>
    <s v="AUTO SWITCH MOUNTING BRACKET BQ5-032"/>
    <s v="SMC"/>
    <s v="BQ5-032"/>
    <s v="MYR"/>
    <n v="5.7"/>
    <s v="ea"/>
    <n v="1"/>
    <n v="0.06"/>
  </r>
  <r>
    <x v="2357"/>
    <s v="FITTING-REDUCING G1/2M G1/4F"/>
    <s v="SMC"/>
    <s v="BUSH M1/2 X F1/4"/>
    <s v="MYR"/>
    <n v="7.6"/>
    <s v="ea"/>
    <n v="1"/>
    <n v="0.06"/>
  </r>
  <r>
    <x v="2358"/>
    <s v="Cylinder Bracket"/>
    <s v="SMC"/>
    <s v="C85C10"/>
    <s v="MYR"/>
    <n v="6.4"/>
    <s v="ea"/>
    <n v="1"/>
    <n v="0.06"/>
  </r>
  <r>
    <x v="2359"/>
    <s v="Cylinder Bracket"/>
    <s v="SMC"/>
    <s v="C85C16"/>
    <s v="MYR"/>
    <n v="6.49"/>
    <s v="ea"/>
    <n v="1"/>
    <n v="0.06"/>
  </r>
  <r>
    <x v="2360"/>
    <s v="FORK-REAR CYLINDER 20-25MM"/>
    <s v="SMC"/>
    <s v="C85C25"/>
    <s v="MYR"/>
    <n v="6.87"/>
    <s v="ea"/>
    <n v="1"/>
    <n v="0.06"/>
  </r>
  <r>
    <x v="2361"/>
    <s v="CYLINDER DOUBLE ACTING"/>
    <s v="SMC"/>
    <s v="C85KF12-50S"/>
    <s v="MYR"/>
    <n v="148.05000000000001"/>
    <s v="ea"/>
    <n v="1"/>
    <n v="0.06"/>
  </r>
  <r>
    <x v="2362"/>
    <s v="BRACKET-ANGLE-CYLINDER 12-16"/>
    <s v="SMC"/>
    <s v="C85L16A"/>
    <s v="MYR"/>
    <n v="14.33"/>
    <s v="ea"/>
    <n v="1"/>
    <n v="0.06"/>
  </r>
  <r>
    <x v="2363"/>
    <s v="MINIATURE CYLINDER"/>
    <s v="SMC"/>
    <s v="C85N10-0010-CEM00449"/>
    <s v="MYR"/>
    <n v="304.73"/>
    <s v="ea"/>
    <n v="1"/>
    <n v="0.06"/>
  </r>
  <r>
    <x v="2364"/>
    <s v="Cylinder"/>
    <s v="SMC"/>
    <s v="C85N10-10S    "/>
    <s v="MYR"/>
    <n v="59.38"/>
    <s v="ea"/>
    <n v="1"/>
    <n v="0.06"/>
  </r>
  <r>
    <x v="2365"/>
    <s v="Cylinder"/>
    <s v="SMC"/>
    <s v="C85N12-10S    "/>
    <s v="MYR"/>
    <n v="57.27"/>
    <s v="ea"/>
    <n v="1"/>
    <n v="0.06"/>
  </r>
  <r>
    <x v="2366"/>
    <s v="CYLINDER-LINEAR DE 016 0100"/>
    <s v="SMC"/>
    <s v="C85N16-100"/>
    <s v="MYR"/>
    <n v="76.540000000000006"/>
    <s v="ea"/>
    <n v="1"/>
    <n v="0.06"/>
  </r>
  <r>
    <x v="2367"/>
    <s v="Cylinder Bracket"/>
    <s v="SMC"/>
    <s v="C85T10"/>
    <s v="MYR"/>
    <n v="43.61"/>
    <s v="ea"/>
    <n v="1"/>
    <n v="0.06"/>
  </r>
  <r>
    <x v="2368"/>
    <s v="Cylinder"/>
    <s v="SMC"/>
    <s v="CD85F8-60B"/>
    <s v="MYR"/>
    <n v="68"/>
    <s v="ea"/>
    <n v="1"/>
    <n v="0.06"/>
  </r>
  <r>
    <x v="2369"/>
    <s v="CYLINDER-LINEAR DE 012 0065"/>
    <s v="SMC"/>
    <s v="CD85KF12-65-A"/>
    <s v="MYR"/>
    <n v="140.30000000000001"/>
    <s v="ea"/>
    <n v="1"/>
    <n v="0.06"/>
  </r>
  <r>
    <x v="2370"/>
    <s v="CYLINDER-LINEAR DE 012 0065"/>
    <s v="SMC"/>
    <s v="CD85KN12-65-A"/>
    <s v="MYR"/>
    <n v="155.06"/>
    <s v="ea"/>
    <n v="1"/>
    <n v="0.06"/>
  </r>
  <r>
    <x v="2371"/>
    <s v="Cylinder (CD85 10 -67C B )"/>
    <s v="SMC"/>
    <s v="CD85N10 -67C B"/>
    <s v="MYR"/>
    <n v="94.17"/>
    <s v="ea"/>
    <n v="1"/>
    <n v="0.06"/>
  </r>
  <r>
    <x v="2372"/>
    <s v="Cylinder 72mm RPTB Long stroke"/>
    <s v="SMC"/>
    <s v="CD85N10 -72-B    "/>
    <s v="MYR"/>
    <n v="134.51999999999998"/>
    <s v="ea"/>
    <n v="1"/>
    <n v="0.06"/>
  </r>
  <r>
    <x v="2373"/>
    <s v="CYLINDER-LINEAR DE 010 0100"/>
    <s v="SMC"/>
    <s v="CD85N10-100-B"/>
    <s v="MYR"/>
    <n v="74.790000000000006"/>
    <s v="ea"/>
    <n v="1"/>
    <n v="0.06"/>
  </r>
  <r>
    <x v="2374"/>
    <s v="Cylinder"/>
    <s v="SMC"/>
    <s v="CD85N10-30-B"/>
    <s v="MYR"/>
    <n v="54.47"/>
    <s v="ea"/>
    <n v="1"/>
    <n v="0.06"/>
  </r>
  <r>
    <x v="2375"/>
    <s v="Cylinder"/>
    <s v="SMC"/>
    <s v="CD85N-10-50-B"/>
    <s v="MYR"/>
    <n v="55.98"/>
    <s v="ea"/>
    <n v="1"/>
    <n v="0.06"/>
  </r>
  <r>
    <x v="2376"/>
    <s v="CYLINDER DOUBLE ACTING"/>
    <s v="SMC"/>
    <s v="CD85N10-65C-B"/>
    <s v="MYR"/>
    <n v="77.010000000000005"/>
    <s v="ea"/>
    <n v="1"/>
    <n v="0.06"/>
  </r>
  <r>
    <x v="2377"/>
    <s v="CYLINDER"/>
    <s v="SMC"/>
    <s v="CD85N10-80-B"/>
    <s v="MYR"/>
    <n v="55.17"/>
    <s v="ea"/>
    <n v="1"/>
    <n v="0.06"/>
  </r>
  <r>
    <x v="2378"/>
    <s v="Cylinder"/>
    <s v="SMC"/>
    <s v="CD85N10-80-B    "/>
    <s v="MYR"/>
    <n v="55.17"/>
    <s v="ea"/>
    <n v="1"/>
    <n v="0.06"/>
  </r>
  <r>
    <x v="2379"/>
    <s v="Cylinder with cushion"/>
    <s v="SMC"/>
    <s v="CD85N10-80C-B"/>
    <s v="MYR"/>
    <n v="85.56"/>
    <s v="ea"/>
    <n v="1"/>
    <n v="0.06"/>
  </r>
  <r>
    <x v="2380"/>
    <s v="Cylinder"/>
    <s v="SMC"/>
    <s v="CD85N10-90-B"/>
    <s v="MYR"/>
    <n v="61.85"/>
    <s v="ea"/>
    <n v="1"/>
    <n v="0.06"/>
  </r>
  <r>
    <x v="2381"/>
    <s v="Cylinder (Loader 160mm)"/>
    <s v="SMC"/>
    <s v="CD85N12-160-B"/>
    <s v="MYR"/>
    <n v="73.290000000000006"/>
    <s v="ea"/>
    <n v="1"/>
    <n v="0.06"/>
  </r>
  <r>
    <x v="2382"/>
    <s v="CYLINDER (200MM)"/>
    <s v="SMC"/>
    <s v="CD85N12-200-B"/>
    <s v="MYR"/>
    <n v="77.06"/>
    <s v="ea"/>
    <n v="1"/>
    <n v="0.06"/>
  </r>
  <r>
    <x v="2383"/>
    <s v="CYLINDER"/>
    <s v="SMC"/>
    <s v="CD85N12-30-B"/>
    <s v="MYR"/>
    <n v="71.010000000000005"/>
    <s v="ea"/>
    <n v="1"/>
    <n v="0.06"/>
  </r>
  <r>
    <x v="2384"/>
    <s v="CYLINDER"/>
    <s v="SMC"/>
    <s v="CD85N12-50-B"/>
    <s v="MYR"/>
    <n v="71.73"/>
    <s v="ea"/>
    <n v="1"/>
    <n v="0.06"/>
  </r>
  <r>
    <x v="2385"/>
    <s v="CYLINDER 72MM RPTB LONG STROKE"/>
    <s v="SMC"/>
    <s v="CD85N12-72-B    "/>
    <s v="MYR"/>
    <n v="140.65"/>
    <s v="ea"/>
    <n v="1"/>
    <n v="0.06"/>
  </r>
  <r>
    <x v="2386"/>
    <s v="Cylinder (high temp.)"/>
    <s v="SMC"/>
    <s v="CD85N16-0060-CEU10352"/>
    <s v="MYR"/>
    <n v="506.64"/>
    <s v="ea"/>
    <n v="1"/>
    <n v="0.06"/>
  </r>
  <r>
    <x v="2387"/>
    <s v="CYLINDER-LINEAR DE 016 0100"/>
    <s v="SMC"/>
    <s v="CD85N16-100-B"/>
    <s v="MYR"/>
    <n v="85.73"/>
    <s v="ea"/>
    <n v="1"/>
    <n v="0.06"/>
  </r>
  <r>
    <x v="2388"/>
    <s v="CYLINDER LINEAR DE D=16 STROKE 10"/>
    <s v="SMC"/>
    <s v="CD85N16-10-B"/>
    <s v="MYR"/>
    <n v="87.89"/>
    <s v="ea"/>
    <n v="1"/>
    <n v="0.06"/>
  </r>
  <r>
    <x v="2389"/>
    <s v="CYLINDER LINEAR DE D=16 STROKE 120"/>
    <s v="SMC"/>
    <s v="CD85N16-120C-B"/>
    <s v="MYR"/>
    <n v="235.6"/>
    <s v="ea"/>
    <n v="1"/>
    <n v="0.06"/>
  </r>
  <r>
    <x v="2390"/>
    <s v="CYLINDER-LINEAR DE 016 0160"/>
    <s v="SMC"/>
    <s v="CD85N16-160-B"/>
    <s v="MYR"/>
    <n v="102.38"/>
    <s v="ea"/>
    <n v="1"/>
    <n v="0.06"/>
  </r>
  <r>
    <x v="2391"/>
    <s v="CYLINDER-LINEAR DE 016 0160"/>
    <s v="SMC"/>
    <s v="CD85N16-160C-B"/>
    <s v="MYR"/>
    <n v="116.88"/>
    <s v="ea"/>
    <n v="1"/>
    <n v="0.06"/>
  </r>
  <r>
    <x v="2392"/>
    <s v="CYLINDER-LINEAR DE 016 0050"/>
    <s v="SMC"/>
    <s v="CD85N16-50-B"/>
    <s v="MYR"/>
    <n v="76.540000000000006"/>
    <s v="ea"/>
    <n v="1"/>
    <n v="0.06"/>
  </r>
  <r>
    <x v="2393"/>
    <s v="CYLINDER"/>
    <s v="SMC"/>
    <s v="CD85N16-60-B"/>
    <s v="MYR"/>
    <n v="75"/>
    <s v="ea"/>
    <n v="1"/>
    <n v="0.06"/>
  </r>
  <r>
    <x v="2394"/>
    <s v="CYLINDER-LINEAR DE 020 0080"/>
    <s v="SMC"/>
    <s v="CD85N20-80-B"/>
    <s v="MYR"/>
    <n v="147.56"/>
    <s v="ea"/>
    <n v="1"/>
    <n v="0.06"/>
  </r>
  <r>
    <x v="2395"/>
    <s v="CYLINDER-LINEAR DE 025 0125"/>
    <s v="SMC"/>
    <s v="CD85N25-125-B"/>
    <s v="MYR"/>
    <n v="115.18"/>
    <s v="ea"/>
    <n v="1"/>
    <n v="0.06"/>
  </r>
  <r>
    <x v="2396"/>
    <s v="CYLINDER-LINEAR DE 025 0200"/>
    <s v="SMC"/>
    <s v="CD85N25-200-B"/>
    <s v="MYR"/>
    <n v="116.15"/>
    <s v="ea"/>
    <n v="1"/>
    <n v="0.06"/>
  </r>
  <r>
    <x v="2397"/>
    <s v="CYLINDER-LINEAR DE 025 0300"/>
    <s v="SMC"/>
    <s v="CD85N25-300-B"/>
    <s v="MYR"/>
    <n v="189.76"/>
    <s v="ea"/>
    <n v="1"/>
    <n v="0.06"/>
  </r>
  <r>
    <x v="2398"/>
    <s v="CYLINDER-LINEAR DE 025 0400"/>
    <s v="SMC"/>
    <s v="CD85N25-400-B"/>
    <s v="MYR"/>
    <n v="116.01"/>
    <s v="ea"/>
    <n v="1"/>
    <n v="0.06"/>
  </r>
  <r>
    <x v="2399"/>
    <s v="PIN-CLEVIS 10X15.2MM SST"/>
    <s v="SMC"/>
    <s v="CD-J010"/>
    <s v="MYR"/>
    <n v="3.68"/>
    <s v="ea"/>
    <n v="1"/>
    <n v="0.06"/>
  </r>
  <r>
    <x v="2400"/>
    <s v="CYLINDER DOUBLE ACTING"/>
    <s v="SMC"/>
    <s v="CDJ2B10-25AZ-B"/>
    <s v="MYR"/>
    <n v="90.31"/>
    <s v="ea"/>
    <n v="1"/>
    <n v="0.06"/>
  </r>
  <r>
    <x v="2401"/>
    <s v="CYLINDER LINEAR DE 010 0030"/>
    <s v="SMC"/>
    <s v="CDJ2B10-30Z-B "/>
    <s v="MYR"/>
    <n v="54.77"/>
    <s v="ea"/>
    <n v="1"/>
    <n v="0.06"/>
  </r>
  <r>
    <x v="2402"/>
    <s v="CYLINDER-AIR STD 06X45MM STR DBL ACTING"/>
    <s v="SMC"/>
    <s v="CDJ2B6-45R-B"/>
    <s v="MYR"/>
    <n v="42.69"/>
    <s v="ea"/>
    <n v="1"/>
    <n v="0.06"/>
  </r>
  <r>
    <x v="2403"/>
    <s v="Cylinder"/>
    <s v="SMC"/>
    <s v="CDJ2B6-60R-B"/>
    <s v="MYR"/>
    <n v="59.45"/>
    <s v="ea"/>
    <n v="1"/>
    <n v="0.06"/>
  </r>
  <r>
    <x v="2404"/>
    <s v="CYLINDER-LINEAR DE 010 0030"/>
    <s v="SMC"/>
    <s v="CDJ2D10-30-B"/>
    <s v="MYR"/>
    <n v="44.49"/>
    <s v="ea"/>
    <n v="1"/>
    <n v="0.06"/>
  </r>
  <r>
    <x v="2405"/>
    <s v="CYLINDER-LINEAR DE 010 0045"/>
    <s v="SMC"/>
    <s v="CDJ2D10-45-B"/>
    <s v="MYR"/>
    <n v="35.479999999999997"/>
    <s v="ea"/>
    <n v="1"/>
    <n v="0.06"/>
  </r>
  <r>
    <x v="2406"/>
    <s v="CYLINDER DIA. 16X30 ST,DA"/>
    <s v="SMC"/>
    <s v="CDJ2D16-30-C73L"/>
    <s v="MYR"/>
    <n v="133.02000000000001"/>
    <s v="ea"/>
    <n v="1"/>
    <n v="0.06"/>
  </r>
  <r>
    <x v="2407"/>
    <s v="MINIATURE CYLINDER"/>
    <s v="SMC"/>
    <s v="CDJP2B10-20D"/>
    <s v="MYR"/>
    <n v="94.4"/>
    <s v="ea"/>
    <n v="1"/>
    <n v="0.06"/>
  </r>
  <r>
    <x v="2408"/>
    <s v="CYLINDER-LINEAR 006 0020"/>
    <s v="SMC"/>
    <s v="CDJP2B16-20D-M9PVL"/>
    <s v="MYR"/>
    <n v="237.2"/>
    <s v="ea"/>
    <n v="1"/>
    <n v="0.06"/>
  </r>
  <r>
    <x v="2409"/>
    <s v="CYLINDER-LINEAR DE 004 0010"/>
    <s v="SMC"/>
    <s v="CDJP2B4-10D"/>
    <s v="MYR"/>
    <n v="65.169999999999987"/>
    <s v="ea"/>
    <n v="1"/>
    <n v="0.06"/>
  </r>
  <r>
    <x v="2410"/>
    <s v="CYLINDER-LINEAR DE 004 0005"/>
    <s v="SMC"/>
    <s v="CDJP2B4-5D-M9BS"/>
    <s v="MYR"/>
    <n v="88.61"/>
    <s v="ea"/>
    <n v="1"/>
    <n v="0.06"/>
  </r>
  <r>
    <x v="2411"/>
    <s v="CYLINDER-LINEAR DE 006 0010"/>
    <s v="SMC"/>
    <s v="CDJP2B6-10D"/>
    <s v="MYR"/>
    <n v="54.57"/>
    <s v="ea"/>
    <n v="1"/>
    <n v="0.06"/>
  </r>
  <r>
    <x v="2412"/>
    <s v="CYLINDER-AIR STD 06X10MM STR DBL ACTING"/>
    <s v="SMC"/>
    <s v="CDJP2B6-10D-M9BS"/>
    <s v="MYR"/>
    <n v="122.46"/>
    <s v="ea"/>
    <n v="1"/>
    <n v="0.06"/>
  </r>
  <r>
    <x v="2413"/>
    <s v="CYLINDER-LINEAR DE 006 0005"/>
    <s v="SMC"/>
    <s v="CDJP2B6-5D"/>
    <s v="MYR"/>
    <n v="60.5"/>
    <s v="ea"/>
    <n v="1"/>
    <n v="0.06"/>
  </r>
  <r>
    <x v="2414"/>
    <s v="CYLINDER-AIR STD 06X5MM STR DBL ACTING"/>
    <s v="SMC"/>
    <s v="CDJP2B6-5D"/>
    <s v="MYR"/>
    <n v="60.5"/>
    <s v="ea"/>
    <n v="1"/>
    <n v="0.06"/>
  </r>
  <r>
    <x v="2415"/>
    <s v="Pneumatic cylinder"/>
    <s v="SMC"/>
    <s v="CDJP2T10-40D"/>
    <s v="MYR"/>
    <n v="128.63"/>
    <s v="ea"/>
    <n v="1"/>
    <n v="0.06"/>
  </r>
  <r>
    <x v="2416"/>
    <s v="CYL,DBL ACT,50MM STRX20MM BORE"/>
    <s v="SMC"/>
    <s v="CDM2B20-50AZ"/>
    <s v="MYR"/>
    <n v="128.11000000000001"/>
    <s v="ea"/>
    <n v="1"/>
    <n v="0.06"/>
  </r>
  <r>
    <x v="2417"/>
    <s v="CYL, AIR. 20 BORE x 100mm, w/ KNUCKLE"/>
    <s v="SMC"/>
    <s v="CDM2E20-100AZ-V-A96"/>
    <s v="MYR"/>
    <n v="227.61999999999998"/>
    <s v="ea"/>
    <n v="1"/>
    <n v="0.06"/>
  </r>
  <r>
    <x v="2418"/>
    <s v="COMP CYLINDER,25MM,30MM STRK D"/>
    <s v="SMC"/>
    <s v="CDQ2A25-30DZ"/>
    <s v="MYR"/>
    <n v="88.11"/>
    <s v="ea"/>
    <n v="1"/>
    <n v="0.06"/>
  </r>
  <r>
    <x v="2419"/>
    <s v="CYL,25MM BORE 35MM STK AUTOSW"/>
    <s v="SMC"/>
    <s v="CDQ2A25-35DZ"/>
    <s v="MYR"/>
    <n v="92.34"/>
    <s v="ea"/>
    <n v="1"/>
    <n v="0.06"/>
  </r>
  <r>
    <x v="2420"/>
    <s v="Cylinder"/>
    <s v="SMC"/>
    <s v="CDQ2B12-0030Z-CES10147"/>
    <s v="MYR"/>
    <n v="338.01"/>
    <s v="ea"/>
    <n v="1"/>
    <n v="0.06"/>
  </r>
  <r>
    <x v="2421"/>
    <s v="CYLINDER-COMPACT DE 012 0010"/>
    <s v="SMC"/>
    <s v="CDQ2B12-10DC"/>
    <s v="MYR"/>
    <n v="64.48"/>
    <s v="ea"/>
    <n v="1"/>
    <n v="0.06"/>
  </r>
  <r>
    <x v="2422"/>
    <s v="CYLINDER-LINEAR DE 012 0020"/>
    <s v="SMC"/>
    <s v="CDQ2B12-20D"/>
    <s v="MYR"/>
    <n v="43.08"/>
    <s v="ea"/>
    <n v="1"/>
    <n v="0.06"/>
  </r>
  <r>
    <x v="2423"/>
    <s v="CYLINDER-LINEAR DE 012 0020"/>
    <s v="SMC"/>
    <s v="CDQ2B12-20DCZ"/>
    <s v="MYR"/>
    <n v="57.44"/>
    <s v="ea"/>
    <n v="1"/>
    <n v="0.06"/>
  </r>
  <r>
    <x v="2424"/>
    <s v="CYLINDER-LINEAR DE 012 0005"/>
    <s v="SMC"/>
    <s v="CDQ2B12-5D"/>
    <s v="MYR"/>
    <n v="48.88"/>
    <s v="ea"/>
    <n v="1"/>
    <n v="0.06"/>
  </r>
  <r>
    <x v="2425"/>
    <s v="CYLINDER-LINEAR DE 016 0010"/>
    <s v="SMC"/>
    <s v="CDQ2B16-10DCZ "/>
    <s v="MYR"/>
    <n v="65.150000000000006"/>
    <s v="ea"/>
    <n v="1"/>
    <n v="0.06"/>
  </r>
  <r>
    <x v="2426"/>
    <s v="CYLINDER-LINEAR DE 016 0015"/>
    <s v="SMC"/>
    <s v="CDQ2B16-15D"/>
    <s v="MYR"/>
    <n v="49.8"/>
    <s v="ea"/>
    <n v="1"/>
    <n v="0.06"/>
  </r>
  <r>
    <x v="2427"/>
    <s v="AIR CYLINDER-16MMB-15MMSTK"/>
    <s v="SMC"/>
    <s v="CDQ2B16-15DZ"/>
    <s v="MYR"/>
    <n v="63.41"/>
    <s v="ea"/>
    <n v="1"/>
    <n v="0.06"/>
  </r>
  <r>
    <x v="2428"/>
    <s v="COMPACTCYLINDER  DOUBLE ACTING"/>
    <s v="SMC"/>
    <s v="CDQ2B16-20DZ"/>
    <s v="MYR"/>
    <n v="72.28"/>
    <s v="ea"/>
    <n v="1"/>
    <n v="0.06"/>
  </r>
  <r>
    <x v="2429"/>
    <s v="CYLINDER-LINEAR DE 016 0005"/>
    <s v="SMC"/>
    <s v="CDQ2B16-5D"/>
    <s v="MYR"/>
    <n v="64.14"/>
    <s v="ea"/>
    <n v="1"/>
    <n v="0.06"/>
  </r>
  <r>
    <x v="2430"/>
    <s v="CYLINDER-LINEAR DE 016 0005"/>
    <s v="SMC"/>
    <s v="CDQ2B16-5DZ"/>
    <s v="MYR"/>
    <n v="48.41"/>
    <s v="ea"/>
    <n v="1"/>
    <n v="0.06"/>
  </r>
  <r>
    <x v="2431"/>
    <s v="CYLINDER-LINEAR DE 020 0010"/>
    <s v="SMC"/>
    <s v="CDQ2B20-10D"/>
    <s v="MYR"/>
    <n v="52.88"/>
    <s v="ea"/>
    <n v="1"/>
    <n v="0.06"/>
  </r>
  <r>
    <x v="2432"/>
    <s v="CYLINDER-AIR COMPACT 20X10MMST DBL ACT"/>
    <s v="SMC"/>
    <s v="CDQ2B20-10DCM"/>
    <s v="MYR"/>
    <n v="56.68"/>
    <s v="ea"/>
    <n v="1"/>
    <n v="0.06"/>
  </r>
  <r>
    <x v="2433"/>
    <s v="CYLINDER-LINEAR DE 020 0010"/>
    <s v="SMC"/>
    <s v="CDQ2B20-10DMZ-M9PVLS"/>
    <s v="MYR"/>
    <n v="116.38"/>
    <s v="ea"/>
    <n v="1"/>
    <n v="0.06"/>
  </r>
  <r>
    <x v="2434"/>
    <s v="Pneumatic Cylinder"/>
    <s v="SMC"/>
    <s v="CDQ2B20-15D"/>
    <s v="MYR"/>
    <n v="50.74"/>
    <s v="ea"/>
    <n v="1"/>
    <n v="0.06"/>
  </r>
  <r>
    <x v="2435"/>
    <s v="CYLINDER-LINEAR DE 020 0025"/>
    <s v="SMC"/>
    <s v="CDQ2B20-25DCZ"/>
    <s v="MYR"/>
    <n v="56.74"/>
    <s v="ea"/>
    <n v="1"/>
    <n v="0.06"/>
  </r>
  <r>
    <x v="2436"/>
    <s v="CYLINDER-LINEAR DE 020 0030"/>
    <s v="SMC"/>
    <s v="CDQ2B20-30DZ"/>
    <s v="MYR"/>
    <n v="72.73"/>
    <s v="ea"/>
    <n v="1"/>
    <n v="0.06"/>
  </r>
  <r>
    <x v="2437"/>
    <s v="CYLINDER-LINEAR DE 020 0040"/>
    <s v="SMC"/>
    <s v="CDQ2B20-40D"/>
    <s v="MYR"/>
    <n v="77.42"/>
    <s v="ea"/>
    <n v="1"/>
    <n v="0.06"/>
  </r>
  <r>
    <x v="2438"/>
    <s v="CYLINDER-LINEAR DE 025 0010"/>
    <s v="SMC"/>
    <s v="CDQ2B25-10D"/>
    <s v="MYR"/>
    <n v="58.32"/>
    <s v="ea"/>
    <n v="1"/>
    <n v="0.06"/>
  </r>
  <r>
    <x v="2439"/>
    <s v="CYLINDER-LINEAR DE 025 0025"/>
    <s v="SMC"/>
    <s v="CDQ2B25-25D"/>
    <s v="MYR"/>
    <n v="67.7"/>
    <s v="ea"/>
    <n v="1"/>
    <n v="0.06"/>
  </r>
  <r>
    <x v="2440"/>
    <s v="CYLINDER-LINEAR DE 025 0025"/>
    <s v="SMC"/>
    <s v="CDQ2B25-25DCZ"/>
    <s v="MYR"/>
    <n v="57.61"/>
    <s v="ea"/>
    <n v="1"/>
    <n v="0.06"/>
  </r>
  <r>
    <x v="2441"/>
    <s v="CYLINDER DOUBLE ACTING"/>
    <s v="SMC"/>
    <s v="CDQ2B32-30DCZ"/>
    <s v="MYR"/>
    <n v="95.82"/>
    <s v="ea"/>
    <n v="1"/>
    <n v="0.06"/>
  </r>
  <r>
    <x v="2442"/>
    <s v="CYL,DBL ACT,45MM STRX40MM BORE"/>
    <s v="SMC"/>
    <s v="CDQ2B40-45DZ"/>
    <s v="MYR"/>
    <n v="171.14"/>
    <s v="ea"/>
    <n v="1"/>
    <n v="0.06"/>
  </r>
  <r>
    <x v="2443"/>
    <s v="CYLINDER LINEAR DE 016 0010"/>
    <s v="SMC"/>
    <s v="CDQ2BS32-10DCZ-M9PVS"/>
    <s v="MYR"/>
    <n v="170.15"/>
    <s v="ea"/>
    <n v="1"/>
    <n v="0.06"/>
  </r>
  <r>
    <x v="2444"/>
    <s v="CYLINDER-LINEAR DE 016 0005"/>
    <s v="SMC"/>
    <s v="CDQMB16-5"/>
    <s v="MYR"/>
    <n v="106.39"/>
    <s v="ea"/>
    <n v="1"/>
    <n v="0.06"/>
  </r>
  <r>
    <x v="2445"/>
    <s v="CYLINDER (SO2X00 PLUNGER HEAD)"/>
    <s v="SMC"/>
    <s v="CDQSB12-0068-CEI00043"/>
    <s v="MYR"/>
    <n v="696.4"/>
    <s v="ea"/>
    <n v="1"/>
    <n v="0.06"/>
  </r>
  <r>
    <x v="2446"/>
    <s v="Cylinder"/>
    <s v="SMC"/>
    <s v="CDQSB12-10D"/>
    <s v="MYR"/>
    <n v="47.54"/>
    <s v="ea"/>
    <n v="1"/>
    <n v="0.06"/>
  </r>
  <r>
    <x v="2447"/>
    <s v="Cylinder"/>
    <s v="SMC"/>
    <s v="CDQSB12-10T"/>
    <s v="MYR"/>
    <n v="82.46"/>
    <s v="ea"/>
    <n v="1"/>
    <n v="0.06"/>
  </r>
  <r>
    <x v="2448"/>
    <s v="Cylinder ultra long stroke"/>
    <s v="SMC"/>
    <s v="CDQSB12-125DC    "/>
    <s v="MYR"/>
    <n v="177.41"/>
    <s v="ea"/>
    <n v="1"/>
    <n v="0.06"/>
  </r>
  <r>
    <x v="2449"/>
    <s v="PNEUMATIC CYLINDER"/>
    <s v="SMC"/>
    <s v="CDQSB12-160DC    "/>
    <s v="MYR"/>
    <n v="168.58"/>
    <s v="ea"/>
    <n v="1"/>
    <n v="0.06"/>
  </r>
  <r>
    <x v="2450"/>
    <s v="Cylinder"/>
    <s v="SMC"/>
    <s v="CDQSB-12-30 DM    "/>
    <s v="MYR"/>
    <n v="77.09"/>
    <s v="ea"/>
    <n v="1"/>
    <n v="0.06"/>
  </r>
  <r>
    <x v="2451"/>
    <s v="CYLINDER"/>
    <s v="SMC"/>
    <s v="CDQSB12-30DM"/>
    <s v="MYR"/>
    <n v="87.49"/>
    <s v="ea"/>
    <n v="1"/>
    <n v="0.06"/>
  </r>
  <r>
    <x v="2452"/>
    <s v="CYLINDER"/>
    <s v="SMC"/>
    <s v="CDQSB12-75DC"/>
    <s v="MYR"/>
    <n v="76.17"/>
    <s v="ea"/>
    <n v="1"/>
    <n v="0.06"/>
  </r>
  <r>
    <x v="2453"/>
    <s v="SUPER COMPACT CYLINDER"/>
    <s v="SMC"/>
    <s v="CDQSB16-10SM-M9PVLS"/>
    <s v="MYR"/>
    <n v="148.6"/>
    <s v="ea"/>
    <n v="1"/>
    <n v="0.06"/>
  </r>
  <r>
    <x v="2454"/>
    <s v="Cylinder CDQSB16 - 20 D"/>
    <s v="SMC"/>
    <s v="CDQSB16-20D"/>
    <s v="MYR"/>
    <n v="64.62"/>
    <s v="ea"/>
    <n v="1"/>
    <n v="0.06"/>
  </r>
  <r>
    <x v="2455"/>
    <s v="CYLINDER"/>
    <s v="SMC"/>
    <s v="CDQSB16-40DC"/>
    <s v="MYR"/>
    <n v="79.209999999999994"/>
    <s v="ea"/>
    <n v="1"/>
    <n v="0.06"/>
  </r>
  <r>
    <x v="2456"/>
    <s v="Cylinder (CDQSB16-45DC)"/>
    <s v="SMC"/>
    <s v="CDQSB16-45DC    "/>
    <s v="MYR"/>
    <n v="167.63"/>
    <s v="ea"/>
    <n v="1"/>
    <n v="0.06"/>
  </r>
  <r>
    <x v="2457"/>
    <s v="Cylinder (CDQSB16-50DC)"/>
    <s v="SMC"/>
    <s v="CDQSB16-50DC    "/>
    <s v="MYR"/>
    <n v="169.67"/>
    <s v="ea"/>
    <n v="1"/>
    <n v="0.06"/>
  </r>
  <r>
    <x v="2458"/>
    <s v="CYLINDER,AIR,16MMBOREX50MMSTRK"/>
    <s v="SMC"/>
    <s v="CDQSB16-50DCM"/>
    <s v="MYR"/>
    <n v="157.94"/>
    <s v="ea"/>
    <n v="1"/>
    <n v="0.06"/>
  </r>
  <r>
    <x v="2459"/>
    <s v="Cylinder (CDQSB20-125DCM)"/>
    <s v="SMC"/>
    <s v="CDQSB20-125DCM"/>
    <s v="MYR"/>
    <n v="213.85"/>
    <s v="ea"/>
    <n v="1"/>
    <n v="0.06"/>
  </r>
  <r>
    <x v="2460"/>
    <s v="CYLINDER-LINEAR DE 020 0060"/>
    <s v="SMC"/>
    <s v="CDQSB20-60DC"/>
    <s v="MYR"/>
    <n v="123.14"/>
    <s v="ea"/>
    <n v="1"/>
    <n v="0.06"/>
  </r>
  <r>
    <x v="2461"/>
    <s v="Cylinder"/>
    <s v="SMC"/>
    <s v="CDQSKB12-25D"/>
    <s v="MYR"/>
    <n v="86.25"/>
    <s v="ea"/>
    <n v="1"/>
    <n v="0.06"/>
  </r>
  <r>
    <x v="2462"/>
    <s v="Cylinder (Vacuum Piston)"/>
    <s v="SMC"/>
    <s v="CDQSWB12-0068-CEL00408"/>
    <s v="MYR"/>
    <n v="562.69000000000005"/>
    <s v="ea"/>
    <n v="1"/>
    <n v="0.06"/>
  </r>
  <r>
    <x v="2463"/>
    <s v="ROTARY ACTUATOR D=10 A=90"/>
    <s v="SMC"/>
    <s v="CDRB2BW10-90DZ-M"/>
    <s v="MYR"/>
    <n v="574.04"/>
    <s v="ea"/>
    <n v="1"/>
    <n v="0.06"/>
  </r>
  <r>
    <x v="2464"/>
    <s v="ROTARY ACTUATOR,AUTO SWITCH"/>
    <s v="SMC"/>
    <s v="CDRB2BW15-100DZ-97"/>
    <s v="MYR"/>
    <n v="635.42999999999995"/>
    <s v="ea"/>
    <n v="1"/>
    <n v="0.06"/>
  </r>
  <r>
    <x v="2465"/>
    <s v="ACTUATOR-ROTARY 90DEG 15MM"/>
    <s v="SMC"/>
    <s v="CDRB2BW15-90SZ-S99L"/>
    <s v="MYR"/>
    <n v="448.34"/>
    <s v="ea"/>
    <n v="1"/>
    <n v="0.06"/>
  </r>
  <r>
    <x v="2466"/>
    <s v="CYLINDER-ROTARY DE 020 090"/>
    <s v="SMC"/>
    <s v="CDRB2BW20-90SZ"/>
    <s v="MYR"/>
    <n v="331.6"/>
    <s v="ea"/>
    <n v="1"/>
    <n v="0.06"/>
  </r>
  <r>
    <x v="2467"/>
    <s v="ROTARY CYLINDER SINGLE VANE DE 10 180"/>
    <s v="SMC"/>
    <s v="CDRB2BWU10-180SZ-93AL"/>
    <s v="MYR"/>
    <n v="479.28"/>
    <s v="ea"/>
    <n v="1"/>
    <n v="0.06"/>
  </r>
  <r>
    <x v="2468"/>
    <s v="Rotary Actuator D=10 A=270"/>
    <s v="SMC"/>
    <s v="CDRB2BWU10-270SZ-M"/>
    <s v="MYR"/>
    <n v="398.86"/>
    <s v="ea"/>
    <n v="1"/>
    <n v="0.06"/>
  </r>
  <r>
    <x v="2469"/>
    <s v="ROTARY-CYLINDER-90 DEGREE"/>
    <s v="SMC"/>
    <s v="CDRB2BWU10-90DZ-93AL"/>
    <s v="MYR"/>
    <n v="574.48"/>
    <s v="ea"/>
    <n v="1"/>
    <n v="0.06"/>
  </r>
  <r>
    <x v="2470"/>
    <s v="CYLINDER-ROTARY DE 015 180"/>
    <s v="SMC"/>
    <s v="CDRB2BWU15-180S"/>
    <s v="MYR"/>
    <n v="398.93"/>
    <s v="ea"/>
    <n v="1"/>
    <n v="0.06"/>
  </r>
  <r>
    <x v="2471"/>
    <s v="ROTARY DRIVE"/>
    <s v="SMC"/>
    <s v="CDRB2BWU30-270SZ"/>
    <s v="MYR"/>
    <n v="367.66"/>
    <s v="ea"/>
    <n v="1"/>
    <n v="0.06"/>
  </r>
  <r>
    <x v="2472"/>
    <s v="ACTUATOR-ROTRY,SIZE 20,270 DEG"/>
    <s v="SMC"/>
    <s v="CDRBU2W20-270SZ-S79L"/>
    <s v="MYR"/>
    <n v="472.90999999999997"/>
    <s v="ea"/>
    <n v="1"/>
    <n v="0.06"/>
  </r>
  <r>
    <x v="2473"/>
    <s v="ACTUATOR-ROTARY-SIZE 30-90 DEG"/>
    <s v="SMC"/>
    <s v="CDRBU2W30-90DZ-S79"/>
    <s v="MYR"/>
    <n v="743.24"/>
    <s v="ea"/>
    <n v="1"/>
    <n v="0.06"/>
  </r>
  <r>
    <x v="2474"/>
    <s v="ROTARY CYLINDER (TUBE UNLOADER SO1800)"/>
    <s v="SMC"/>
    <s v="CDRBU2WU10-180SZ    "/>
    <s v="MYR"/>
    <n v="385.7"/>
    <s v="ea"/>
    <n v="1"/>
    <n v="0.06"/>
  </r>
  <r>
    <x v="2475"/>
    <s v="Swivel drive"/>
    <s v="SMC"/>
    <s v="CDRQ2BS10-360"/>
    <s v="MYR"/>
    <n v="416.42"/>
    <s v="ea"/>
    <n v="1"/>
    <n v="0.06"/>
  </r>
  <r>
    <x v="2476"/>
    <s v="CYLINDER DOUBLE ACTING"/>
    <s v="SMC"/>
    <s v="CDU10-10D"/>
    <s v="MYR"/>
    <n v="67.39"/>
    <s v="ea"/>
    <n v="1"/>
    <n v="0.06"/>
  </r>
  <r>
    <x v="2477"/>
    <s v="CYL, 10MM BORE, 10MM STROKE"/>
    <s v="SMC"/>
    <s v="CDU10-10D-A93"/>
    <s v="MYR"/>
    <n v="173.61"/>
    <s v="ea"/>
    <n v="1"/>
    <n v="0.06"/>
  </r>
  <r>
    <x v="2478"/>
    <s v="CYLINDER-AIR COMPACT 10X10MM STR W/SWTCH"/>
    <s v="SMC"/>
    <s v="CDU10-10D-M9NL"/>
    <s v="MYR"/>
    <n v="194.06"/>
    <s v="ea"/>
    <n v="1"/>
    <n v="0.06"/>
  </r>
  <r>
    <x v="2479"/>
    <s v="AIR CYLINDER,10 X10"/>
    <s v="SMC"/>
    <s v="CDU10-10T-M9N"/>
    <s v="MYR"/>
    <n v="207.53"/>
    <s v="ea"/>
    <n v="1"/>
    <n v="0.06"/>
  </r>
  <r>
    <x v="2480"/>
    <s v="CYLINDER DOUBLE ACTING"/>
    <s v="SMC"/>
    <s v="CDU10-20D"/>
    <s v="MYR"/>
    <n v="85.39"/>
    <s v="ea"/>
    <n v="1"/>
    <n v="0.06"/>
  </r>
  <r>
    <x v="2481"/>
    <s v="CYLINDER FREE MOUNT DIA. 10X25"/>
    <s v="SMC"/>
    <s v="CDU10-25D"/>
    <s v="MYR"/>
    <n v="77.63"/>
    <s v="ea"/>
    <n v="1"/>
    <n v="0.06"/>
  </r>
  <r>
    <x v="2482"/>
    <s v="Cylinder"/>
    <s v="SMC"/>
    <s v="CDU10-30D"/>
    <s v="MYR"/>
    <n v="77.63"/>
    <s v="ea"/>
    <n v="1"/>
    <n v="0.06"/>
  </r>
  <r>
    <x v="2483"/>
    <s v="CYLINDER DOUBLE ACTING"/>
    <s v="SMC"/>
    <s v="CDU10-30D"/>
    <s v="MYR"/>
    <n v="77.63"/>
    <s v="ea"/>
    <n v="1"/>
    <n v="0.06"/>
  </r>
  <r>
    <x v="2484"/>
    <s v="Cylinder"/>
    <s v="SMC"/>
    <s v="CDU10-40D"/>
    <s v="MYR"/>
    <n v="133.46"/>
    <s v="ea"/>
    <n v="1"/>
    <n v="0.06"/>
  </r>
  <r>
    <x v="2485"/>
    <s v="Cylinder"/>
    <s v="SMC"/>
    <s v="CDU10-50D"/>
    <s v="MYR"/>
    <n v="141.21"/>
    <s v="ea"/>
    <n v="1"/>
    <n v="0.06"/>
  </r>
  <r>
    <x v="2486"/>
    <s v="CYLINDER-LINEAR DE 010 0005"/>
    <s v="SMC"/>
    <s v="CDU10-5D"/>
    <s v="MYR"/>
    <n v="68.47"/>
    <s v="ea"/>
    <n v="1"/>
    <n v="0.06"/>
  </r>
  <r>
    <x v="2487"/>
    <s v="Cylinder"/>
    <s v="SMC"/>
    <s v="CDU10-60D"/>
    <s v="MYR"/>
    <n v="133.35"/>
    <s v="ea"/>
    <n v="1"/>
    <n v="0.06"/>
  </r>
  <r>
    <x v="2488"/>
    <s v="CYLINDER-LINEAR DE 016 0010"/>
    <s v="SMC"/>
    <s v="CDU16-10D"/>
    <s v="MYR"/>
    <n v="90.03"/>
    <s v="ea"/>
    <n v="1"/>
    <n v="0.06"/>
  </r>
  <r>
    <x v="2489"/>
    <s v="CYLINDER CDU 20-10"/>
    <s v="SMC"/>
    <s v="CDU-20-10"/>
    <s v="MYR"/>
    <n v="118.18"/>
    <s v="ea"/>
    <n v="1"/>
    <n v="0.06"/>
  </r>
  <r>
    <x v="2490"/>
    <s v="CYLINDER CDU 20-20"/>
    <s v="SMC"/>
    <s v="CDU20-20D"/>
    <s v="MYR"/>
    <n v="94.72"/>
    <s v="ea"/>
    <n v="1"/>
    <n v="0.06"/>
  </r>
  <r>
    <x v="2491"/>
    <s v="FREE MNT CYLINDER 20 BORE X 30"/>
    <s v="SMC"/>
    <s v="CDU20-30D"/>
    <s v="MYR"/>
    <n v="94.72"/>
    <s v="ea"/>
    <n v="1"/>
    <n v="0.06"/>
  </r>
  <r>
    <x v="2492"/>
    <s v="CYLINDER-LINEAR DE 006 0005"/>
    <s v="SMC"/>
    <s v="CDU6-5D"/>
    <s v="MYR"/>
    <n v="67.819999999999993"/>
    <s v="ea"/>
    <n v="1"/>
    <n v="0.06"/>
  </r>
  <r>
    <x v="2493"/>
    <s v="Cylinder"/>
    <s v="SMC"/>
    <s v="CDUJB 10-4-DM"/>
    <s v="MYR"/>
    <n v="62.01"/>
    <s v="ea"/>
    <n v="1"/>
    <n v="0.06"/>
  </r>
  <r>
    <x v="2494"/>
    <s v="CYLINDER DOUBLE ACTING"/>
    <s v="SMC"/>
    <s v="CDUJB10-10S"/>
    <s v="MYR"/>
    <n v="42.38"/>
    <s v="ea"/>
    <n v="1"/>
    <n v="0.06"/>
  </r>
  <r>
    <x v="2495"/>
    <s v="CYLINDER-LINEAR DE 010 0015"/>
    <s v="SMC"/>
    <s v="CDUJB10-15D"/>
    <s v="MYR"/>
    <n v="55.34"/>
    <s v="ea"/>
    <n v="1"/>
    <n v="0.06"/>
  </r>
  <r>
    <x v="2496"/>
    <s v="Cylinder"/>
    <s v="SMC"/>
    <s v="CDUJB10-30D"/>
    <s v="MYR"/>
    <n v="59.22"/>
    <s v="ea"/>
    <n v="1"/>
    <n v="0.06"/>
  </r>
  <r>
    <x v="2497"/>
    <s v="CYLINDER CDUJB10-30D-X742"/>
    <s v="SMC"/>
    <s v="CDUJB10-30D-X742    "/>
    <s v="MYR"/>
    <n v="82.41"/>
    <s v="ea"/>
    <n v="1"/>
    <n v="0.06"/>
  </r>
  <r>
    <x v="2498"/>
    <s v="CYLINDER-LINEAR DE 010 0006"/>
    <s v="SMC"/>
    <s v="CDUJB10-6D-M9BS"/>
    <s v="MYR"/>
    <n v="110.39"/>
    <s v="ea"/>
    <n v="1"/>
    <n v="0.06"/>
  </r>
  <r>
    <x v="2499"/>
    <s v="Cylinder"/>
    <s v="SMC"/>
    <s v="CDUJB10-8D"/>
    <s v="MYR"/>
    <n v="52.44"/>
    <s v="ea"/>
    <n v="1"/>
    <n v="0.06"/>
  </r>
  <r>
    <x v="2500"/>
    <s v="Cylinder CDUJB12-10-D"/>
    <s v="SMC"/>
    <s v="CDUJB12-10D    "/>
    <s v="MYR"/>
    <n v="92.06"/>
    <s v="ea"/>
    <n v="1"/>
    <n v="0.06"/>
  </r>
  <r>
    <x v="2501"/>
    <s v="Cylinder CDUJB12-15D"/>
    <s v="SMC"/>
    <s v="CDUJB12-15D    "/>
    <s v="MYR"/>
    <n v="92.06"/>
    <s v="ea"/>
    <n v="1"/>
    <n v="0.06"/>
  </r>
  <r>
    <x v="2502"/>
    <s v="MINI CYL,BS 6MM,CS15MM,DA"/>
    <s v="SMC"/>
    <s v="CDUJB6-15DM"/>
    <s v="MYR"/>
    <n v="64.319999999999993"/>
    <s v="ea"/>
    <n v="1"/>
    <n v="0.06"/>
  </r>
  <r>
    <x v="2503"/>
    <s v="Cylinder"/>
    <s v="SMC"/>
    <s v="CDUJB6-20DM"/>
    <s v="MYR"/>
    <n v="74.62"/>
    <s v="ea"/>
    <n v="1"/>
    <n v="0.06"/>
  </r>
  <r>
    <x v="2504"/>
    <s v="CYLINDER-LINEAR 006 004"/>
    <s v="SMC"/>
    <s v="CDUJB6-4D-F8PL "/>
    <s v="MYR"/>
    <n v="162.04"/>
    <s v="ea"/>
    <n v="1"/>
    <n v="0.06"/>
  </r>
  <r>
    <x v="2505"/>
    <s v="Cylinder"/>
    <s v="SMC"/>
    <s v="CDUJB6-4D-X742"/>
    <s v="MYR"/>
    <n v="64.55"/>
    <s v="ea"/>
    <n v="1"/>
    <n v="0.06"/>
  </r>
  <r>
    <x v="2506"/>
    <s v="Cylinder"/>
    <s v="SMC"/>
    <s v="CDUJB6-4S"/>
    <s v="MYR"/>
    <n v="49.67"/>
    <s v="ea"/>
    <n v="1"/>
    <n v="0.06"/>
  </r>
  <r>
    <x v="2507"/>
    <s v="CYLINDER DOUBLE ACTING"/>
    <s v="SMC"/>
    <s v="CDUJB6-4S"/>
    <s v="MYR"/>
    <n v="49.67"/>
    <s v="ea"/>
    <n v="1"/>
    <n v="0.06"/>
  </r>
  <r>
    <x v="2508"/>
    <s v="Cylinder"/>
    <s v="SMC"/>
    <s v="CDUJB6-6D"/>
    <s v="MYR"/>
    <n v="49.67"/>
    <s v="ea"/>
    <n v="1"/>
    <n v="0.06"/>
  </r>
  <r>
    <x v="2509"/>
    <s v="CYLINDER-LINEAR DE 006 0006"/>
    <s v="SMC"/>
    <s v="CDUJB6-6DM-F8PL"/>
    <s v="MYR"/>
    <n v="144.19999999999999"/>
    <s v="ea"/>
    <n v="1"/>
    <n v="0.06"/>
  </r>
  <r>
    <x v="2510"/>
    <s v="Cylinder"/>
    <s v="SMC"/>
    <s v="CDUJB6-6S"/>
    <s v="MYR"/>
    <n v="49.67"/>
    <s v="ea"/>
    <n v="1"/>
    <n v="0.06"/>
  </r>
  <r>
    <x v="2511"/>
    <s v="CYLINDER SINGLE ACTING"/>
    <s v="SMC"/>
    <s v="CDUJB6-6S"/>
    <s v="MYR"/>
    <n v="49.67"/>
    <s v="ea"/>
    <n v="1"/>
    <n v="0.06"/>
  </r>
  <r>
    <x v="2512"/>
    <s v="CUJ Mini Free Mount Cylinder"/>
    <s v="SMC"/>
    <s v="CDUJB6-6SM"/>
    <s v="MYR"/>
    <n v="70.73"/>
    <s v="ea"/>
    <n v="1"/>
    <n v="0.06"/>
  </r>
  <r>
    <x v="2513"/>
    <s v="Cylinder"/>
    <s v="SMC"/>
    <s v="CDUJB6-8S"/>
    <s v="MYR"/>
    <n v="49.67"/>
    <s v="ea"/>
    <n v="1"/>
    <n v="0.06"/>
  </r>
  <r>
    <x v="2514"/>
    <s v="Cylinder"/>
    <s v="SMC"/>
    <s v="CDUJB8-10S"/>
    <s v="MYR"/>
    <n v="52.44"/>
    <s v="ea"/>
    <n v="1"/>
    <n v="0.06"/>
  </r>
  <r>
    <x v="2515"/>
    <s v="Cylinder"/>
    <s v="SMC"/>
    <s v="CDUJB8-15DM"/>
    <s v="MYR"/>
    <n v="53.95"/>
    <s v="ea"/>
    <n v="1"/>
    <n v="0.06"/>
  </r>
  <r>
    <x v="2516"/>
    <s v="Pneumatic Cylinder"/>
    <s v="SMC"/>
    <s v="CDUJB8-6SM"/>
    <s v="MYR"/>
    <n v="75.05"/>
    <s v="ea"/>
    <n v="1"/>
    <n v="0.06"/>
  </r>
  <r>
    <x v="2517"/>
    <s v="CYLINDER,FREE MT,CDUCK10-15-S"/>
    <s v="SMC"/>
    <s v="CDUK10-15S"/>
    <s v="MYR"/>
    <n v="106.39999999999999"/>
    <s v="ea"/>
    <n v="1"/>
    <n v="0.06"/>
  </r>
  <r>
    <x v="2518"/>
    <s v="CYLINDER-LINEAR DE 010 0020"/>
    <s v="SMC"/>
    <s v="CDUK10-20D"/>
    <s v="MYR"/>
    <n v="94.72"/>
    <s v="ea"/>
    <n v="1"/>
    <n v="0.06"/>
  </r>
  <r>
    <x v="2519"/>
    <s v="Cylinder"/>
    <s v="SMC"/>
    <s v="CDUK10-60D-XC34"/>
    <s v="MYR"/>
    <n v="172"/>
    <s v="ea"/>
    <n v="1"/>
    <n v="0.06"/>
  </r>
  <r>
    <x v="2520"/>
    <s v="CYLINDER-LINEAR DE 016 0020"/>
    <s v="SMC"/>
    <s v="CDUK16-20D"/>
    <s v="MYR"/>
    <n v="114.88"/>
    <s v="ea"/>
    <n v="1"/>
    <n v="0.06"/>
  </r>
  <r>
    <x v="2521"/>
    <s v="CYLINDER-LINEAR DE 006 0010"/>
    <s v="SMC"/>
    <s v="CDUK6-10D"/>
    <s v="MYR"/>
    <n v="86.93"/>
    <s v="ea"/>
    <n v="1"/>
    <n v="0.06"/>
  </r>
  <r>
    <x v="2522"/>
    <s v="CYL, DBL ACT, 6mmBX5mmS, NON-ROT"/>
    <s v="SMC"/>
    <s v="CDUK6-5D-XC34"/>
    <s v="MYR"/>
    <n v="108.4"/>
    <s v="ea"/>
    <n v="1"/>
    <n v="0.06"/>
  </r>
  <r>
    <x v="2523"/>
    <s v="Cylinder"/>
    <s v="SMC"/>
    <s v="CDY1S15H-100"/>
    <s v="MYR"/>
    <n v="844.03"/>
    <s v="ea"/>
    <n v="1"/>
    <n v="0.06"/>
  </r>
  <r>
    <x v="2524"/>
    <s v="CYLINDER - BIAS"/>
    <s v="SMC"/>
    <s v="CJ1B2-5SU4"/>
    <s v="MYR"/>
    <n v="28.2"/>
    <s v="ea"/>
    <n v="1"/>
    <n v="0.06"/>
  </r>
  <r>
    <x v="2525"/>
    <s v="Cylinder"/>
    <s v="SMC"/>
    <s v="CJ1B4-10SU4"/>
    <s v="MYR"/>
    <n v="33.04"/>
    <s v="ea"/>
    <n v="1"/>
    <n v="0.06"/>
  </r>
  <r>
    <x v="2526"/>
    <s v="Cylinder"/>
    <s v="SMC"/>
    <s v="CJ1B4-5SU4"/>
    <s v="MYR"/>
    <n v="30.52"/>
    <s v="ea"/>
    <n v="1"/>
    <n v="0.06"/>
  </r>
  <r>
    <x v="2527"/>
    <s v="CYLINDER, 10mm x 100mm L"/>
    <s v="SMC"/>
    <s v="CJ2B10-100Z "/>
    <s v="MYR"/>
    <n v="54.06"/>
    <s v="ea"/>
    <n v="1"/>
    <n v="0.06"/>
  </r>
  <r>
    <x v="2528"/>
    <s v="CJ2 CYLINDER SPL."/>
    <s v="SMC"/>
    <s v="CJ2B10-116-DAN00991"/>
    <s v="MYR"/>
    <n v="89.2"/>
    <s v="ea"/>
    <n v="1"/>
    <n v="0.06"/>
  </r>
  <r>
    <x v="2529"/>
    <s v="CLYINDER, CHUCK RETRACT, MTX"/>
    <s v="SMC"/>
    <s v="CJ2B10-116-DUQ01799"/>
    <s v="MYR"/>
    <n v="60.7"/>
    <s v="ea"/>
    <n v="1"/>
    <n v="0.06"/>
  </r>
  <r>
    <x v="2530"/>
    <s v="CYLINDER-LINEAR DE 010 0125"/>
    <s v="SMC"/>
    <s v="CJ2B10-125"/>
    <s v="MYR"/>
    <n v="51.24"/>
    <s v="ea"/>
    <n v="1"/>
    <n v="0.06"/>
  </r>
  <r>
    <x v="2531"/>
    <s v="MINIATURE CYLINDER"/>
    <s v="SMC"/>
    <s v="CJ2B10-20Z"/>
    <s v="MYR"/>
    <n v="44.88"/>
    <s v="ea"/>
    <n v="1"/>
    <n v="0.06"/>
  </r>
  <r>
    <x v="2532"/>
    <s v="CYLINDER-LINEAR SE 010 0005"/>
    <s v="SMC"/>
    <s v="CJ2B10-5"/>
    <s v="MYR"/>
    <n v="35.4"/>
    <s v="ea"/>
    <n v="1"/>
    <n v="0.06"/>
  </r>
  <r>
    <x v="2533"/>
    <s v="CYLINDER-LINEAR DE 016 0125"/>
    <s v="SMC"/>
    <s v="CJ2B16-125"/>
    <s v="MYR"/>
    <n v="58.53"/>
    <s v="ea"/>
    <n v="1"/>
    <n v="0.06"/>
  </r>
  <r>
    <x v="2534"/>
    <s v="CYLINDER-LINEAR DE 016 0015"/>
    <s v="SMC"/>
    <s v="CJ2B16-15R"/>
    <s v="MYR"/>
    <n v="44.28"/>
    <s v="ea"/>
    <n v="1"/>
    <n v="0.06"/>
  </r>
  <r>
    <x v="2535"/>
    <s v="CYLINDER-LINEAR 016 0030"/>
    <s v="SMC"/>
    <s v="CJ2B16-30"/>
    <s v="MYR"/>
    <n v="33.619999999999997"/>
    <s v="ea"/>
    <n v="1"/>
    <n v="0.06"/>
  </r>
  <r>
    <x v="2536"/>
    <s v="CYLINDER-LINEAR DE 016 0050"/>
    <s v="SMC"/>
    <s v="CJ2B16-50"/>
    <s v="MYR"/>
    <n v="46.34"/>
    <s v="ea"/>
    <n v="1"/>
    <n v="0.06"/>
  </r>
  <r>
    <x v="2537"/>
    <s v="Cylinder"/>
    <s v="SMC"/>
    <s v="CJ2B6-20R"/>
    <s v="MYR"/>
    <n v="41.32"/>
    <s v="ea"/>
    <n v="1"/>
    <n v="0.06"/>
  </r>
  <r>
    <x v="2538"/>
    <s v="Cylinder (Lead Buffer)"/>
    <s v="SMC"/>
    <s v="CJ2B6-5SR"/>
    <s v="MYR"/>
    <n v="38.54"/>
    <s v="ea"/>
    <n v="1"/>
    <n v="0.06"/>
  </r>
  <r>
    <x v="2539"/>
    <s v="CYLINDER,AIR,10MM BX10MM ST SE"/>
    <s v="SMC"/>
    <s v="CJ2D10-10SZ"/>
    <s v="MYR"/>
    <n v="35.58"/>
    <s v="ea"/>
    <n v="1"/>
    <n v="0.06"/>
  </r>
  <r>
    <x v="2540"/>
    <s v="CYL,AIR,10MM B X 10MM ST SR"/>
    <s v="SMC"/>
    <s v="CJ2D10-10TZ"/>
    <s v="MYR"/>
    <n v="37.08"/>
    <s v="ea"/>
    <n v="1"/>
    <n v="0.06"/>
  </r>
  <r>
    <x v="2541"/>
    <s v="Pneumatic Fitting ( reduced )"/>
    <s v="SMC"/>
    <s v="CJ-5H-4"/>
    <s v="MYR"/>
    <n v="1.78"/>
    <s v="ea"/>
    <n v="1"/>
    <n v="0.06"/>
  </r>
  <r>
    <x v="2542"/>
    <s v="MINIATURE CYLINDER"/>
    <s v="SMC"/>
    <s v="CJP2B10-10D"/>
    <s v="MYR"/>
    <n v="59.69"/>
    <s v="ea"/>
    <n v="1"/>
    <n v="0.06"/>
  </r>
  <r>
    <x v="2543"/>
    <s v="CYLINDER-LINEA SE 010 0005"/>
    <s v="SMC"/>
    <s v="CJPB10-5H4"/>
    <s v="MYR"/>
    <n v="38.590000000000003"/>
    <s v="ea"/>
    <n v="1"/>
    <n v="0.06"/>
  </r>
  <r>
    <x v="2544"/>
    <s v="CYLINDER AIR PIN 10X5MM STR PANEL MOUNT"/>
    <s v="SMC"/>
    <s v="CJPB10-5H4-B"/>
    <s v="MYR"/>
    <n v="27.93"/>
    <s v="ea"/>
    <n v="1"/>
    <n v="0.06"/>
  </r>
  <r>
    <x v="2545"/>
    <s v="CYLINDER-LINEAR DE 006 0010 CARTRIDGE"/>
    <s v="SMC"/>
    <s v="CJPB6-10"/>
    <s v="MYR"/>
    <n v="30.33"/>
    <s v="ea"/>
    <n v="1"/>
    <n v="0.06"/>
  </r>
  <r>
    <x v="2546"/>
    <s v="CYLINDER-LINEAR SE 006 0010"/>
    <s v="SMC"/>
    <s v="CJPB6-10H6"/>
    <s v="MYR"/>
    <n v="31.21"/>
    <s v="ea"/>
    <n v="1"/>
    <n v="0.06"/>
  </r>
  <r>
    <x v="2547"/>
    <s v="CYLINDER-LINEAR SE 006 0015"/>
    <s v="SMC"/>
    <s v="CJPB6-15H4"/>
    <s v="MYR"/>
    <n v="30.33"/>
    <s v="ea"/>
    <n v="1"/>
    <n v="0.06"/>
  </r>
  <r>
    <x v="2548"/>
    <s v="CYLINDER-LINEAR SE 006 0005 CARTRIDGE"/>
    <s v="SMC"/>
    <s v="CJPB6-5H6"/>
    <s v="MYR"/>
    <n v="27.45"/>
    <s v="ea"/>
    <n v="1"/>
    <n v="0.06"/>
  </r>
  <r>
    <x v="2549"/>
    <s v="MINIATURE CYLINDER"/>
    <s v="SMC"/>
    <s v="CJPB6-5H6"/>
    <s v="MYR"/>
    <n v="27.45"/>
    <s v="ea"/>
    <n v="1"/>
    <n v="0.06"/>
  </r>
  <r>
    <x v="2550"/>
    <s v="CYLINDER-LINEAR SE 010 0010"/>
    <s v="SMC"/>
    <s v="CJPS10-10"/>
    <s v="MYR"/>
    <n v="37.119999999999997"/>
    <s v="ea"/>
    <n v="1"/>
    <n v="0.06"/>
  </r>
  <r>
    <x v="2551"/>
    <s v="CYLINDER-MINI. SIMPLE EFFECT D=10 C=5"/>
    <s v="SMC"/>
    <s v="CJPS10-5"/>
    <s v="MYR"/>
    <n v="45.48"/>
    <s v="ea"/>
    <n v="1"/>
    <n v="0.06"/>
  </r>
  <r>
    <x v="2552"/>
    <s v="CYLINDER DOUBLE ACTING"/>
    <s v="SMC"/>
    <s v="CONT-TBR00001"/>
    <s v="MYR"/>
    <n v="1465.83"/>
    <s v="ea"/>
    <n v="1"/>
    <n v="0.06"/>
  </r>
  <r>
    <x v="2553"/>
    <s v="COMPACTCYLINDER DOUBLE ACTING"/>
    <s v="SMC"/>
    <s v="CQ2A20-50D"/>
    <s v="MYR"/>
    <n v="90.42"/>
    <s v="ea"/>
    <n v="1"/>
    <n v="0.06"/>
  </r>
  <r>
    <x v="2554"/>
    <s v="Cylinder"/>
    <s v="SMC"/>
    <s v="CQ2B12-10D"/>
    <s v="MYR"/>
    <n v="31.55"/>
    <s v="ea"/>
    <n v="1"/>
    <n v="0.06"/>
  </r>
  <r>
    <x v="2555"/>
    <s v="Cylinder"/>
    <s v="SMC"/>
    <s v="CQ2B12-10D    "/>
    <s v="MYR"/>
    <n v="31.55"/>
    <s v="ea"/>
    <n v="1"/>
    <n v="0.06"/>
  </r>
  <r>
    <x v="2556"/>
    <s v="Cylinder (desoak Jamclearer)"/>
    <s v="SMC"/>
    <s v="CQ2B12-10T"/>
    <s v="MYR"/>
    <n v="42.42"/>
    <s v="ea"/>
    <n v="1"/>
    <n v="0.06"/>
  </r>
  <r>
    <x v="2557"/>
    <s v="CYLINDER-LINEAR DE 012 0005"/>
    <s v="SMC"/>
    <s v="CQ2B12-5D"/>
    <s v="MYR"/>
    <n v="26.65"/>
    <s v="ea"/>
    <n v="1"/>
    <n v="0.06"/>
  </r>
  <r>
    <x v="2558"/>
    <s v="CYLINDER DOUBLE ACTING"/>
    <s v="SMC"/>
    <s v="CQ2B12-5DC"/>
    <s v="MYR"/>
    <n v="39.81"/>
    <s v="ea"/>
    <n v="1"/>
    <n v="0.06"/>
  </r>
  <r>
    <x v="2559"/>
    <s v="CYLINDER SINGLE  ACTING"/>
    <s v="SMC"/>
    <s v="CQ2B12-5S"/>
    <s v="MYR"/>
    <n v="28.47"/>
    <s v="ea"/>
    <n v="1"/>
    <n v="0.06"/>
  </r>
  <r>
    <x v="2560"/>
    <s v="CYLINDER-LINEAR DE 016 0005"/>
    <s v="SMC"/>
    <s v="CQ2B16-5D"/>
    <s v="MYR"/>
    <n v="29.87"/>
    <s v="ea"/>
    <n v="1"/>
    <n v="0.06"/>
  </r>
  <r>
    <x v="2561"/>
    <s v="cylinder"/>
    <s v="SMC"/>
    <s v="CQ2B20-10S"/>
    <s v="MYR"/>
    <n v="37.69"/>
    <s v="ea"/>
    <n v="1"/>
    <n v="0.06"/>
  </r>
  <r>
    <x v="2562"/>
    <s v="CYLINDER,20MM BS, 40MM STROKE"/>
    <s v="SMC"/>
    <s v="CQ2B20-40DM"/>
    <s v="MYR"/>
    <n v="82.18"/>
    <s v="ea"/>
    <n v="1"/>
    <n v="0.06"/>
  </r>
  <r>
    <x v="2563"/>
    <s v="CYLINDER"/>
    <s v="SMC"/>
    <s v="CQ2B25-10D"/>
    <s v="MYR"/>
    <n v="60.9"/>
    <s v="ea"/>
    <n v="1"/>
    <n v="0.06"/>
  </r>
  <r>
    <x v="2564"/>
    <s v="CYLINDER-LINEAR DE 025 0015"/>
    <s v="SMC"/>
    <s v="CQ2B25-15D"/>
    <s v="MYR"/>
    <n v="72.02"/>
    <s v="ea"/>
    <n v="1"/>
    <n v="0.06"/>
  </r>
  <r>
    <x v="2565"/>
    <s v="CYLINDER-LINEAR SE 032 0010"/>
    <s v="SMC"/>
    <s v="CQ2B32-10TZ"/>
    <s v="MYR"/>
    <n v="58.25"/>
    <s v="ea"/>
    <n v="1"/>
    <n v="0.06"/>
  </r>
  <r>
    <x v="2566"/>
    <s v="CYLINDER,32MMBS,40MM STROKE"/>
    <s v="SMC"/>
    <s v="CQ2B32-40DZ"/>
    <s v="MYR"/>
    <n v="101.03"/>
    <s v="ea"/>
    <n v="1"/>
    <n v="0.06"/>
  </r>
  <r>
    <x v="2567"/>
    <s v="COMPACT CYLINDER"/>
    <s v="SMC"/>
    <s v="CQ2KA50-100DZ"/>
    <s v="MYR"/>
    <n v="205.72"/>
    <s v="ea"/>
    <n v="1"/>
    <n v="0.06"/>
  </r>
  <r>
    <x v="2568"/>
    <s v="double clevis pivot bracket"/>
    <s v="SMC"/>
    <s v="CQ-C016"/>
    <s v="MYR"/>
    <n v="36.859999999999992"/>
    <s v="ea"/>
    <n v="1"/>
    <n v="0.06"/>
  </r>
  <r>
    <x v="2569"/>
    <s v="Cylinder"/>
    <s v="SMC"/>
    <s v="CQSB16-10S"/>
    <s v="MYR"/>
    <n v="41.62"/>
    <s v="ea"/>
    <n v="1"/>
    <n v="0.06"/>
  </r>
  <r>
    <x v="2570"/>
    <s v="CYLINDER-LINEAR DE 025 0015"/>
    <s v="SMC"/>
    <s v="CQSB25-15D"/>
    <s v="MYR"/>
    <n v="76.680000000000007"/>
    <s v="ea"/>
    <n v="1"/>
    <n v="0.06"/>
  </r>
  <r>
    <x v="2571"/>
    <s v="double clevis"/>
    <s v="SMC"/>
    <s v="CQS-D016"/>
    <s v="MYR"/>
    <n v="20.43"/>
    <s v="ea"/>
    <n v="1"/>
    <n v="0.06"/>
  </r>
  <r>
    <x v="2572"/>
    <s v="CYLINDER DOUBLE ACTING"/>
    <s v="SMC"/>
    <s v="CQSXB12-5D"/>
    <s v="MYR"/>
    <n v="62.19"/>
    <s v="ea"/>
    <n v="1"/>
    <n v="0.06"/>
  </r>
  <r>
    <x v="2573"/>
    <s v="CYLINDER DOUBLE ACTING"/>
    <s v="SMC"/>
    <s v="CQUB25-20"/>
    <s v="MYR"/>
    <n v="144.34"/>
    <s v="ea"/>
    <n v="1"/>
    <n v="0.06"/>
  </r>
  <r>
    <x v="2574"/>
    <s v="Rotary cylinder"/>
    <s v="SMC"/>
    <s v="CRB2BS40-180SZ"/>
    <s v="MYR"/>
    <n v="317.3"/>
    <s v="ea"/>
    <n v="1"/>
    <n v="0.06"/>
  </r>
  <r>
    <x v="2575"/>
    <s v="Cylinder"/>
    <s v="SMC"/>
    <s v="CRB2BT40-270SZ-XA34A51    "/>
    <s v="MYR"/>
    <n v="494.58"/>
    <s v="ea"/>
    <n v="1"/>
    <n v="0.06"/>
  </r>
  <r>
    <x v="2576"/>
    <s v="CYLINDER-ROTARY DE 010 180"/>
    <s v="SMC"/>
    <s v="CRB2BW10-180SZ"/>
    <s v="MYR"/>
    <n v="198.5"/>
    <s v="ea"/>
    <n v="1"/>
    <n v="0.06"/>
  </r>
  <r>
    <x v="2577"/>
    <s v="CYLINDER-ROTARY DE 010 180"/>
    <s v="SMC"/>
    <s v="CRB2BW10-180SZ"/>
    <s v="MYR"/>
    <n v="198.5"/>
    <s v="ea"/>
    <n v="1"/>
    <n v="0.06"/>
  </r>
  <r>
    <x v="2578"/>
    <s v="ROTARY DRIVE"/>
    <s v="SMC"/>
    <s v="CRB2BW10-270SZ"/>
    <s v="MYR"/>
    <n v="244.7"/>
    <s v="ea"/>
    <n v="1"/>
    <n v="0.06"/>
  </r>
  <r>
    <x v="2579"/>
    <s v="CYLINDER-ROTARY DE 010 090"/>
    <s v="SMC"/>
    <s v="CRB2BW10-90SZ"/>
    <s v="MYR"/>
    <n v="229.77"/>
    <s v="ea"/>
    <n v="1"/>
    <n v="0.06"/>
  </r>
  <r>
    <x v="2580"/>
    <s v="CYLINDER-ROTARY DE 020 180"/>
    <s v="SMC"/>
    <s v="CRB2BW20-180SZ"/>
    <s v="MYR"/>
    <n v="191.32"/>
    <s v="ea"/>
    <n v="1"/>
    <n v="0.06"/>
  </r>
  <r>
    <x v="2581"/>
    <s v="CYLINDER-ROTARY DE 020 270DEG"/>
    <s v="SMC"/>
    <s v="CRB2BW20-270SZ"/>
    <s v="MYR"/>
    <n v="229.77"/>
    <s v="ea"/>
    <n v="1"/>
    <n v="0.06"/>
  </r>
  <r>
    <x v="2582"/>
    <s v="ROTARY DRIVE"/>
    <s v="SMC"/>
    <s v="CRB2BW20-90SZ"/>
    <s v="MYR"/>
    <n v="252.2"/>
    <s v="ea"/>
    <n v="1"/>
    <n v="0.06"/>
  </r>
  <r>
    <x v="2583"/>
    <s v="MINI ROTARY ACTUATOR, 180 DEG"/>
    <s v="SMC"/>
    <s v="CRJU1-180"/>
    <s v="MYR"/>
    <n v="350.41"/>
    <s v="ea"/>
    <n v="1"/>
    <n v="0.06"/>
  </r>
  <r>
    <x v="2584"/>
    <s v="ROTARY ACTUATOR,90DEG 10MM B"/>
    <s v="SMC"/>
    <s v="CRQ2BS15-180"/>
    <s v="MYR"/>
    <n v="317.44"/>
    <s v="ea"/>
    <n v="1"/>
    <n v="0.06"/>
  </r>
  <r>
    <x v="2585"/>
    <s v="ROTARY ACTUATOR,90DEG 10MM B"/>
    <s v="SMC"/>
    <s v="CRQ2BS15-90"/>
    <s v="MYR"/>
    <n v="313.79000000000002"/>
    <s v="ea"/>
    <n v="1"/>
    <n v="0.06"/>
  </r>
  <r>
    <x v="2586"/>
    <s v="Trunnion pin"/>
    <s v="SMC"/>
    <s v="CT-P010"/>
    <s v="MYR"/>
    <n v="3.56"/>
    <s v="ea"/>
    <n v="1"/>
    <n v="0.06"/>
  </r>
  <r>
    <x v="2587"/>
    <s v="Cylinder"/>
    <s v="SMC"/>
    <s v="CU16-15T"/>
    <s v="MYR"/>
    <n v="73.78"/>
    <s v="ea"/>
    <n v="1"/>
    <n v="0.06"/>
  </r>
  <r>
    <x v="2588"/>
    <s v="CYLINDER, 30MM STROKE"/>
    <s v="SMC"/>
    <s v="CU16-30D"/>
    <s v="MYR"/>
    <n v="82.02"/>
    <s v="ea"/>
    <n v="1"/>
    <n v="0.06"/>
  </r>
  <r>
    <x v="2589"/>
    <s v="Cylinder"/>
    <s v="SMC"/>
    <s v="CUJ B 6- 6 SM    "/>
    <s v="MYR"/>
    <n v="44.57"/>
    <s v="ea"/>
    <n v="1"/>
    <n v="0.06"/>
  </r>
  <r>
    <x v="2590"/>
    <s v="Cylinder"/>
    <s v="SMC"/>
    <s v="CUJB 10-6S"/>
    <s v="MYR"/>
    <n v="47.05"/>
    <s v="ea"/>
    <n v="1"/>
    <n v="0.06"/>
  </r>
  <r>
    <x v="2591"/>
    <s v="AIR CYLINDER,10X10MM,SR"/>
    <s v="SMC"/>
    <s v="CUJB10-10S"/>
    <s v="MYR"/>
    <n v="65.599999999999994"/>
    <s v="ea"/>
    <n v="1"/>
    <n v="0.06"/>
  </r>
  <r>
    <x v="2592"/>
    <s v="Cylinder"/>
    <s v="SMC"/>
    <s v="CUJB10-30D"/>
    <s v="MYR"/>
    <n v="53.6"/>
    <s v="ea"/>
    <n v="1"/>
    <n v="0.06"/>
  </r>
  <r>
    <x v="2593"/>
    <s v="Pneumatic-cylinder"/>
    <s v="SMC"/>
    <s v="CUJB-10-8-D"/>
    <s v="MYR"/>
    <n v="45.97"/>
    <s v="ea"/>
    <n v="1"/>
    <n v="0.06"/>
  </r>
  <r>
    <x v="2594"/>
    <s v="MINIATURCYLINDER"/>
    <s v="SMC"/>
    <s v="CUJB16-10SM    "/>
    <s v="MYR"/>
    <n v="76.099999999999994"/>
    <s v="ea"/>
    <n v="1"/>
    <n v="0.06"/>
  </r>
  <r>
    <x v="2595"/>
    <s v="Cylinder"/>
    <s v="SMC"/>
    <s v="CUJB4-4S"/>
    <s v="MYR"/>
    <n v="48.05"/>
    <s v="ea"/>
    <n v="1"/>
    <n v="0.06"/>
  </r>
  <r>
    <x v="2596"/>
    <s v="Cylinder"/>
    <s v="SMC"/>
    <s v="CUJB4-4SM"/>
    <s v="MYR"/>
    <n v="51.66"/>
    <s v="ea"/>
    <n v="1"/>
    <n v="0.06"/>
  </r>
  <r>
    <x v="2597"/>
    <s v="Cylinder"/>
    <s v="SMC"/>
    <s v="CUJB4-6DM"/>
    <s v="MYR"/>
    <n v="59.02"/>
    <s v="ea"/>
    <n v="1"/>
    <n v="0.06"/>
  </r>
  <r>
    <x v="2598"/>
    <s v="cylinder"/>
    <s v="SMC"/>
    <s v="CUJB6-10DM"/>
    <s v="MYR"/>
    <n v="63.13"/>
    <s v="ea"/>
    <n v="1"/>
    <n v="0.06"/>
  </r>
  <r>
    <x v="2599"/>
    <s v="CYL  6MM BORE X 15MM STROKE"/>
    <s v="SMC"/>
    <s v="CUJB6-15DM"/>
    <s v="MYR"/>
    <n v="56.23"/>
    <s v="ea"/>
    <n v="1"/>
    <n v="0.06"/>
  </r>
  <r>
    <x v="2600"/>
    <s v="Cylinder"/>
    <s v="SMC"/>
    <s v="CUJB6-4D"/>
    <s v="MYR"/>
    <n v="44.13"/>
    <s v="ea"/>
    <n v="1"/>
    <n v="0.06"/>
  </r>
  <r>
    <x v="2601"/>
    <s v="Cylinder"/>
    <s v="SMC"/>
    <s v="CUJB6-4DM"/>
    <s v="MYR"/>
    <n v="45.62"/>
    <s v="ea"/>
    <n v="1"/>
    <n v="0.06"/>
  </r>
  <r>
    <x v="2602"/>
    <s v="Cylinder"/>
    <s v="SMC"/>
    <s v="CUJB6-4S"/>
    <s v="MYR"/>
    <n v="44.13"/>
    <s v="ea"/>
    <n v="1"/>
    <n v="0.06"/>
  </r>
  <r>
    <x v="2603"/>
    <s v="Cylinder"/>
    <s v="SMC"/>
    <s v="CUJB6-4SM"/>
    <s v="MYR"/>
    <n v="45.52"/>
    <s v="ea"/>
    <n v="1"/>
    <n v="0.06"/>
  </r>
  <r>
    <x v="2604"/>
    <s v="Cylinder"/>
    <s v="SMC"/>
    <s v="CUJB6-6D"/>
    <s v="MYR"/>
    <n v="44.13"/>
    <s v="ea"/>
    <n v="1"/>
    <n v="0.06"/>
  </r>
  <r>
    <x v="2605"/>
    <s v="Pneumatic Cylinder"/>
    <s v="SMC"/>
    <s v="CUJB6-6DM"/>
    <s v="MYR"/>
    <n v="48.76"/>
    <s v="ea"/>
    <n v="1"/>
    <n v="0.06"/>
  </r>
  <r>
    <x v="2606"/>
    <s v="Cylinder"/>
    <s v="SMC"/>
    <s v="CUJB6-6S"/>
    <s v="MYR"/>
    <n v="44.13"/>
    <s v="ea"/>
    <n v="1"/>
    <n v="0.06"/>
  </r>
  <r>
    <x v="2607"/>
    <s v="Cylinder"/>
    <s v="SMC"/>
    <s v="CUJB6-6SM"/>
    <s v="MYR"/>
    <n v="45.52"/>
    <s v="ea"/>
    <n v="1"/>
    <n v="0.06"/>
  </r>
  <r>
    <x v="2608"/>
    <s v="Cylinder"/>
    <s v="SMC"/>
    <s v="CUJB6-8DM"/>
    <s v="MYR"/>
    <n v="45.52"/>
    <s v="ea"/>
    <n v="1"/>
    <n v="0.06"/>
  </r>
  <r>
    <x v="2609"/>
    <s v="Cylinder  CUJB6-8SM"/>
    <s v="SMC"/>
    <s v="CUJB6-8SM    "/>
    <s v="MYR"/>
    <n v="44.99"/>
    <s v="ea"/>
    <n v="1"/>
    <n v="0.06"/>
  </r>
  <r>
    <x v="2610"/>
    <s v="CYL,10MM STROKE X 8MM BORE"/>
    <s v="SMC"/>
    <s v="CUJB8-10S"/>
    <s v="MYR"/>
    <n v="44.63"/>
    <s v="ea"/>
    <n v="1"/>
    <n v="0.06"/>
  </r>
  <r>
    <x v="2611"/>
    <s v="Pneumatic Cylinder"/>
    <s v="SMC"/>
    <s v="CUJB8-20D"/>
    <s v="MYR"/>
    <n v="46.23"/>
    <s v="ea"/>
    <n v="1"/>
    <n v="0.06"/>
  </r>
  <r>
    <x v="2612"/>
    <s v="CYLINDER-AIR-8X4MM DBL ACTING"/>
    <s v="SMC"/>
    <s v="CUJB8-4DM"/>
    <s v="MYR"/>
    <n v="60"/>
    <s v="ea"/>
    <n v="1"/>
    <n v="0.06"/>
  </r>
  <r>
    <x v="2613"/>
    <s v="Cylinder"/>
    <s v="SMC"/>
    <s v="CUJB8-4S"/>
    <s v="MYR"/>
    <n v="47.06"/>
    <s v="ea"/>
    <n v="1"/>
    <n v="0.06"/>
  </r>
  <r>
    <x v="2614"/>
    <s v="Cylinder"/>
    <s v="SMC"/>
    <s v="CUJB8-6S"/>
    <s v="MYR"/>
    <n v="46.94"/>
    <s v="ea"/>
    <n v="1"/>
    <n v="0.06"/>
  </r>
  <r>
    <x v="2615"/>
    <s v="Dual Rod Cylinder"/>
    <s v="SMC"/>
    <s v="CXSJL10-10"/>
    <s v="MYR"/>
    <n v="265.10000000000002"/>
    <s v="ea"/>
    <n v="1"/>
    <n v="0.06"/>
  </r>
  <r>
    <x v="2616"/>
    <s v="Cylinder"/>
    <s v="SMC"/>
    <s v="CXSJL10P-40"/>
    <s v="MYR"/>
    <n v="538.46"/>
    <s v="ea"/>
    <n v="1"/>
    <n v="0.06"/>
  </r>
  <r>
    <x v="2617"/>
    <s v="CYLINDER,DUAL ROD,10MMX10MM"/>
    <s v="SMC"/>
    <s v="CXSJM10-10"/>
    <s v="MYR"/>
    <n v="146.48999999999998"/>
    <s v="ea"/>
    <n v="1"/>
    <n v="0.06"/>
  </r>
  <r>
    <x v="2618"/>
    <s v="CYL, 6MM BORE, 10MM STROKE"/>
    <s v="SMC"/>
    <s v="CXSJM6-10"/>
    <s v="MYR"/>
    <n v="150.38999999999999"/>
    <s v="ea"/>
    <n v="1"/>
    <n v="0.06"/>
  </r>
  <r>
    <x v="2619"/>
    <s v="CYLINDER-LINEAR BI-ROD C=10 2 SENSOR"/>
    <s v="SMC"/>
    <s v="CXSJM6-10-M9P"/>
    <s v="MYR"/>
    <n v="239.87"/>
    <s v="ea"/>
    <n v="1"/>
    <n v="0.06"/>
  </r>
  <r>
    <x v="2620"/>
    <s v="CYLINDER-LINEAR DE 006 0050"/>
    <s v="SMC"/>
    <s v="CXSJM6P-50"/>
    <s v="MYR"/>
    <n v="157.76"/>
    <s v="ea"/>
    <n v="1"/>
    <n v="0.06"/>
  </r>
  <r>
    <x v="2621"/>
    <s v="CYLINDER DUAL-ROD D=10 STROKE 30"/>
    <s v="SMC"/>
    <s v="CXSL10M-30"/>
    <s v="MYR"/>
    <n v="423.84"/>
    <s v="ea"/>
    <n v="1"/>
    <n v="0.06"/>
  </r>
  <r>
    <x v="2622"/>
    <s v="CYLINDER-LINEAR DE 010 0020"/>
    <s v="SMC"/>
    <s v="CXSM10-20"/>
    <s v="MYR"/>
    <n v="139.34"/>
    <s v="ea"/>
    <n v="1"/>
    <n v="0.06"/>
  </r>
  <r>
    <x v="2623"/>
    <s v="TWIN ROD CYLINDER"/>
    <s v="SMC"/>
    <s v="CXSM10-35"/>
    <s v="MYR"/>
    <n v="151.04"/>
    <s v="ea"/>
    <n v="1"/>
    <n v="0.06"/>
  </r>
  <r>
    <x v="2624"/>
    <s v="CYLINDER-LINEAR DE 015 0010"/>
    <s v="SMC"/>
    <s v="CXSM15-10"/>
    <s v="MYR"/>
    <n v="197.07"/>
    <s v="ea"/>
    <n v="1"/>
    <n v="0.06"/>
  </r>
  <r>
    <x v="2625"/>
    <s v="CYLINDER-LINEAR DE 015 0030"/>
    <s v="SMC"/>
    <s v="CXSM15-30"/>
    <s v="MYR"/>
    <n v="219.28"/>
    <s v="ea"/>
    <n v="1"/>
    <n v="0.06"/>
  </r>
  <r>
    <x v="2626"/>
    <s v="CYLINDER-LINEAR DE 020 0100"/>
    <s v="SMC"/>
    <s v="CXSM20-100"/>
    <s v="MYR"/>
    <n v="345.04"/>
    <s v="ea"/>
    <n v="1"/>
    <n v="0.06"/>
  </r>
  <r>
    <x v="2627"/>
    <s v="CYLINDER-LINEAR DE 006 0010"/>
    <s v="SMC"/>
    <s v="CXSM6-10"/>
    <s v="MYR"/>
    <n v="119.14"/>
    <s v="ea"/>
    <n v="1"/>
    <n v="0.06"/>
  </r>
  <r>
    <x v="2628"/>
    <s v="CYLINDER-LINEAR DE 006 0020"/>
    <s v="SMC"/>
    <s v="CXSM6-20"/>
    <s v="MYR"/>
    <n v="166.53"/>
    <s v="ea"/>
    <n v="1"/>
    <n v="0.06"/>
  </r>
  <r>
    <x v="2629"/>
    <s v="CYLINDER-LINEAR DE 006 0030"/>
    <s v="SMC"/>
    <s v="CXSM6-30"/>
    <s v="MYR"/>
    <n v="129.68"/>
    <s v="ea"/>
    <n v="1"/>
    <n v="0.06"/>
  </r>
  <r>
    <x v="2630"/>
    <s v="Pneumatic cylinder"/>
    <s v="SMC"/>
    <s v="CY1S15-100Z/ CY1SG15-100Z"/>
    <s v="MYR"/>
    <n v="730.74"/>
    <s v="ea"/>
    <n v="1"/>
    <n v="0.06"/>
  </r>
  <r>
    <x v="2631"/>
    <s v="CYLINDER,RODLESS,15MM X 400MM"/>
    <s v="SMC"/>
    <s v="CY3B15-400"/>
    <s v="MYR"/>
    <n v="445.6"/>
    <s v="ea"/>
    <n v="1"/>
    <n v="0.06"/>
  </r>
  <r>
    <x v="2632"/>
    <s v="CYLINDER-LINEAR DE 015 0450 WITHOUT ROD"/>
    <s v="SMC"/>
    <s v="CY3R15-450"/>
    <s v="MYR"/>
    <n v="352.49"/>
    <s v="ea"/>
    <n v="1"/>
    <n v="0.06"/>
  </r>
  <r>
    <x v="2633"/>
    <s v="Reed Switch"/>
    <s v="SMC"/>
    <s v="D -M9PL    "/>
    <s v="MYR"/>
    <n v="51.33"/>
    <s v="ea"/>
    <n v="1"/>
    <n v="0.06"/>
  </r>
  <r>
    <x v="2634"/>
    <s v="SENSOR-REED + WIRE NOYE"/>
    <s v="SMC"/>
    <s v="D-90L"/>
    <s v="MYR"/>
    <n v="25.51"/>
    <s v="ea"/>
    <n v="1"/>
    <n v="0.06"/>
  </r>
  <r>
    <x v="2635"/>
    <s v="REED-SWITCH-DIRECT-MOUNT"/>
    <s v="SMC"/>
    <s v="D-93AL"/>
    <s v="MYR"/>
    <n v="37.18"/>
    <s v="ea"/>
    <n v="1"/>
    <n v="0.06"/>
  </r>
  <r>
    <x v="2636"/>
    <s v="Reed Switch"/>
    <s v="SMC"/>
    <s v="D-A73L"/>
    <s v="MYR"/>
    <n v="37.840000000000003"/>
    <s v="ea"/>
    <n v="1"/>
    <n v="0.06"/>
  </r>
  <r>
    <x v="2637"/>
    <s v="REED SWITCH D-A93"/>
    <s v="SMC"/>
    <s v="D-A93"/>
    <s v="MYR"/>
    <n v="34.21"/>
    <s v="ea"/>
    <n v="1"/>
    <n v="0.06"/>
  </r>
  <r>
    <x v="2638"/>
    <s v="PROXIMITY SWITCH"/>
    <s v="SMC"/>
    <s v="D-A93L"/>
    <s v="MYR"/>
    <n v="30.44"/>
    <s v="ea"/>
    <n v="1"/>
    <n v="0.06"/>
  </r>
  <r>
    <x v="2639"/>
    <s v="SENSOR-REED + WIRE NOYE"/>
    <s v="SMC"/>
    <s v="D-A93V"/>
    <s v="MYR"/>
    <n v="36.82"/>
    <s v="ea"/>
    <n v="1"/>
    <n v="0.06"/>
  </r>
  <r>
    <x v="2640"/>
    <s v="SWITCH,AUTO-SOLID_STATE"/>
    <s v="SMC"/>
    <s v="D-F79L"/>
    <s v="MYR"/>
    <n v="78.34"/>
    <s v="ea"/>
    <n v="1"/>
    <n v="0.06"/>
  </r>
  <r>
    <x v="2641"/>
    <s v="SENSOR-INDUCTIVE + WIRE NOYE"/>
    <s v="SMC"/>
    <s v="D-F7PL"/>
    <s v="MYR"/>
    <n v="59.99"/>
    <s v="ea"/>
    <n v="1"/>
    <n v="0.06"/>
  </r>
  <r>
    <x v="2642"/>
    <s v="SWITCH,AUTO,AIR CYLINDER,F8N"/>
    <s v="SMC"/>
    <s v="D-F8N"/>
    <s v="MYR"/>
    <n v="90.78"/>
    <s v="ea"/>
    <n v="1"/>
    <n v="0.06"/>
  </r>
  <r>
    <x v="2643"/>
    <s v="Reed Switch"/>
    <s v="SMC"/>
    <s v="D-F8N L"/>
    <s v="MYR"/>
    <n v="85.42"/>
    <s v="ea"/>
    <n v="1"/>
    <n v="0.06"/>
  </r>
  <r>
    <x v="2644"/>
    <s v="SS SWITCH,24VDC NPN,3WIRES"/>
    <s v="SMC"/>
    <s v="D-F8NL"/>
    <s v="MYR"/>
    <n v="85.42"/>
    <s v="ea"/>
    <n v="1"/>
    <n v="0.06"/>
  </r>
  <r>
    <x v="2645"/>
    <s v="SIGNALLER"/>
    <s v="SMC"/>
    <s v="D-F8NL"/>
    <s v="MYR"/>
    <n v="85.42"/>
    <s v="ea"/>
    <n v="1"/>
    <n v="0.06"/>
  </r>
  <r>
    <x v="2646"/>
    <s v="AUTO SWITCH, GENERAL PURPOSE"/>
    <s v="SMC"/>
    <s v="D-F8P"/>
    <s v="MYR"/>
    <n v="83.08"/>
    <s v="ea"/>
    <n v="1"/>
    <n v="0.06"/>
  </r>
  <r>
    <x v="2647"/>
    <s v="AUTO SWITCH SENSOR D-F8PL"/>
    <s v="SMC"/>
    <s v="D-F8PL"/>
    <s v="MYR"/>
    <n v="66.64"/>
    <s v="ea"/>
    <n v="1"/>
    <n v="0.06"/>
  </r>
  <r>
    <x v="2648"/>
    <s v="REED SWITCH"/>
    <s v="SMC"/>
    <s v="D-F8PL    "/>
    <s v="MYR"/>
    <n v="66.64"/>
    <s v="ea"/>
    <n v="1"/>
    <n v="0.06"/>
  </r>
  <r>
    <x v="2649"/>
    <s v="SENSOR-INDUCTIVE-WIRE-NOYE D-F9P"/>
    <s v="SMC"/>
    <s v="D-F9P"/>
    <s v="MYR"/>
    <n v="61.96"/>
    <s v="ea"/>
    <n v="1"/>
    <n v="0.06"/>
  </r>
  <r>
    <x v="2650"/>
    <s v="SWITCH, AUTO, SOLID STATE"/>
    <s v="SMC"/>
    <s v="D-H7A1"/>
    <s v="MYR"/>
    <n v="88.87"/>
    <s v="ea"/>
    <n v="1"/>
    <n v="0.06"/>
  </r>
  <r>
    <x v="2651"/>
    <s v="SENSOR-INDUCTIVE WITH CONNECTOR"/>
    <s v="SMC"/>
    <s v="D-H7CN"/>
    <s v="MYR"/>
    <n v="76.540000000000006"/>
    <s v="ea"/>
    <n v="1"/>
    <n v="0.06"/>
  </r>
  <r>
    <x v="2652"/>
    <s v="MULTI TUBE CONNECTOR 4MM TUBE"/>
    <s v="SMC"/>
    <s v="DM12-04NU"/>
    <s v="MYR"/>
    <n v="110.18"/>
    <s v="ea"/>
    <n v="1"/>
    <n v="0.06"/>
  </r>
  <r>
    <x v="2653"/>
    <s v="SENSOR-PROXIMITY 2 WIRES"/>
    <s v="SMC"/>
    <s v="D-M9B"/>
    <s v="MYR"/>
    <n v="66.790000000000006"/>
    <s v="ea"/>
    <n v="1"/>
    <n v="0.06"/>
  </r>
  <r>
    <x v="2654"/>
    <s v="AUTO SWITCH, GENERAL PURPOSE"/>
    <s v="SMC"/>
    <s v="D-M9BVL"/>
    <s v="MYR"/>
    <n v="63.62"/>
    <s v="ea"/>
    <n v="1"/>
    <n v="0.06"/>
  </r>
  <r>
    <x v="2655"/>
    <s v="SOLID STAGE AUTO SWITCH"/>
    <s v="SMC"/>
    <s v="D-M9BWV"/>
    <s v="MYR"/>
    <n v="86.93"/>
    <s v="ea"/>
    <n v="1"/>
    <n v="0.06"/>
  </r>
  <r>
    <x v="2656"/>
    <s v="PROXIMITY SWITCH"/>
    <s v="SMC"/>
    <s v="D-M9NL"/>
    <s v="MYR"/>
    <n v="41.74"/>
    <s v="ea"/>
    <n v="1"/>
    <n v="0.06"/>
  </r>
  <r>
    <x v="2657"/>
    <s v="SENSOR-INDUCTIVE + WIRE NOYE"/>
    <s v="SMC"/>
    <s v="D-M9P"/>
    <s v="MYR"/>
    <n v="71.78"/>
    <s v="ea"/>
    <n v="1"/>
    <n v="0.06"/>
  </r>
  <r>
    <x v="2658"/>
    <s v="SENSOR-INDUCTIVE + WIRE NOYE"/>
    <s v="SMC"/>
    <s v="D-M9PL (52.92) + BJ3-1(6.66)"/>
    <s v="MYR"/>
    <n v="57.8"/>
    <s v="ea"/>
    <n v="1"/>
    <n v="0.06"/>
  </r>
  <r>
    <x v="2659"/>
    <s v="SENSOR"/>
    <s v="SMC"/>
    <s v="D-M9PWM"/>
    <s v="MYR"/>
    <n v="62.08"/>
    <s v="ea"/>
    <n v="1"/>
    <n v="0.06"/>
  </r>
  <r>
    <x v="2660"/>
    <s v="Pneumatic Interface (DMK6-23-C2)"/>
    <s v="SMC"/>
    <s v="DMK6-23-C2"/>
    <s v="MYR"/>
    <n v="137.72"/>
    <s v="ea"/>
    <n v="1"/>
    <n v="0.06"/>
  </r>
  <r>
    <x v="2661"/>
    <s v="SENSOR-REED + WIRE NOYE"/>
    <s v="SMC"/>
    <s v="D-R731L"/>
    <s v="MYR"/>
    <n v="56.14"/>
    <s v="ea"/>
    <n v="1"/>
    <n v="0.06"/>
  </r>
  <r>
    <x v="2662"/>
    <s v="SENSOR-REED + WIRE NOYE"/>
    <s v="SMC"/>
    <s v="D-R732L"/>
    <s v="MYR"/>
    <n v="53.33"/>
    <s v="ea"/>
    <n v="1"/>
    <n v="0.06"/>
  </r>
  <r>
    <x v="2663"/>
    <s v="SIGNALLER"/>
    <s v="SMC"/>
    <s v="D-S791L"/>
    <s v="MYR"/>
    <n v="88.76"/>
    <s v="ea"/>
    <n v="1"/>
    <n v="0.06"/>
  </r>
  <r>
    <x v="2664"/>
    <s v="SIGNALLER"/>
    <s v="SMC"/>
    <s v="D-S792L"/>
    <s v="MYR"/>
    <n v="73.349999999999994"/>
    <s v="ea"/>
    <n v="1"/>
    <n v="0.06"/>
  </r>
  <r>
    <x v="2665"/>
    <s v="Pneumatic Booster big"/>
    <s v="SMC"/>
    <s v="DVE20-40 A/N-59"/>
    <s v="MYR"/>
    <n v="8466.69"/>
    <s v="ea"/>
    <n v="1"/>
    <n v="0.06"/>
  </r>
  <r>
    <x v="2666"/>
    <s v="Cable with Plug"/>
    <s v="SMC"/>
    <s v="DXT 170-80-4A-20    "/>
    <s v="MYR"/>
    <n v="21.83"/>
    <s v="ea"/>
    <n v="1"/>
    <n v="0.06"/>
  </r>
  <r>
    <x v="2667"/>
    <s v="CONNECTOR VALVE VZ110/VZ1120"/>
    <s v="SMC"/>
    <s v="DXT170-123-A-20"/>
    <s v="MYR"/>
    <n v="16.760000000000002"/>
    <s v="ea"/>
    <n v="1"/>
    <n v="0.06"/>
  </r>
  <r>
    <x v="2668"/>
    <s v="CONNECTOR VALVE VZ110/1120"/>
    <s v="SMC"/>
    <s v="DXT170-123-A-6"/>
    <s v="MYR"/>
    <n v="7.43"/>
    <s v="ea"/>
    <n v="1"/>
    <n v="0.06"/>
  </r>
  <r>
    <x v="2669"/>
    <s v="Cable with Plug"/>
    <s v="SMC"/>
    <s v="DXT170-80-4A-10"/>
    <s v="MYR"/>
    <n v="12.43"/>
    <s v="ea"/>
    <n v="1"/>
    <n v="0.06"/>
  </r>
  <r>
    <x v="2670"/>
    <s v="CONNECTOR VALVE VZ110/1120"/>
    <s v="SMC"/>
    <s v="DXT170-80-4A-6"/>
    <s v="MYR"/>
    <n v="14.95"/>
    <s v="ea"/>
    <n v="1"/>
    <n v="0.06"/>
  </r>
  <r>
    <x v="2671"/>
    <s v="SENSOR-INDUCTIVE + WIRE NOYE"/>
    <s v="SMC"/>
    <s v="D-Y59AL"/>
    <s v="MYR"/>
    <n v="83.2"/>
    <s v="ea"/>
    <n v="1"/>
    <n v="0.06"/>
  </r>
  <r>
    <x v="2672"/>
    <s v="SENSOR-INDUCTIVE + WIRE NOYE"/>
    <s v="SMC"/>
    <s v="D-Y59BL"/>
    <s v="MYR"/>
    <n v="62.24"/>
    <s v="ea"/>
    <n v="1"/>
    <n v="0.06"/>
  </r>
  <r>
    <x v="2673"/>
    <s v="SENSOR-INDUCTIVE + WIRE NOYE"/>
    <s v="SMC"/>
    <s v="D-Y7PL"/>
    <s v="MYR"/>
    <n v="71.81"/>
    <s v="ea"/>
    <n v="1"/>
    <n v="0.06"/>
  </r>
  <r>
    <x v="2674"/>
    <s v="SENSOR-INDUCTIVE + WIRE NOYE 90DEG"/>
    <s v="SMC"/>
    <s v="D-Y7PVL"/>
    <s v="MYR"/>
    <n v="101.43"/>
    <s v="ea"/>
    <n v="1"/>
    <n v="0.06"/>
  </r>
  <r>
    <x v="2675"/>
    <s v="VALVE-NONRETURN EAK4000-F04"/>
    <s v="SMC"/>
    <s v="EAK4000-F04"/>
    <s v="MYR"/>
    <n v="50.99"/>
    <s v="ea"/>
    <n v="1"/>
    <n v="0.06"/>
  </r>
  <r>
    <x v="2676"/>
    <s v="SILENCER-DISC D= 06 T=2"/>
    <s v="SMC"/>
    <s v="EBD-6-2-5"/>
    <s v="MYR"/>
    <n v="1.42"/>
    <s v="ea"/>
    <n v="1"/>
    <n v="0.06"/>
  </r>
  <r>
    <x v="2677"/>
    <s v="CYLINDER-LINEAR DE 032 0015"/>
    <s v="SMC"/>
    <s v="ECDQ2B32-15D"/>
    <s v="MYR"/>
    <n v="134.96"/>
    <s v="ea"/>
    <n v="1"/>
    <n v="0.06"/>
  </r>
  <r>
    <x v="2678"/>
    <s v="CARTRIDGE-FILTER-PNEUMATIC 30 MICRONS"/>
    <s v="SMC"/>
    <s v="EJ101H-030N"/>
    <s v="MYR"/>
    <n v="15.27"/>
    <s v="ea"/>
    <n v="1"/>
    <n v="0.06"/>
  </r>
  <r>
    <x v="2679"/>
    <s v="CYLINDER-LINEAR DE 020 0020"/>
    <s v="SMC"/>
    <s v="EMGQM20-20"/>
    <s v="MYR"/>
    <n v="407.22"/>
    <s v="ea"/>
    <n v="1"/>
    <n v="0.06"/>
  </r>
  <r>
    <x v="2680"/>
    <s v="CYLINDER-LINEAR DE 020 0050"/>
    <s v="SMC"/>
    <s v="EMGQM20-50"/>
    <s v="MYR"/>
    <n v="427.58"/>
    <s v="ea"/>
    <n v="1"/>
    <n v="0.06"/>
  </r>
  <r>
    <x v="2681"/>
    <s v="Cylinder"/>
    <s v="SMC"/>
    <s v="ERSDQB20-15D"/>
    <s v="MYR"/>
    <n v="67.38"/>
    <s v="ea"/>
    <n v="1"/>
    <n v="0.06"/>
  </r>
  <r>
    <x v="2682"/>
    <s v="ELECTROVALVE 3/2 NC"/>
    <s v="SMC"/>
    <s v="EVT317-5DO-02F-Q"/>
    <s v="MYR"/>
    <n v="161.25"/>
    <s v="ea"/>
    <n v="1"/>
    <n v="0.06"/>
  </r>
  <r>
    <x v="2683"/>
    <s v="ELECTROVALVE 3/2 NC"/>
    <s v="SMC"/>
    <s v="EVT317V-5DO-02F-Q"/>
    <s v="MYR"/>
    <n v="166.62"/>
    <s v="ea"/>
    <n v="1"/>
    <n v="0.06"/>
  </r>
  <r>
    <x v="2684"/>
    <s v="Valve"/>
    <s v="SMC"/>
    <s v="EVZ5123-5MOZ-01F"/>
    <s v="MYR"/>
    <n v="134.18"/>
    <s v="ea"/>
    <n v="1"/>
    <n v="0.06"/>
  </r>
  <r>
    <x v="2685"/>
    <s v="Valve"/>
    <s v="SMC"/>
    <s v="EVZ512M-5MOZ-01F"/>
    <s v="MYR"/>
    <n v="138.96"/>
    <s v="ea"/>
    <n v="1"/>
    <n v="0.06"/>
  </r>
  <r>
    <x v="2686"/>
    <s v="Pneumatic Solenoid 3/2-Way"/>
    <s v="SMC"/>
    <s v="EVZ512M-5MOZ-01F-Q    "/>
    <s v="MYR"/>
    <n v="182.21"/>
    <s v="ea"/>
    <n v="1"/>
    <n v="0.06"/>
  </r>
  <r>
    <x v="2687"/>
    <s v="FILTER-PNEUMATIC-VACUUM G1/4-G1/4 200L"/>
    <s v="SMC"/>
    <s v="EZFA200-F02"/>
    <s v="MYR"/>
    <n v="50.53"/>
    <s v="ea"/>
    <n v="1"/>
    <n v="0.06"/>
  </r>
  <r>
    <x v="2688"/>
    <s v="VACUUM GENERATOR EZH05DS060606"/>
    <s v="SMC"/>
    <s v="EZH05DS-06-06-06"/>
    <s v="MYR"/>
    <n v="38.619999999999997"/>
    <s v="ea"/>
    <n v="1"/>
    <n v="0.06"/>
  </r>
  <r>
    <x v="2689"/>
    <s v="VENTURI-WITH-SILENCE-BUSE 1.0MM"/>
    <s v="SMC"/>
    <s v="EZH10BS-06-06"/>
    <s v="MYR"/>
    <n v="61.67"/>
    <s v="ea"/>
    <n v="1"/>
    <n v="0.06"/>
  </r>
  <r>
    <x v="2690"/>
    <s v="VACUUM GENERATOR EZH10DS060608"/>
    <s v="SMC"/>
    <s v="EZH10DS-06-06-08"/>
    <s v="MYR"/>
    <n v="30.55"/>
    <s v="ea"/>
    <n v="1"/>
    <n v="0.06"/>
  </r>
  <r>
    <x v="2691"/>
    <s v="VACUUM GENERATOR SMC"/>
    <s v="SMC"/>
    <s v="EZM051HF-K5LOZ"/>
    <s v="MYR"/>
    <n v="334.23"/>
    <s v="ea"/>
    <n v="1"/>
    <n v="0.06"/>
  </r>
  <r>
    <x v="2692"/>
    <s v="GAUGE-PRESSURE 10BAR G15-10-01"/>
    <s v="SMC"/>
    <s v="G15-10-01"/>
    <s v="MYR"/>
    <n v="28.35"/>
    <s v="ea"/>
    <n v="1"/>
    <n v="0.06"/>
  </r>
  <r>
    <x v="2693"/>
    <s v="GAUGE,0-150PSI,0.6DIA,1/8MPT"/>
    <s v="SMC"/>
    <s v="G15-P10-N01"/>
    <s v="MYR"/>
    <n v="31.729999999999997"/>
    <s v="ea"/>
    <n v="1"/>
    <n v="0.06"/>
  </r>
  <r>
    <x v="2694"/>
    <s v="GAUGE-PRESSURE 10BAR G27-10-R1"/>
    <s v="SMC"/>
    <s v="G27-10-R1"/>
    <s v="MYR"/>
    <n v="17.97"/>
    <s v="ea"/>
    <n v="1"/>
    <n v="0.06"/>
  </r>
  <r>
    <x v="2695"/>
    <s v="PRESSURE GAUGE"/>
    <s v="SMC"/>
    <s v="G27-10-R1"/>
    <s v="MYR"/>
    <n v="17.97"/>
    <s v="ea"/>
    <n v="1"/>
    <n v="0.06"/>
  </r>
  <r>
    <x v="2696"/>
    <s v="GAUGE,R1/8PORT,0-30PSI,30MMOD"/>
    <s v="SMC"/>
    <s v="G33-P2-01-X30"/>
    <s v="MYR"/>
    <n v="33.26"/>
    <s v="ea"/>
    <n v="1"/>
    <n v="0.06"/>
  </r>
  <r>
    <x v="2697"/>
    <s v="PRESSURE GAUGE WITH LIMIT INDICATOR"/>
    <s v="SMC"/>
    <s v="G36-10-01"/>
    <s v="MYR"/>
    <n v="34.909999999999997"/>
    <s v="ea"/>
    <n v="1"/>
    <n v="0.06"/>
  </r>
  <r>
    <x v="2698"/>
    <s v="GAUGE, .2 MPA GP 1/8 NPT 37.5OD"/>
    <s v="SMC"/>
    <s v="G36-2-N01"/>
    <s v="MYR"/>
    <n v="36.479999999999997"/>
    <s v="ea"/>
    <n v="1"/>
    <n v="0.06"/>
  </r>
  <r>
    <x v="2699"/>
    <s v="PRESSURE GAUGE, 150 PSI, 1/8 BSPT"/>
    <s v="SMC"/>
    <s v="G36-P10-01-X30"/>
    <s v="MYR"/>
    <n v="39.28"/>
    <s v="ea"/>
    <n v="1"/>
    <n v="0.06"/>
  </r>
  <r>
    <x v="2700"/>
    <s v="MANOMETER G1/8 0-2BAR"/>
    <s v="SMC"/>
    <s v="G43-2-01"/>
    <s v="MYR"/>
    <n v="24.96"/>
    <s v="ea"/>
    <n v="1"/>
    <n v="0.06"/>
  </r>
  <r>
    <x v="2701"/>
    <s v="GAUGE, .4 MPA GP 1/8 NPT 37.5O"/>
    <s v="SMC"/>
    <s v="GA36-4-N01"/>
    <s v="MYR"/>
    <n v="44.18"/>
    <s v="ea"/>
    <n v="1"/>
    <n v="0.06"/>
  </r>
  <r>
    <x v="2702"/>
    <s v="GAUGE, .7 MPa GP 1/8 NPT 37.5O"/>
    <s v="SMC"/>
    <s v="GA36-7-01"/>
    <s v="MYR"/>
    <n v="44.18"/>
    <s v="ea"/>
    <n v="1"/>
    <n v="0.06"/>
  </r>
  <r>
    <x v="2703"/>
    <s v="Cylinder Clevis"/>
    <s v="SMC"/>
    <s v="GKM4-8"/>
    <s v="MYR"/>
    <n v="4.5599999999999996"/>
    <s v="ea"/>
    <n v="1"/>
    <n v="0.06"/>
  </r>
  <r>
    <x v="2704"/>
    <s v="Cylinder Clevis"/>
    <s v="SMC"/>
    <s v="GKM6-12    "/>
    <s v="MYR"/>
    <n v="3.71"/>
    <s v="ea"/>
    <n v="1"/>
    <n v="0.06"/>
  </r>
  <r>
    <x v="2705"/>
    <s v="Manometer - Vakuum"/>
    <s v="SMC"/>
    <s v="GZ43-K-01"/>
    <s v="MYR"/>
    <n v="30.42"/>
    <s v="ea"/>
    <n v="1"/>
    <n v="0.06"/>
  </r>
  <r>
    <x v="2706"/>
    <s v="FITTTING SELF-ALIGN G3/8M 8"/>
    <s v="SMC"/>
    <s v="H08-03"/>
    <s v="MYR"/>
    <n v="4.0599999999999996"/>
    <s v="ea"/>
    <n v="1"/>
    <n v="0.06"/>
  </r>
  <r>
    <x v="2707"/>
    <s v="FILTER,ELEMENT,6X4 DIA,25MM L"/>
    <s v="SMC"/>
    <s v="I-68S-A"/>
    <s v="MYR"/>
    <n v="38.369999999999997"/>
    <s v="ea"/>
    <n v="1"/>
    <n v="0.06"/>
  </r>
  <r>
    <x v="2708"/>
    <s v="MEMBRANE AIRDRYER"/>
    <s v="SMC"/>
    <s v="IDG20-F03"/>
    <s v="MYR"/>
    <n v="1126.1300000000001"/>
    <s v="ea"/>
    <n v="1"/>
    <n v="0.06"/>
  </r>
  <r>
    <x v="2709"/>
    <s v="FITTING,ONE TCH 6MM-1/4&quot; UNION"/>
    <s v="SMC"/>
    <s v="IN-289-3278"/>
    <s v="MYR"/>
    <n v="25.75"/>
    <s v="ea"/>
    <n v="1"/>
    <n v="0.06"/>
  </r>
  <r>
    <x v="2710"/>
    <s v="RGLTR,PREC.1/8 NPT(.73-29 PSI)"/>
    <s v="SMC"/>
    <s v="IR1000-N01"/>
    <s v="MYR"/>
    <n v="242.32"/>
    <s v="ea"/>
    <n v="1"/>
    <n v="0.06"/>
  </r>
  <r>
    <x v="2711"/>
    <s v="REG,PRECISION,0-30PSI,W/BRKT"/>
    <s v="SMC"/>
    <s v="IR1000-N01B"/>
    <s v="MYR"/>
    <n v="161.93"/>
    <s v="ea"/>
    <n v="1"/>
    <n v="0.06"/>
  </r>
  <r>
    <x v="2712"/>
    <s v="VALVE-PRESSURE REDUCER G1/8  4BARS"/>
    <s v="SMC"/>
    <s v="IR1010-F01"/>
    <s v="MYR"/>
    <n v="101.04"/>
    <s v="ea"/>
    <n v="1"/>
    <n v="0.06"/>
  </r>
  <r>
    <x v="2713"/>
    <s v="Speed controller"/>
    <s v="SMC"/>
    <s v="IR1020-F01"/>
    <s v="MYR"/>
    <n v="123.45"/>
    <s v="ea"/>
    <n v="1"/>
    <n v="0.06"/>
  </r>
  <r>
    <x v="2714"/>
    <s v="REGULATOR,PRECISION 1-120PSI"/>
    <s v="SMC"/>
    <s v="IR1020-N01-B"/>
    <s v="MYR"/>
    <n v="178.36"/>
    <s v="ea"/>
    <n v="1"/>
    <n v="0.06"/>
  </r>
  <r>
    <x v="2715"/>
    <s v="REGULATOR-PRECISION IR2000-02"/>
    <s v="SMC"/>
    <s v="IR2000-02"/>
    <s v="MYR"/>
    <n v="142.31"/>
    <s v="ea"/>
    <n v="1"/>
    <n v="0.06"/>
  </r>
  <r>
    <x v="2716"/>
    <s v="REGULATOR,PRECISION,0-30PSI"/>
    <s v="SMC"/>
    <s v="IR2000-N02B"/>
    <s v="MYR"/>
    <n v="251.32"/>
    <s v="ea"/>
    <n v="1"/>
    <n v="0.06"/>
  </r>
  <r>
    <x v="2717"/>
    <s v="REGULATOR,PRECISION,0-60PSI"/>
    <s v="SMC"/>
    <s v="IR2010-N02B"/>
    <s v="MYR"/>
    <n v="251.66"/>
    <s v="ea"/>
    <n v="1"/>
    <n v="0.06"/>
  </r>
  <r>
    <x v="2718"/>
    <s v="Pressure Regulator (PrecisionRegulator)"/>
    <s v="SMC"/>
    <s v="IR2020-F02"/>
    <s v="MYR"/>
    <n v="176.25"/>
    <s v="ea"/>
    <n v="1"/>
    <n v="0.06"/>
  </r>
  <r>
    <x v="2719"/>
    <s v="REGULATOR,PRECISION PRESSURE G"/>
    <s v="SMC"/>
    <s v="IR2020-N02BG"/>
    <s v="MYR"/>
    <n v="264.14999999999998"/>
    <s v="ea"/>
    <n v="1"/>
    <n v="0.06"/>
  </r>
  <r>
    <x v="2720"/>
    <s v="REGULATOR-VACUUM-140L/MN"/>
    <s v="SMC"/>
    <s v="IRV10-C08BG"/>
    <s v="MYR"/>
    <n v="135.96"/>
    <s v="ea"/>
    <n v="1"/>
    <n v="0.06"/>
  </r>
  <r>
    <x v="2721"/>
    <s v="VACUUM-REGULATOR G1/2"/>
    <s v="SMC"/>
    <s v="IRV20-04BG-X3"/>
    <s v="MYR"/>
    <n v="202.07"/>
    <s v="ea"/>
    <n v="1"/>
    <n v="0.06"/>
  </r>
  <r>
    <x v="2722"/>
    <s v="REGULATOR VACUUM 240L/MN DIAM"/>
    <s v="SMC"/>
    <s v="IRV20-C10BG"/>
    <s v="MYR"/>
    <n v="187.96"/>
    <s v="ea"/>
    <n v="1"/>
    <n v="0.06"/>
  </r>
  <r>
    <x v="2723"/>
    <s v="REGULATOR,VACUUM,1/2&quot;NPT PORTS"/>
    <s v="SMC"/>
    <s v="IRV20-N04B-X3"/>
    <s v="MYR"/>
    <n v="260.20999999999998"/>
    <s v="ea"/>
    <n v="1"/>
    <n v="0.06"/>
  </r>
  <r>
    <x v="2724"/>
    <s v="SWITCH-PRESS. 0.1-0.6BAR S2000 /BASE+L"/>
    <s v="SMC"/>
    <s v="IS1000E-3F02YL-X215"/>
    <s v="MYR"/>
    <n v="138.13"/>
    <s v="ea"/>
    <n v="1"/>
    <n v="0.06"/>
  </r>
  <r>
    <x v="2725"/>
    <s v="SWITCH,PRESSURE .4MPA, LEFT MNT"/>
    <s v="SMC"/>
    <s v="IS10E-4004-R-A"/>
    <s v="MYR"/>
    <n v="144.63999999999999"/>
    <s v="ea"/>
    <n v="1"/>
    <n v="0.06"/>
  </r>
  <r>
    <x v="2726"/>
    <s v="Pressure analyser"/>
    <s v="SMC"/>
    <s v="ISE30-01-65-M    "/>
    <s v="MYR"/>
    <n v="195.7"/>
    <s v="ea"/>
    <n v="1"/>
    <n v="0.06"/>
  </r>
  <r>
    <x v="2727"/>
    <s v="Pressure Sensor (NPN)"/>
    <s v="SMC"/>
    <s v="ISE30A-01-N-L"/>
    <s v="MYR"/>
    <n v="169.53"/>
    <s v="ea"/>
    <n v="1"/>
    <n v="0.06"/>
  </r>
  <r>
    <x v="2728"/>
    <s v="SWITCH-PRESS.-DIGITAL PNP -1 TO 10 BAR"/>
    <s v="SMC"/>
    <s v="ISE30A-01-P"/>
    <s v="MYR"/>
    <n v="103.5"/>
    <s v="ea"/>
    <n v="1"/>
    <n v="0.06"/>
  </r>
  <r>
    <x v="2729"/>
    <s v="SWITCH-PRESS.-DIGITAL PNP 0-10 BAR IP40"/>
    <s v="SMC"/>
    <s v="ISE30A-01-P-L"/>
    <s v="MYR"/>
    <n v="114.89"/>
    <s v="ea"/>
    <n v="1"/>
    <n v="0.06"/>
  </r>
  <r>
    <x v="2730"/>
    <s v="Pressure Sensor"/>
    <s v="SMC"/>
    <s v="ISE30A-01-P-MLB"/>
    <s v="MYR"/>
    <n v="186.49"/>
    <s v="ea"/>
    <n v="1"/>
    <n v="0.06"/>
  </r>
  <r>
    <x v="2731"/>
    <s v="PRESSURE SENSOR DIGITAL"/>
    <s v="SMC"/>
    <s v="ISE30A-N01-N-PLB"/>
    <s v="MYR"/>
    <n v="171.07"/>
    <s v="ea"/>
    <n v="1"/>
    <n v="0.06"/>
  </r>
  <r>
    <x v="2732"/>
    <s v="SWITCH-PRESS.-DIGITALIS PNP 0-10BAR IP65"/>
    <s v="SMC"/>
    <s v="ISE40-01-62L"/>
    <s v="MYR"/>
    <n v="208.88"/>
    <s v="ea"/>
    <n v="1"/>
    <n v="0.06"/>
  </r>
  <r>
    <x v="2733"/>
    <s v="Pressure Sensor"/>
    <s v="SMC"/>
    <s v="ISE40A-01-T    "/>
    <s v="MYR"/>
    <n v="214.4"/>
    <s v="ea"/>
    <n v="1"/>
    <n v="0.06"/>
  </r>
  <r>
    <x v="2734"/>
    <s v="E/P PRESURE REGULATOR"/>
    <s v="SMC"/>
    <s v="ITV0050-3UBS"/>
    <s v="MYR"/>
    <n v="505.64"/>
    <s v="ea"/>
    <n v="1"/>
    <n v="0.06"/>
  </r>
  <r>
    <x v="2735"/>
    <s v="ELECTRONIC PNEUMATIC MODULATOR"/>
    <s v="SMC"/>
    <s v="ITV1050-21F1N"/>
    <s v="MYR"/>
    <n v="511.01"/>
    <s v="ea"/>
    <n v="1"/>
    <n v="0.06"/>
  </r>
  <r>
    <x v="2736"/>
    <s v="REGULATOR-ELECTRO-PNEUMATIC-0.9MPA RS232"/>
    <s v="SMC"/>
    <s v="ITV1050-40F2BS-X310"/>
    <s v="MYR"/>
    <n v="637.58000000000004"/>
    <s v="ea"/>
    <n v="1"/>
    <n v="0.06"/>
  </r>
  <r>
    <x v="2737"/>
    <s v="REGULATOR-ELECTRO-PNEUMATIC-0.9MPA RS232"/>
    <s v="SMC"/>
    <s v="ITV1050-RCF2BS"/>
    <s v="MYR"/>
    <n v="637.58000000000004"/>
    <s v="ea"/>
    <n v="1"/>
    <n v="0.06"/>
  </r>
  <r>
    <x v="2738"/>
    <s v="REGULATOR ELCTRO-PNEUMATIC"/>
    <s v="SMC"/>
    <s v="ITV2030-02N2CS4-Q"/>
    <s v="MYR"/>
    <n v="844.6"/>
    <s v="ea"/>
    <n v="1"/>
    <n v="0.06"/>
  </r>
  <r>
    <x v="2739"/>
    <s v="ELPNEU REGULATOR,24VDC,0.5MPA"/>
    <s v="SMC"/>
    <s v="ITV2030-312N5"/>
    <s v="MYR"/>
    <n v="788.26"/>
    <s v="ea"/>
    <n v="1"/>
    <n v="0.06"/>
  </r>
  <r>
    <x v="2740"/>
    <s v="REGULATOR,ITV2030 SERIES"/>
    <s v="SMC"/>
    <s v="ITV2030-31N2N4-X272"/>
    <s v="MYR"/>
    <n v="844.74"/>
    <s v="ea"/>
    <n v="1"/>
    <n v="0.06"/>
  </r>
  <r>
    <x v="2741"/>
    <s v="PROPORTIONAL VALVE"/>
    <s v="SMC"/>
    <s v="ITV2030-33F2L-Q    "/>
    <s v="MYR"/>
    <n v="827.64"/>
    <s v="ea"/>
    <n v="1"/>
    <n v="0.06"/>
  </r>
  <r>
    <x v="2742"/>
    <s v="REGULATOR,ELCTRO-PNEUMATIC"/>
    <s v="SMC"/>
    <s v="ITV2050-02N2CS4"/>
    <s v="MYR"/>
    <n v="832.91"/>
    <s v="ea"/>
    <n v="1"/>
    <n v="0.06"/>
  </r>
  <r>
    <x v="2743"/>
    <s v="REGULATOR, ELECTRO-PNEUMATIC"/>
    <s v="SMC"/>
    <s v="ITV2050-21N2L4"/>
    <s v="MYR"/>
    <n v="862.49"/>
    <s v="ea"/>
    <n v="1"/>
    <n v="0.06"/>
  </r>
  <r>
    <x v="2744"/>
    <s v="COMPENSATING ELEMENT"/>
    <s v="SMC"/>
    <s v="JA10-4-070"/>
    <s v="MYR"/>
    <n v="20.92"/>
    <s v="ea"/>
    <n v="1"/>
    <n v="0.06"/>
  </r>
  <r>
    <x v="2745"/>
    <s v="COMPENSATING ELEMENT"/>
    <s v="SMC"/>
    <s v="JA10-4-070-X11"/>
    <s v="MYR"/>
    <n v="32.96"/>
    <s v="ea"/>
    <n v="1"/>
    <n v="0.06"/>
  </r>
  <r>
    <x v="2746"/>
    <s v="COMPENSATING ELEMENT"/>
    <s v="SMC"/>
    <s v="JA15-6-100"/>
    <s v="MYR"/>
    <n v="19.38"/>
    <s v="ea"/>
    <n v="1"/>
    <n v="0.06"/>
  </r>
  <r>
    <x v="2747"/>
    <s v="COMPENSATING ELEMENT"/>
    <s v="SMC"/>
    <s v="JA15-6-100-X11"/>
    <s v="MYR"/>
    <n v="32.479999999999997"/>
    <s v="ea"/>
    <n v="1"/>
    <n v="0.06"/>
  </r>
  <r>
    <x v="2748"/>
    <s v="GAUGE,0-160PSI,27MMDX1/8&quot;NPT"/>
    <s v="SMC"/>
    <s v="K27A-P1.0-N01M"/>
    <s v="MYR"/>
    <n v="81.89"/>
    <s v="ea"/>
    <n v="1"/>
    <n v="0.06"/>
  </r>
  <r>
    <x v="2749"/>
    <s v="SOCKET"/>
    <s v="SMC"/>
    <s v="K31 24V/DC 220 V AC"/>
    <s v="MYR"/>
    <n v="2.39"/>
    <s v="ea"/>
    <n v="1"/>
    <n v="0.06"/>
  </r>
  <r>
    <x v="2750"/>
    <s v="Valve Plug"/>
    <s v="SMC"/>
    <s v="K41 / 00231316    "/>
    <s v="MYR"/>
    <n v="3.6"/>
    <s v="ea"/>
    <n v="1"/>
    <n v="0.06"/>
  </r>
  <r>
    <x v="2751"/>
    <s v="GAUGE,PRESSURE"/>
    <s v="SMC"/>
    <s v="K50-MP1.0-N02S"/>
    <s v="MYR"/>
    <n v="35.25"/>
    <s v="ea"/>
    <n v="1"/>
    <n v="0.06"/>
  </r>
  <r>
    <x v="2752"/>
    <s v="GAUGE-PRESSURE 0-2.5 BAR  K8-2"/>
    <s v="SMC"/>
    <s v="K8-2,5-40"/>
    <s v="MYR"/>
    <n v="15.21"/>
    <s v="ea"/>
    <n v="1"/>
    <n v="0.06"/>
  </r>
  <r>
    <x v="2753"/>
    <s v="GAUGE-PRESSURE 4 BAR 1/8"/>
    <s v="SMC"/>
    <s v="K8-4-40"/>
    <s v="MYR"/>
    <n v="12.06"/>
    <s v="ea"/>
    <n v="1"/>
    <n v="0.06"/>
  </r>
  <r>
    <x v="2754"/>
    <s v="MULTI CONN,10 PL,6MM OD TUBE"/>
    <s v="SMC"/>
    <s v="KDM10-06"/>
    <s v="MYR"/>
    <n v="187.1"/>
    <s v="ea"/>
    <n v="1"/>
    <n v="0.06"/>
  </r>
  <r>
    <x v="2755"/>
    <s v="Pneumatic Multiconnector 10"/>
    <s v="SMC"/>
    <s v="KDM10-23"/>
    <s v="MYR"/>
    <n v="150.54"/>
    <s v="ea"/>
    <n v="1"/>
    <n v="0.06"/>
  </r>
  <r>
    <x v="2756"/>
    <s v="Pneumatic Multiconnector 20"/>
    <s v="SMC"/>
    <s v="KDM20-23"/>
    <s v="MYR"/>
    <n v="278.23"/>
    <s v="ea"/>
    <n v="1"/>
    <n v="0.06"/>
  </r>
  <r>
    <x v="2757"/>
    <s v="Klemmverschraubung"/>
    <s v="SMC"/>
    <s v="KFF04-02"/>
    <s v="MYR"/>
    <n v="5.58"/>
    <s v="ea"/>
    <n v="1"/>
    <n v="0.06"/>
  </r>
  <r>
    <x v="2758"/>
    <s v="Pneumatic Fitting"/>
    <s v="SMC"/>
    <s v="KFG2H0806-01    "/>
    <s v="MYR"/>
    <n v="30.05"/>
    <s v="ea"/>
    <n v="1"/>
    <n v="0.06"/>
  </r>
  <r>
    <x v="2759"/>
    <s v="Fitting 12-12"/>
    <s v="SMC"/>
    <s v="KFG2H1210-00"/>
    <s v="MYR"/>
    <n v="94.1"/>
    <s v="ea"/>
    <n v="1"/>
    <n v="0.06"/>
  </r>
  <r>
    <x v="2760"/>
    <s v="Fitting"/>
    <s v="SMC"/>
    <s v="KFG2L0604-01"/>
    <s v="MYR"/>
    <n v="37.68"/>
    <s v="ea"/>
    <n v="1"/>
    <n v="0.06"/>
  </r>
  <r>
    <x v="2761"/>
    <s v="Fitting Ellbow"/>
    <s v="SMC"/>
    <s v="KFG2L1008-00"/>
    <s v="MYR"/>
    <n v="143.63999999999999"/>
    <s v="ea"/>
    <n v="1"/>
    <n v="0.06"/>
  </r>
  <r>
    <x v="2762"/>
    <s v="Pneumatic Fitting"/>
    <s v="SMC"/>
    <s v="KFG2T0806-00    "/>
    <s v="MYR"/>
    <n v="108.68"/>
    <s v="ea"/>
    <n v="1"/>
    <n v="0.06"/>
  </r>
  <r>
    <x v="2763"/>
    <s v="Fitting-T-3x12"/>
    <s v="SMC"/>
    <s v="KFG2T1210-00"/>
    <s v="MYR"/>
    <n v="180.45"/>
    <s v="ea"/>
    <n v="1"/>
    <n v="0.06"/>
  </r>
  <r>
    <x v="2764"/>
    <s v="Pneumatic Fitting"/>
    <s v="SMC"/>
    <s v="KFG2V0806-01"/>
    <s v="MYR"/>
    <n v="85.26"/>
    <s v="ea"/>
    <n v="1"/>
    <n v="0.06"/>
  </r>
  <r>
    <x v="2765"/>
    <s v="Gerade Klemmverschraubung"/>
    <s v="SMC"/>
    <s v="KFH04-02S"/>
    <s v="MYR"/>
    <n v="4.1500000000000004"/>
    <s v="ea"/>
    <n v="1"/>
    <n v="0.06"/>
  </r>
  <r>
    <x v="2766"/>
    <s v="Einschraubwinkel"/>
    <s v="SMC"/>
    <s v="KFL04-02S"/>
    <s v="MYR"/>
    <n v="6.39"/>
    <s v="ea"/>
    <n v="1"/>
    <n v="0.06"/>
  </r>
  <r>
    <x v="2767"/>
    <s v="T-Klemmverbindung"/>
    <s v="SMC"/>
    <s v="KFT04-00"/>
    <s v="MYR"/>
    <n v="10.99"/>
    <s v="ea"/>
    <n v="1"/>
    <n v="0.06"/>
  </r>
  <r>
    <x v="2768"/>
    <s v="FITTING STRAIGHT M5 6/4"/>
    <s v="SMC"/>
    <s v="KGH06-M5"/>
    <s v="MYR"/>
    <n v="18.850000000000001"/>
    <s v="ea"/>
    <n v="1"/>
    <n v="0.06"/>
  </r>
  <r>
    <x v="2769"/>
    <s v="Pneumatic Fitting"/>
    <s v="SMC"/>
    <s v="KGU08-00    "/>
    <s v="MYR"/>
    <n v="36.43"/>
    <s v="ea"/>
    <n v="1"/>
    <n v="0.06"/>
  </r>
  <r>
    <x v="2770"/>
    <s v="UNION,BULKHEAD,M9X0.75,4MM OD"/>
    <s v="SMC"/>
    <s v="KJE04-00"/>
    <s v="MYR"/>
    <n v="5.5"/>
    <s v="ea"/>
    <n v="1"/>
    <n v="0.06"/>
  </r>
  <r>
    <x v="2771"/>
    <s v="CONNECTOR,MALE M5-6MM"/>
    <s v="SMC"/>
    <s v="KJH06-M5"/>
    <s v="MYR"/>
    <n v="2.79"/>
    <s v="ea"/>
    <n v="1"/>
    <n v="0.06"/>
  </r>
  <r>
    <x v="2772"/>
    <s v="ELBOW-UNION 1/8M 4/2.5"/>
    <s v="SMC"/>
    <s v="KJL04-01S "/>
    <s v="MYR"/>
    <n v="2.75"/>
    <s v="ea"/>
    <n v="1"/>
    <n v="0.06"/>
  </r>
  <r>
    <x v="2773"/>
    <s v="FITTING,MALE ELBOW,6MM TUBE,M5"/>
    <s v="SMC"/>
    <s v="KJL06-M5"/>
    <s v="MYR"/>
    <n v="3.38"/>
    <s v="ea"/>
    <n v="1"/>
    <n v="0.06"/>
  </r>
  <r>
    <x v="2774"/>
    <s v="ELBOW,MALE,1/4&quot;TUBE,10-32 NPT"/>
    <s v="SMC"/>
    <s v="KJL07-32"/>
    <s v="MYR"/>
    <n v="5.27"/>
    <s v="ea"/>
    <n v="1"/>
    <n v="0.06"/>
  </r>
  <r>
    <x v="2775"/>
    <s v="PLUG IN REDUCER,5/32&quot; TO 1/8"/>
    <s v="SMC"/>
    <s v="KJR01-03"/>
    <s v="MYR"/>
    <n v="3.46"/>
    <s v="ea"/>
    <n v="1"/>
    <n v="0.06"/>
  </r>
  <r>
    <x v="2776"/>
    <s v="FITTING REDUCER 4M TO 3.2F"/>
    <s v="SMC"/>
    <s v="KJR23-04"/>
    <s v="MYR"/>
    <n v="2.85"/>
    <s v="ea"/>
    <n v="1"/>
    <n v="0.06"/>
  </r>
  <r>
    <x v="2777"/>
    <s v="Fitting"/>
    <s v="SMC"/>
    <s v="KJS04-M5"/>
    <s v="MYR"/>
    <n v="2.8499999999999996"/>
    <s v="ea"/>
    <n v="1"/>
    <n v="0.06"/>
  </r>
  <r>
    <x v="2778"/>
    <s v="FITTING-STRAIGHT M5 3.2/2"/>
    <s v="SMC"/>
    <s v="KJS23-M5    "/>
    <s v="MYR"/>
    <n v="3.1"/>
    <s v="ea"/>
    <n v="1"/>
    <n v="0.06"/>
  </r>
  <r>
    <x v="2779"/>
    <s v="TEE,5/32 OD,5/32 OD, 1/8 MNPT"/>
    <s v="SMC"/>
    <s v="KJT03-34S"/>
    <s v="MYR"/>
    <n v="5.52"/>
    <s v="ea"/>
    <n v="1"/>
    <n v="0.06"/>
  </r>
  <r>
    <x v="2780"/>
    <s v="FITTING-COUNTER-PARTS RC1/4F"/>
    <s v="SMC"/>
    <s v="KK130P-02F"/>
    <s v="MYR"/>
    <n v="3.51"/>
    <s v="ea"/>
    <n v="1"/>
    <n v="0.06"/>
  </r>
  <r>
    <x v="2781"/>
    <s v="Stecker Schnellkupplung SerieKK13"/>
    <s v="SMC"/>
    <s v="KK130P-02MS"/>
    <s v="MYR"/>
    <n v="2.38"/>
    <s v="ea"/>
    <n v="1"/>
    <n v="0.06"/>
  </r>
  <r>
    <x v="2782"/>
    <s v="Buchse Schnellkupplung Serie KK13"/>
    <s v="SMC"/>
    <s v="KK130S-01MS"/>
    <s v="MYR"/>
    <n v="16.03"/>
    <s v="ea"/>
    <n v="1"/>
    <n v="0.06"/>
  </r>
  <r>
    <x v="2783"/>
    <s v="Buchse Schnellkupplung Serie KK13"/>
    <s v="SMC"/>
    <s v="KK130S-02MS"/>
    <s v="MYR"/>
    <n v="11.54"/>
    <s v="ea"/>
    <n v="1"/>
    <n v="0.06"/>
  </r>
  <r>
    <x v="2784"/>
    <s v="Stecker Schnellkupplung SerieKK13"/>
    <s v="SMC"/>
    <s v="KK13P-02F"/>
    <s v="MYR"/>
    <n v="5.96"/>
    <s v="ea"/>
    <n v="1"/>
    <n v="0.06"/>
  </r>
  <r>
    <x v="2785"/>
    <s v="FITTING-COUNTER-PARTS R1/2M"/>
    <s v="SMC"/>
    <s v="KK13P-04M"/>
    <s v="MYR"/>
    <n v="7.92"/>
    <s v="ea"/>
    <n v="1"/>
    <n v="0.06"/>
  </r>
  <r>
    <x v="2786"/>
    <s v="COUPLER-PNEUMATIC RC1/2F"/>
    <s v="SMC"/>
    <s v="KK13S-04F"/>
    <s v="MYR"/>
    <n v="23.58"/>
    <s v="ea"/>
    <n v="1"/>
    <n v="0.06"/>
  </r>
  <r>
    <x v="2787"/>
    <s v="TIP-PNEUMATIC-RIGHT-FITTING D=4"/>
    <s v="SMC"/>
    <s v="KK2P-04E"/>
    <s v="MYR"/>
    <n v="8.67"/>
    <s v="ea"/>
    <n v="1"/>
    <n v="0.06"/>
  </r>
  <r>
    <x v="2788"/>
    <s v="FITTING-QUICK-MALE-ELBOWED D.6"/>
    <s v="SMC"/>
    <s v="KK2P-06L"/>
    <s v="MYR"/>
    <n v="6.48"/>
    <s v="ea"/>
    <n v="1"/>
    <n v="0.06"/>
  </r>
  <r>
    <x v="2789"/>
    <s v="FITTING-QUICK-FEMALE G1/8&quot; D.4"/>
    <s v="SMC"/>
    <s v="KK2S-01MS"/>
    <s v="MYR"/>
    <n v="14.28"/>
    <s v="ea"/>
    <n v="1"/>
    <n v="0.06"/>
  </r>
  <r>
    <x v="2790"/>
    <s v="FITTING - BULKHEAD  FEMALE 4MM PLUG IN"/>
    <s v="SMC"/>
    <s v="KK2S-04E"/>
    <s v="MYR"/>
    <n v="28.17"/>
    <s v="ea"/>
    <n v="1"/>
    <n v="0.06"/>
  </r>
  <r>
    <x v="2791"/>
    <s v="COUPLER-PNEUMATIC-RIGHT-FITTING D=4"/>
    <s v="SMC"/>
    <s v="KK2S-04H"/>
    <s v="MYR"/>
    <n v="20.32"/>
    <s v="ea"/>
    <n v="1"/>
    <n v="0.06"/>
  </r>
  <r>
    <x v="2792"/>
    <s v="FITING-INSTANTANEOUS-COUPLER"/>
    <s v="SMC"/>
    <s v="KK3P-06E"/>
    <s v="MYR"/>
    <n v="7.66"/>
    <s v="ea"/>
    <n v="1"/>
    <n v="0.06"/>
  </r>
  <r>
    <x v="2793"/>
    <s v="FITTING - STRAIGHT MALE 8MM PLUG IN"/>
    <s v="SMC"/>
    <s v="KK3P-08H"/>
    <s v="MYR"/>
    <n v="9.879999999999999"/>
    <s v="ea"/>
    <n v="1"/>
    <n v="0.06"/>
  </r>
  <r>
    <x v="2794"/>
    <s v="FITTING-QUICK-MALE-ELBOWED D.8"/>
    <s v="SMC"/>
    <s v="KK3P-08L"/>
    <s v="MYR"/>
    <n v="8.6"/>
    <s v="ea"/>
    <n v="1"/>
    <n v="0.06"/>
  </r>
  <r>
    <x v="2795"/>
    <s v="FITTING-QUICK-FEMALE G1/8&quot; D.6"/>
    <s v="SMC"/>
    <s v="KK3S-01MS"/>
    <s v="MYR"/>
    <n v="13.41"/>
    <s v="ea"/>
    <n v="1"/>
    <n v="0.06"/>
  </r>
  <r>
    <x v="2796"/>
    <s v="CPLNG, S, QUICK DISCONNECT 6MM"/>
    <s v="SMC"/>
    <s v="KK3S-06E"/>
    <s v="MYR"/>
    <n v="35.200000000000003"/>
    <s v="ea"/>
    <n v="1"/>
    <n v="0.06"/>
  </r>
  <r>
    <x v="2797"/>
    <s v="FITING-INSTANTANEOUS-ELBOWED"/>
    <s v="SMC"/>
    <s v="KK3S-06L"/>
    <s v="MYR"/>
    <n v="21.62"/>
    <s v="ea"/>
    <n v="1"/>
    <n v="0.06"/>
  </r>
  <r>
    <x v="2798"/>
    <s v="FITTING - BULKHEAD FEMALE 10MM PLUG IN"/>
    <s v="SMC"/>
    <s v="KK3S-10E"/>
    <s v="MYR"/>
    <n v="43.65"/>
    <s v="ea"/>
    <n v="1"/>
    <n v="0.06"/>
  </r>
  <r>
    <x v="2799"/>
    <s v="FITTING,PLUG"/>
    <s v="SMC"/>
    <s v="KK4P-08E"/>
    <s v="MYR"/>
    <n v="17.62"/>
    <s v="ea"/>
    <n v="1"/>
    <n v="0.06"/>
  </r>
  <r>
    <x v="2800"/>
    <s v="FITTING,SKT"/>
    <s v="SMC"/>
    <s v="KK4S-08E"/>
    <s v="MYR"/>
    <n v="39.659999999999997"/>
    <s v="ea"/>
    <n v="1"/>
    <n v="0.06"/>
  </r>
  <r>
    <x v="2801"/>
    <s v="Fitting"/>
    <s v="SMC"/>
    <s v="KM11-04-08-6"/>
    <s v="MYR"/>
    <n v="26.31"/>
    <s v="ea"/>
    <n v="1"/>
    <n v="0.06"/>
  </r>
  <r>
    <x v="2802"/>
    <s v="10MM INLET TO 6MM OUTLET,10MM"/>
    <s v="SMC"/>
    <s v="KM11-06-10-06"/>
    <s v="MYR"/>
    <n v="25.02"/>
    <s v="ea"/>
    <n v="1"/>
    <n v="0.06"/>
  </r>
  <r>
    <x v="2803"/>
    <s v="FITTING-MULTIPLE 10- 6"/>
    <s v="SMC"/>
    <s v="KM11-06-10-6"/>
    <s v="MYR"/>
    <n v="23.76"/>
    <s v="ea"/>
    <n v="1"/>
    <n v="0.06"/>
  </r>
  <r>
    <x v="2804"/>
    <s v="MANIFOLD,3/8OD,2EA,1/4OD,10EA"/>
    <s v="SMC"/>
    <s v="KM11-07-11-10"/>
    <s v="MYR"/>
    <n v="42.04"/>
    <s v="ea"/>
    <n v="1"/>
    <n v="0.06"/>
  </r>
  <r>
    <x v="2805"/>
    <s v="MANIFOLD,ONE-TOUCH"/>
    <s v="SMC"/>
    <s v="KM11-07-11-6"/>
    <s v="MYR"/>
    <n v="29.78"/>
    <s v="ea"/>
    <n v="1"/>
    <n v="0.06"/>
  </r>
  <r>
    <x v="2806"/>
    <s v="ONE TOUCH FITTING MANIFOLD"/>
    <s v="SMC"/>
    <s v="KM13-06-08-3"/>
    <s v="MYR"/>
    <n v="16.88"/>
    <s v="ea"/>
    <n v="1"/>
    <n v="0.06"/>
  </r>
  <r>
    <x v="2807"/>
    <s v="FITTING-CAP-FEMALE D=4"/>
    <s v="SMC"/>
    <s v="KQ2C04-00A"/>
    <s v="MYR"/>
    <n v="1.43"/>
    <s v="ea"/>
    <n v="1"/>
    <n v="0.06"/>
  </r>
  <r>
    <x v="2808"/>
    <s v="TUBE CAP, 6MM ONE TOUCH"/>
    <s v="SMC"/>
    <s v="KQ2C06-00A"/>
    <s v="MYR"/>
    <n v="1.87"/>
    <s v="ea"/>
    <n v="1"/>
    <n v="0.06"/>
  </r>
  <r>
    <x v="2809"/>
    <s v="CAP, 8MM TUBING"/>
    <s v="SMC"/>
    <s v="KQ2C08-00A"/>
    <s v="MYR"/>
    <n v="2.1800000000000002"/>
    <s v="ea"/>
    <n v="1"/>
    <n v="0.06"/>
  </r>
  <r>
    <x v="2810"/>
    <s v="UNION,DELTA,6MM"/>
    <s v="SMC"/>
    <s v="KQ2D06-00"/>
    <s v="MYR"/>
    <n v="7.51"/>
    <s v="ea"/>
    <n v="1"/>
    <n v="0.06"/>
  </r>
  <r>
    <x v="2811"/>
    <s v="ONE TOUCH FITTING"/>
    <s v="SMC"/>
    <s v="KQ2D08-00A"/>
    <s v="MYR"/>
    <n v="8.17"/>
    <s v="ea"/>
    <n v="1"/>
    <n v="0.06"/>
  </r>
  <r>
    <x v="2812"/>
    <s v="Pneumatic Fitting"/>
    <s v="SMC"/>
    <s v="KQ2D08-01AS"/>
    <s v="MYR"/>
    <n v="9.34"/>
    <s v="ea"/>
    <n v="1"/>
    <n v="0.06"/>
  </r>
  <r>
    <x v="2813"/>
    <s v="CONN,1/4NPT-5/32TUBE,BULKHD"/>
    <s v="SMC"/>
    <s v="KQ2E03-35A"/>
    <s v="MYR"/>
    <n v="10.83"/>
    <s v="ea"/>
    <n v="1"/>
    <n v="0.06"/>
  </r>
  <r>
    <x v="2814"/>
    <s v="UNION,BULKHEAD,1/4OD"/>
    <s v="SMC"/>
    <s v="KQ2E07-00"/>
    <s v="MYR"/>
    <n v="11.92"/>
    <s v="ea"/>
    <n v="1"/>
    <n v="0.06"/>
  </r>
  <r>
    <x v="2815"/>
    <s v="FITTING,BULKHEAD1/4 OD,1/4FNPT"/>
    <s v="SMC"/>
    <s v="KQ2E07-35"/>
    <s v="MYR"/>
    <n v="10.75"/>
    <s v="ea"/>
    <n v="1"/>
    <n v="0.06"/>
  </r>
  <r>
    <x v="2816"/>
    <s v="FITTING-STRAIGHT 10/8 10/8"/>
    <s v="SMC"/>
    <s v="KQ2E10-00A"/>
    <s v="MYR"/>
    <n v="7.21"/>
    <s v="ea"/>
    <n v="1"/>
    <n v="0.06"/>
  </r>
  <r>
    <x v="2817"/>
    <s v="Pneumatic Fitting 3.2"/>
    <s v="SMC"/>
    <s v="KQ2E23-00NJ"/>
    <s v="MYR"/>
    <n v="6.09"/>
    <s v="ea"/>
    <n v="1"/>
    <n v="0.06"/>
  </r>
  <r>
    <x v="2818"/>
    <s v="FITTING-FEM UNION 4MM M5 ONE-TOUCH"/>
    <s v="SMC"/>
    <s v="KQ2F04-M5N"/>
    <s v="MYR"/>
    <n v="4.38"/>
    <s v="ea"/>
    <n v="1"/>
    <n v="0.06"/>
  </r>
  <r>
    <x v="2819"/>
    <s v="FITTING,6MM OD X 1/4 NPTF,STR"/>
    <s v="SMC"/>
    <s v="KQ2F06-02"/>
    <s v="MYR"/>
    <n v="4.5999999999999996"/>
    <s v="ea"/>
    <n v="1"/>
    <n v="0.06"/>
  </r>
  <r>
    <x v="2820"/>
    <s v="FITTING,6MM OD X 1/4 NPTF,STR"/>
    <s v="SMC"/>
    <s v="KQ2F06-02"/>
    <s v="MYR"/>
    <n v="4.5999999999999996"/>
    <s v="ea"/>
    <n v="1"/>
    <n v="0.06"/>
  </r>
  <r>
    <x v="2821"/>
    <s v="UNION,FEMALE"/>
    <s v="SMC"/>
    <s v="KQ2F07-34A "/>
    <s v="MYR"/>
    <n v="5.8"/>
    <s v="ea"/>
    <n v="1"/>
    <n v="0.06"/>
  </r>
  <r>
    <x v="2822"/>
    <s v="Pneumatic Fitting"/>
    <s v="SMC"/>
    <s v="KQ2F08-01A"/>
    <s v="MYR"/>
    <n v="4.3499999999999996"/>
    <s v="ea"/>
    <n v="1"/>
    <n v="0.06"/>
  </r>
  <r>
    <x v="2823"/>
    <s v="Pneumatic Fitting"/>
    <s v="SMC"/>
    <s v="KQ2F08-02A"/>
    <s v="MYR"/>
    <n v="4.47"/>
    <s v="ea"/>
    <n v="1"/>
    <n v="0.06"/>
  </r>
  <r>
    <x v="2824"/>
    <s v="Pneumatic Fitting"/>
    <s v="SMC"/>
    <s v="KQ2F08-03A"/>
    <s v="MYR"/>
    <n v="5.22"/>
    <s v="ea"/>
    <n v="1"/>
    <n v="0.06"/>
  </r>
  <r>
    <x v="2825"/>
    <s v="Pneumatic Fitting"/>
    <s v="SMC"/>
    <s v="KQ2F08-G02    "/>
    <s v="MYR"/>
    <n v="7.6"/>
    <s v="ea"/>
    <n v="1"/>
    <n v="0.06"/>
  </r>
  <r>
    <x v="2826"/>
    <s v="FITTING-STRAIGHT G3/8M 10/8"/>
    <s v="SMC"/>
    <s v="KQ2F10-03A"/>
    <s v="MYR"/>
    <n v="6.54"/>
    <s v="ea"/>
    <n v="1"/>
    <n v="0.06"/>
  </r>
  <r>
    <x v="2827"/>
    <s v="Pneumatic Fitting"/>
    <s v="SMC"/>
    <s v="KQ2F10-G02A"/>
    <s v="MYR"/>
    <n v="8.84"/>
    <s v="ea"/>
    <n v="1"/>
    <n v="0.06"/>
  </r>
  <r>
    <x v="2828"/>
    <s v="Pneumatic Fitting"/>
    <s v="SMC"/>
    <s v="KQ2F12-G02A"/>
    <s v="MYR"/>
    <n v="10.069999999999999"/>
    <s v="ea"/>
    <n v="1"/>
    <n v="0.06"/>
  </r>
  <r>
    <x v="2829"/>
    <s v="FITTING-STRAIGHT G3/8F 16/12"/>
    <s v="SMC"/>
    <s v="KQ2F16-03"/>
    <s v="MYR"/>
    <n v="7.02"/>
    <s v="ea"/>
    <n v="1"/>
    <n v="0.06"/>
  </r>
  <r>
    <x v="2830"/>
    <s v="Pneumatic Fitting"/>
    <s v="SMC"/>
    <s v="KQ2F16-G04A"/>
    <s v="MYR"/>
    <n v="14.11"/>
    <s v="ea"/>
    <n v="1"/>
    <n v="0.06"/>
  </r>
  <r>
    <x v="2831"/>
    <s v="FITTING-STRAIGHT-UNION D=2 D=2"/>
    <s v="SMC"/>
    <s v="KQ2H02-00A"/>
    <s v="MYR"/>
    <n v="4.75"/>
    <s v="ea"/>
    <n v="1"/>
    <n v="0.06"/>
  </r>
  <r>
    <x v="2832"/>
    <s v="FITTING, MALE 1/4NPT"/>
    <s v="SMC"/>
    <s v="KQ2H03-35S/ KQ2H03-35AS"/>
    <s v="MYR"/>
    <n v="3.85"/>
    <s v="ea"/>
    <n v="1"/>
    <n v="0.06"/>
  </r>
  <r>
    <x v="2833"/>
    <s v="FITTING-STRAIGHT 4/2.5 4/2.5"/>
    <s v="SMC"/>
    <s v="KQ2H04-00A"/>
    <s v="MYR"/>
    <n v="2.86"/>
    <s v="ea"/>
    <n v="1"/>
    <n v="0.06"/>
  </r>
  <r>
    <x v="2834"/>
    <s v="STRAIGHT,1/4 R(PT) M,4MM F"/>
    <s v="SMC"/>
    <s v="KQ2H04-02S"/>
    <s v="MYR"/>
    <n v="2.21"/>
    <s v="ea"/>
    <n v="1"/>
    <n v="0.06"/>
  </r>
  <r>
    <x v="2835"/>
    <s v="STRAIGHT,REDUCER,6MM F,4MM F"/>
    <s v="SMC"/>
    <s v="KQ2H04-06A"/>
    <s v="MYR"/>
    <n v="4.1399999999999997"/>
    <s v="ea"/>
    <n v="1"/>
    <n v="0.06"/>
  </r>
  <r>
    <x v="2836"/>
    <s v="Pneumatic Fitting"/>
    <s v="SMC"/>
    <s v="KQ2H04-M3G"/>
    <s v="MYR"/>
    <n v="3.2"/>
    <s v="ea"/>
    <n v="1"/>
    <n v="0.06"/>
  </r>
  <r>
    <x v="2837"/>
    <s v="MALE CONNECTOR"/>
    <s v="SMC"/>
    <s v="KQ2H04-M5A"/>
    <s v="MYR"/>
    <n v="1.98"/>
    <s v="ea"/>
    <n v="1"/>
    <n v="0.06"/>
  </r>
  <r>
    <x v="2838"/>
    <s v="STRAIGHT UNION"/>
    <s v="SMC"/>
    <s v="KQ2H06-00A"/>
    <s v="MYR"/>
    <n v="3.01"/>
    <s v="ea"/>
    <n v="1"/>
    <n v="0.06"/>
  </r>
  <r>
    <x v="2839"/>
    <s v="FITTING-STRAIGHT 1/8M 6/4"/>
    <s v="SMC"/>
    <s v="KQ2H06-01NS"/>
    <s v="MYR"/>
    <n v="1.81"/>
    <s v="ea"/>
    <n v="1"/>
    <n v="0.06"/>
  </r>
  <r>
    <x v="2840"/>
    <s v="MALE FITTING KQ2H06-03AS"/>
    <s v="SMC"/>
    <s v="KQ2H06-03AS"/>
    <s v="MYR"/>
    <n v="2.56"/>
    <s v="ea"/>
    <n v="1"/>
    <n v="0.06"/>
  </r>
  <r>
    <x v="2841"/>
    <s v="MALE CONNECTOR"/>
    <s v="SMC"/>
    <s v="KQ2H06-G01A"/>
    <s v="MYR"/>
    <n v="3.75"/>
    <s v="ea"/>
    <n v="1"/>
    <n v="0.06"/>
  </r>
  <r>
    <x v="2842"/>
    <s v="MALE CONNECTOR"/>
    <s v="SMC"/>
    <s v="KQ2H06-G02A"/>
    <s v="MYR"/>
    <n v="3.53"/>
    <s v="ea"/>
    <n v="1"/>
    <n v="0.06"/>
  </r>
  <r>
    <x v="2843"/>
    <s v="STRAIGHT,GASKET,M5x0.8 M,6MM F"/>
    <s v="SMC"/>
    <s v="KQ2H06-M5"/>
    <s v="MYR"/>
    <n v="2.76"/>
    <s v="ea"/>
    <n v="1"/>
    <n v="0.06"/>
  </r>
  <r>
    <x v="2844"/>
    <s v="FITTING-MALE CONN 6MMXM5"/>
    <s v="SMC"/>
    <s v="KQ2H06-M5A"/>
    <s v="MYR"/>
    <n v="3.14"/>
    <s v="ea"/>
    <n v="1"/>
    <n v="0.06"/>
  </r>
  <r>
    <x v="2845"/>
    <s v="MALE CONNECTOR"/>
    <s v="SMC"/>
    <s v="KQ2H06-M5A"/>
    <s v="MYR"/>
    <n v="3.14"/>
    <s v="ea"/>
    <n v="1"/>
    <n v="0.06"/>
  </r>
  <r>
    <x v="2846"/>
    <s v="FITTING-STRAIGHT M5 6/4"/>
    <s v="SMC"/>
    <s v="KQ2H06-M5N"/>
    <s v="MYR"/>
    <n v="2.76"/>
    <s v="ea"/>
    <n v="1"/>
    <n v="0.06"/>
  </r>
  <r>
    <x v="2847"/>
    <s v="Pneumatic Fitting"/>
    <s v="SMC"/>
    <s v="KQ2H06-M5N"/>
    <s v="MYR"/>
    <n v="2.76"/>
    <s v="ea"/>
    <n v="1"/>
    <n v="0.06"/>
  </r>
  <r>
    <x v="2848"/>
    <s v="FITTING,STR,1/8&quot; UNI,6MM TUBE"/>
    <s v="SMC"/>
    <s v="KQ2H06-U01A"/>
    <s v="MYR"/>
    <n v="2.72"/>
    <s v="ea"/>
    <n v="1"/>
    <n v="0.06"/>
  </r>
  <r>
    <x v="2849"/>
    <s v="FITTING,UNION,1/4"/>
    <s v="SMC"/>
    <s v="KQ2H07-00A"/>
    <s v="MYR"/>
    <n v="5.23"/>
    <s v="ea"/>
    <n v="1"/>
    <n v="0.06"/>
  </r>
  <r>
    <x v="2850"/>
    <s v="UNION,ONETOUCH 1/4 TO 5/16,F,F"/>
    <s v="SMC"/>
    <s v="KQ2H07-09A"/>
    <s v="MYR"/>
    <n v="4.8899999999999997"/>
    <s v="ea"/>
    <n v="1"/>
    <n v="0.06"/>
  </r>
  <r>
    <x v="2851"/>
    <s v="FITTING, 1 TOUCH, 1/4ODX1/8NPT"/>
    <s v="SMC"/>
    <s v="KQ2H07-34AS"/>
    <s v="MYR"/>
    <n v="2.0699999999999998"/>
    <s v="ea"/>
    <n v="1"/>
    <n v="0.06"/>
  </r>
  <r>
    <x v="2852"/>
    <s v="FITTING,STR,1-TCH,1/4MPT,1/4OD"/>
    <s v="SMC"/>
    <s v="KQ2H07-35AS"/>
    <s v="MYR"/>
    <n v="3.75"/>
    <s v="ea"/>
    <n v="1"/>
    <n v="0.06"/>
  </r>
  <r>
    <x v="2853"/>
    <s v="FITTING,STR,3/8MPT,1/4OD"/>
    <s v="SMC"/>
    <s v="KQ2H07-36S"/>
    <s v="MYR"/>
    <n v="2.11"/>
    <s v="ea"/>
    <n v="1"/>
    <n v="0.06"/>
  </r>
  <r>
    <x v="2854"/>
    <s v="UNION,STRAIGHT,8MM"/>
    <s v="SMC"/>
    <s v="KQ2H08-00"/>
    <s v="MYR"/>
    <n v="3.91"/>
    <s v="ea"/>
    <n v="1"/>
    <n v="0.06"/>
  </r>
  <r>
    <x v="2855"/>
    <s v="STRAIGHT,1/8 R(PT) M,8MM F"/>
    <s v="SMC"/>
    <s v="KQ2H08-01AS"/>
    <s v="MYR"/>
    <n v="2.0099999999999998"/>
    <s v="ea"/>
    <n v="1"/>
    <n v="0.06"/>
  </r>
  <r>
    <x v="2856"/>
    <s v="STRAIGHT,3/8 R(PT) M,8MM F"/>
    <s v="SMC"/>
    <s v="KQ2H08-03AS"/>
    <s v="MYR"/>
    <n v="2.39"/>
    <s v="ea"/>
    <n v="1"/>
    <n v="0.06"/>
  </r>
  <r>
    <x v="2857"/>
    <s v="FITTING-REDUCTION 10-8 UNION DOUBLE"/>
    <s v="SMC"/>
    <s v="KQ2H08-10A"/>
    <s v="MYR"/>
    <n v="2.96"/>
    <s v="ea"/>
    <n v="1"/>
    <n v="0.06"/>
  </r>
  <r>
    <x v="2858"/>
    <s v="STRAIGHT,REDUCER,10MM F,8MM F"/>
    <s v="SMC"/>
    <s v="KQ2H08-10A"/>
    <s v="MYR"/>
    <n v="2.96"/>
    <s v="ea"/>
    <n v="1"/>
    <n v="0.06"/>
  </r>
  <r>
    <x v="2859"/>
    <s v="UNION,8MM TO 10MM"/>
    <s v="SMC"/>
    <s v="KQ2H08-10A"/>
    <s v="MYR"/>
    <n v="2.96"/>
    <s v="ea"/>
    <n v="1"/>
    <n v="0.06"/>
  </r>
  <r>
    <x v="2860"/>
    <s v="MALE CONNECTOR"/>
    <s v="SMC"/>
    <s v="KQ2H08-G01A"/>
    <s v="MYR"/>
    <n v="4.2300000000000004"/>
    <s v="ea"/>
    <n v="1"/>
    <n v="0.06"/>
  </r>
  <r>
    <x v="2861"/>
    <s v="STRAIGHT,1/4 NPT M,8MM F"/>
    <s v="SMC"/>
    <s v="KQ2H08-U02A"/>
    <s v="MYR"/>
    <n v="2.2799999999999998"/>
    <s v="ea"/>
    <n v="1"/>
    <n v="0.06"/>
  </r>
  <r>
    <x v="2862"/>
    <s v="STRAIGHT,REDUCER,3/8&quot; F,5/16&quot;F"/>
    <s v="SMC"/>
    <s v="KQ2H09-11A"/>
    <s v="MYR"/>
    <n v="5.87"/>
    <s v="ea"/>
    <n v="1"/>
    <n v="0.06"/>
  </r>
  <r>
    <x v="2863"/>
    <s v="FITTING STRAIGHT 5/16ODX1/8NPT"/>
    <s v="SMC"/>
    <s v="KQ2H09-34AS"/>
    <s v="MYR"/>
    <n v="2.4500000000000002"/>
    <s v="ea"/>
    <n v="1"/>
    <n v="0.06"/>
  </r>
  <r>
    <x v="2864"/>
    <s v="FITTING-STRAIGHT G1/8M 10/8"/>
    <s v="SMC"/>
    <s v="KQ2H10-01AS"/>
    <s v="MYR"/>
    <n v="3.85"/>
    <s v="ea"/>
    <n v="1"/>
    <n v="0.06"/>
  </r>
  <r>
    <x v="2865"/>
    <s v="Pneumatic Fitting"/>
    <s v="SMC"/>
    <s v="KQ2H10-G04"/>
    <s v="MYR"/>
    <n v="6.41"/>
    <s v="ea"/>
    <n v="1"/>
    <n v="0.06"/>
  </r>
  <r>
    <x v="2866"/>
    <s v="FITTING-STRAIGHT 3/8M 10/8"/>
    <s v="SMC"/>
    <s v="KQ2H10-U03A"/>
    <s v="MYR"/>
    <n v="3.51"/>
    <s v="ea"/>
    <n v="1"/>
    <n v="0.06"/>
  </r>
  <r>
    <x v="2867"/>
    <s v="FITTING,MALE CONN."/>
    <s v="SMC"/>
    <s v="KQ2H11-35AS"/>
    <s v="MYR"/>
    <n v="6.13"/>
    <s v="ea"/>
    <n v="1"/>
    <n v="0.06"/>
  </r>
  <r>
    <x v="2868"/>
    <s v="UNION,STRAIGHT,12MM"/>
    <s v="SMC"/>
    <s v="KQ2H12-00A"/>
    <s v="MYR"/>
    <n v="5.74"/>
    <s v="ea"/>
    <n v="1"/>
    <n v="0.06"/>
  </r>
  <r>
    <x v="2869"/>
    <s v="FITTING,1/4 NPT X 12MM,STR"/>
    <s v="SMC"/>
    <s v="KQ2H12-02NS"/>
    <s v="MYR"/>
    <n v="4.9800000000000004"/>
    <s v="ea"/>
    <n v="1"/>
    <n v="0.06"/>
  </r>
  <r>
    <x v="2870"/>
    <s v="FITTING,MALE,12MM OD,PORT R3/8"/>
    <s v="SMC"/>
    <s v="KQ2H12-03NS"/>
    <s v="MYR"/>
    <n v="6.27"/>
    <s v="ea"/>
    <n v="1"/>
    <n v="0.06"/>
  </r>
  <r>
    <x v="2871"/>
    <s v="MALE CONNECTOR"/>
    <s v="SMC"/>
    <s v="KQ2H12-04AS"/>
    <s v="MYR"/>
    <n v="6.18"/>
    <s v="ea"/>
    <n v="1"/>
    <n v="0.06"/>
  </r>
  <r>
    <x v="2872"/>
    <s v="Pneumatic Fitting"/>
    <s v="SMC"/>
    <s v="KQ2H12-16A"/>
    <s v="MYR"/>
    <n v="12.3"/>
    <s v="ea"/>
    <n v="1"/>
    <n v="0.06"/>
  </r>
  <r>
    <x v="2873"/>
    <s v="FITTING-STRAIGHT G1/2M 12/16 KQ2H"/>
    <s v="SMC"/>
    <s v="KQ2H16-04AS"/>
    <s v="MYR"/>
    <n v="9.5500000000000007"/>
    <s v="ea"/>
    <n v="1"/>
    <n v="0.06"/>
  </r>
  <r>
    <x v="2874"/>
    <s v="FITTING-STRAIGHT R1/2 16"/>
    <s v="SMC"/>
    <s v="KQ2H16-04S"/>
    <s v="MYR"/>
    <n v="9.68"/>
    <s v="ea"/>
    <n v="1"/>
    <n v="0.06"/>
  </r>
  <r>
    <x v="2875"/>
    <s v="Pneumatic Fitting"/>
    <s v="SMC"/>
    <s v="KQ2H16-G04A"/>
    <s v="MYR"/>
    <n v="13.92"/>
    <s v="ea"/>
    <n v="1"/>
    <n v="0.06"/>
  </r>
  <r>
    <x v="2876"/>
    <s v="Tube Connector"/>
    <s v="SMC"/>
    <s v="KQ2H23-00A"/>
    <s v="MYR"/>
    <n v="3.65"/>
    <s v="ea"/>
    <n v="1"/>
    <n v="0.06"/>
  </r>
  <r>
    <x v="2877"/>
    <s v="FITTING-REDUCTION 4/3.2 UNION DOUBLE"/>
    <s v="SMC"/>
    <s v="KQ2H23-04"/>
    <s v="MYR"/>
    <n v="4.71"/>
    <s v="ea"/>
    <n v="1"/>
    <n v="0.06"/>
  </r>
  <r>
    <x v="2878"/>
    <s v="PNEUMATIC FITTING"/>
    <s v="SMC"/>
    <s v="KQ2H23-04A    "/>
    <s v="MYR"/>
    <n v="4.01"/>
    <s v="ea"/>
    <n v="1"/>
    <n v="0.06"/>
  </r>
  <r>
    <x v="2879"/>
    <s v="Pneumatic Fitting"/>
    <s v="SMC"/>
    <s v="KQ2H23-M3G"/>
    <s v="MYR"/>
    <n v="3.87"/>
    <s v="ea"/>
    <n v="1"/>
    <n v="0.06"/>
  </r>
  <r>
    <x v="2880"/>
    <s v="Pneumatic Fitting"/>
    <s v="SMC"/>
    <s v="KQ2H23-M5N"/>
    <s v="MYR"/>
    <n v="2.75"/>
    <s v="ea"/>
    <n v="1"/>
    <n v="0.06"/>
  </r>
  <r>
    <x v="2881"/>
    <s v="Pneumatic Fitting"/>
    <s v="SMC"/>
    <s v="KQ2K04-M5A"/>
    <s v="MYR"/>
    <n v="6.19"/>
    <s v="ea"/>
    <n v="1"/>
    <n v="0.06"/>
  </r>
  <r>
    <x v="2882"/>
    <s v="45ø MALE ELBOW"/>
    <s v="SMC"/>
    <s v="KQ2K04-M5A"/>
    <s v="MYR"/>
    <n v="6.19"/>
    <s v="ea"/>
    <n v="1"/>
    <n v="0.06"/>
  </r>
  <r>
    <x v="2883"/>
    <s v="FITTING,45DEG,PUSH-CONN,6MM,M5"/>
    <s v="SMC"/>
    <s v="KQ2K06-M5N"/>
    <s v="MYR"/>
    <n v="6.37"/>
    <s v="ea"/>
    <n v="1"/>
    <n v="0.06"/>
  </r>
  <r>
    <x v="2884"/>
    <s v="Pneumatic Fitting"/>
    <s v="SMC"/>
    <s v="KQ2K08-01AS"/>
    <s v="MYR"/>
    <n v="6.51"/>
    <s v="ea"/>
    <n v="1"/>
    <n v="0.06"/>
  </r>
  <r>
    <x v="2885"/>
    <s v="Pneumatic Fitting"/>
    <s v="SMC"/>
    <s v="KQ2K08-02AS"/>
    <s v="MYR"/>
    <n v="6.6499999999999995"/>
    <s v="ea"/>
    <n v="1"/>
    <n v="0.06"/>
  </r>
  <r>
    <x v="2886"/>
    <s v="FITTING,RDCR,ELB,1/4OD,1/8OD"/>
    <s v="SMC"/>
    <s v="KQ2L01-07A"/>
    <s v="MYR"/>
    <n v="4.7"/>
    <s v="ea"/>
    <n v="1"/>
    <n v="0.06"/>
  </r>
  <r>
    <x v="2887"/>
    <s v="ELBOW,1/8 TUBE X 10-32THD"/>
    <s v="SMC"/>
    <s v="KQ2L01-32A"/>
    <s v="MYR"/>
    <n v="4.7"/>
    <s v="ea"/>
    <n v="1"/>
    <n v="0.06"/>
  </r>
  <r>
    <x v="2888"/>
    <s v="ELBOW-UNION M3M 2/1.4"/>
    <s v="SMC"/>
    <s v="KQ2L02-M3G"/>
    <s v="MYR"/>
    <n v="5.36"/>
    <s v="ea"/>
    <n v="1"/>
    <n v="0.06"/>
  </r>
  <r>
    <x v="2889"/>
    <s v="FITTING-ELBOW M5 KQ2L02"/>
    <s v="SMC"/>
    <s v="KQ2L02-M5N"/>
    <s v="MYR"/>
    <n v="3.94"/>
    <s v="ea"/>
    <n v="1"/>
    <n v="0.06"/>
  </r>
  <r>
    <x v="2890"/>
    <s v="FITTING,ELBOW,5/32,BLACK"/>
    <s v="SMC"/>
    <s v="KQ2L03-00A"/>
    <s v="MYR"/>
    <n v="5.46"/>
    <s v="ea"/>
    <n v="1"/>
    <n v="0.06"/>
  </r>
  <r>
    <x v="2891"/>
    <s v="FITTING,RDCR,ELB,5/32OD,3/16OD"/>
    <s v="SMC"/>
    <s v="KQ2L03-07A"/>
    <s v="MYR"/>
    <n v="4.8"/>
    <s v="ea"/>
    <n v="1"/>
    <n v="0.06"/>
  </r>
  <r>
    <x v="2892"/>
    <s v="FITTING ELBOW ONE"/>
    <s v="SMC"/>
    <s v="KQ2L03-32A"/>
    <s v="MYR"/>
    <n v="4.6100000000000003"/>
    <s v="ea"/>
    <n v="1"/>
    <n v="0.06"/>
  </r>
  <r>
    <x v="2893"/>
    <s v="FITTING-ELBOW MALE 5/32X10-32"/>
    <s v="SMC"/>
    <s v="KQ2L03-32N"/>
    <s v="MYR"/>
    <n v="4.2699999999999996"/>
    <s v="ea"/>
    <n v="1"/>
    <n v="0.06"/>
  </r>
  <r>
    <x v="2894"/>
    <s v="ELBOW,1/8 NPT M,5/32 OD F"/>
    <s v="SMC"/>
    <s v="KQ2L03-34AS"/>
    <s v="MYR"/>
    <n v="3.91"/>
    <s v="ea"/>
    <n v="1"/>
    <n v="0.06"/>
  </r>
  <r>
    <x v="2895"/>
    <s v="ELBOW,MALE,5/32&quot;TUBE"/>
    <s v="SMC"/>
    <s v="KQ2L03-34NS"/>
    <s v="MYR"/>
    <n v="3.91"/>
    <s v="ea"/>
    <n v="1"/>
    <n v="0.06"/>
  </r>
  <r>
    <x v="2896"/>
    <s v="FITTING,ELB,UNION,4MM OD"/>
    <s v="SMC"/>
    <s v="KQ2L04-00A"/>
    <s v="MYR"/>
    <n v="3.2"/>
    <s v="ea"/>
    <n v="1"/>
    <n v="0.06"/>
  </r>
  <r>
    <x v="2897"/>
    <s v="Pneumatic Fitting"/>
    <s v="SMC"/>
    <s v="KQ2L04-00A"/>
    <s v="MYR"/>
    <n v="3.2"/>
    <s v="ea"/>
    <n v="1"/>
    <n v="0.06"/>
  </r>
  <r>
    <x v="2898"/>
    <s v="CONNECTOR KQ2L04-01NS"/>
    <s v="SMC"/>
    <s v="KQ2L04-01NS"/>
    <s v="MYR"/>
    <n v="2.2799999999999998"/>
    <s v="ea"/>
    <n v="1"/>
    <n v="0.06"/>
  </r>
  <r>
    <x v="2899"/>
    <s v="FITTING ELBOW REDUCER 4MM-6MM"/>
    <s v="SMC"/>
    <s v="KQ2L04-06A"/>
    <s v="MYR"/>
    <n v="2.94"/>
    <s v="ea"/>
    <n v="1"/>
    <n v="0.06"/>
  </r>
  <r>
    <x v="2900"/>
    <s v="Reducer Elbow"/>
    <s v="SMC"/>
    <s v="KQ2L04-06A"/>
    <s v="MYR"/>
    <n v="2.88"/>
    <s v="ea"/>
    <n v="1"/>
    <n v="0.06"/>
  </r>
  <r>
    <x v="2901"/>
    <s v="Pneumatic Fitting"/>
    <s v="SMC"/>
    <s v="KQ2L04-08A"/>
    <s v="MYR"/>
    <n v="3.57"/>
    <s v="ea"/>
    <n v="1"/>
    <n v="0.06"/>
  </r>
  <r>
    <x v="2902"/>
    <s v="REDUCE ELBOW"/>
    <s v="SMC"/>
    <s v="KQ2L04-08A"/>
    <s v="MYR"/>
    <n v="3.57"/>
    <s v="ea"/>
    <n v="1"/>
    <n v="0.06"/>
  </r>
  <r>
    <x v="2903"/>
    <s v="MALE ELBOW"/>
    <s v="SMC"/>
    <s v="KQ2L04-M3G"/>
    <s v="MYR"/>
    <n v="5.22"/>
    <s v="ea"/>
    <n v="1"/>
    <n v="0.06"/>
  </r>
  <r>
    <x v="2904"/>
    <s v="MALE ELBOW"/>
    <s v="SMC"/>
    <s v="KQ2L04-M5A"/>
    <s v="MYR"/>
    <n v="2.82"/>
    <s v="ea"/>
    <n v="1"/>
    <n v="0.06"/>
  </r>
  <r>
    <x v="2905"/>
    <s v="FITTING ANGLE"/>
    <s v="SMC"/>
    <s v="KQ2L06-00A"/>
    <s v="MYR"/>
    <n v="2.95"/>
    <s v="ea"/>
    <n v="1"/>
    <n v="0.06"/>
  </r>
  <r>
    <x v="2906"/>
    <s v="UNION ELBOW"/>
    <s v="SMC"/>
    <s v="KQ2L06-00A"/>
    <s v="MYR"/>
    <n v="2.95"/>
    <s v="ea"/>
    <n v="1"/>
    <n v="0.06"/>
  </r>
  <r>
    <x v="2907"/>
    <s v="ELBOW-UNION 1/8M 6/4"/>
    <s v="SMC"/>
    <s v="KQ2L06-01NS"/>
    <s v="MYR"/>
    <n v="2.38"/>
    <s v="ea"/>
    <n v="1"/>
    <n v="0.06"/>
  </r>
  <r>
    <x v="2908"/>
    <s v="Pneumatic Fitting"/>
    <s v="SMC"/>
    <s v="KQ2L06-02AS"/>
    <s v="MYR"/>
    <n v="3.21"/>
    <s v="ea"/>
    <n v="1"/>
    <n v="0.06"/>
  </r>
  <r>
    <x v="2909"/>
    <s v="ELBOW,MALE,6MM"/>
    <s v="SMC"/>
    <s v="KQ2L06-02NS"/>
    <s v="MYR"/>
    <n v="5.37"/>
    <s v="ea"/>
    <n v="1"/>
    <n v="0.06"/>
  </r>
  <r>
    <x v="2910"/>
    <s v="PLUG-IN ELBOW"/>
    <s v="SMC"/>
    <s v="KQ2L06-99A"/>
    <s v="MYR"/>
    <n v="2.2799999999999998"/>
    <s v="ea"/>
    <n v="1"/>
    <n v="0.06"/>
  </r>
  <r>
    <x v="2911"/>
    <s v="Pneumatic fitting"/>
    <s v="SMC"/>
    <s v="KQ2L06-G01A"/>
    <s v="MYR"/>
    <n v="5.75"/>
    <s v="ea"/>
    <n v="1"/>
    <n v="0.06"/>
  </r>
  <r>
    <x v="2912"/>
    <s v="MALE ELBOW"/>
    <s v="SMC"/>
    <s v="KQ2L06-G01A"/>
    <s v="MYR"/>
    <n v="5.75"/>
    <s v="ea"/>
    <n v="1"/>
    <n v="0.06"/>
  </r>
  <r>
    <x v="2913"/>
    <s v="Fitting"/>
    <s v="SMC"/>
    <s v="KQ2L06-M5    "/>
    <s v="MYR"/>
    <n v="4.99"/>
    <s v="ea"/>
    <n v="1"/>
    <n v="0.06"/>
  </r>
  <r>
    <x v="2914"/>
    <s v="MALE ELBOW"/>
    <s v="SMC"/>
    <s v="KQ2L06-M5A"/>
    <s v="MYR"/>
    <n v="4.3600000000000003"/>
    <s v="ea"/>
    <n v="1"/>
    <n v="0.06"/>
  </r>
  <r>
    <x v="2915"/>
    <s v="ELBOW-UNION M5M 6/4"/>
    <s v="SMC"/>
    <s v="KQ2L06-M5N"/>
    <s v="MYR"/>
    <n v="3.01"/>
    <s v="ea"/>
    <n v="1"/>
    <n v="0.06"/>
  </r>
  <r>
    <x v="2916"/>
    <s v="FITTING,MALE ELBOW,6MM TUBE,M5"/>
    <s v="SMC"/>
    <s v="KQ2L06-M5N"/>
    <s v="MYR"/>
    <n v="3.01"/>
    <s v="ea"/>
    <n v="1"/>
    <n v="0.06"/>
  </r>
  <r>
    <x v="2917"/>
    <s v="FITTING,MALE ELBOW,M6"/>
    <s v="SMC"/>
    <s v="KQ2L06-M6A"/>
    <s v="MYR"/>
    <n v="5.27"/>
    <s v="ea"/>
    <n v="1"/>
    <n v="0.06"/>
  </r>
  <r>
    <x v="2918"/>
    <s v="ELBOW,UNV G,1/8 UNI M,6MM F"/>
    <s v="SMC"/>
    <s v="KQ2L06-U01A"/>
    <s v="MYR"/>
    <n v="4.33"/>
    <s v="ea"/>
    <n v="1"/>
    <n v="0.06"/>
  </r>
  <r>
    <x v="2919"/>
    <s v="UNION ELBOW-1/4IN TUBE"/>
    <s v="SMC"/>
    <s v="KQ2L07-00A "/>
    <s v="MYR"/>
    <n v="5.46"/>
    <s v="ea"/>
    <n v="1"/>
    <n v="0.06"/>
  </r>
  <r>
    <x v="2920"/>
    <s v="FITTING,RDCR,ELB,3/8OD,1/4OD"/>
    <s v="SMC"/>
    <s v="KQ2L07-11A"/>
    <s v="MYR"/>
    <n v="5.04"/>
    <s v="ea"/>
    <n v="1"/>
    <n v="0.06"/>
  </r>
  <r>
    <x v="2921"/>
    <s v="FITTING, ONE TOUCH"/>
    <s v="SMC"/>
    <s v="KQ2L07-35AS"/>
    <s v="MYR"/>
    <n v="4.8"/>
    <s v="ea"/>
    <n v="1"/>
    <n v="0.06"/>
  </r>
  <r>
    <x v="2922"/>
    <s v="Pneumatic Fitting"/>
    <s v="SMC"/>
    <s v="KQ2L08-02AS"/>
    <s v="MYR"/>
    <n v="3.17"/>
    <s v="ea"/>
    <n v="1"/>
    <n v="0.06"/>
  </r>
  <r>
    <x v="2923"/>
    <s v="ELBOW-UNION 10M 8/6"/>
    <s v="SMC"/>
    <s v="KQ2L08-10A"/>
    <s v="MYR"/>
    <n v="3.65"/>
    <s v="ea"/>
    <n v="1"/>
    <n v="0.06"/>
  </r>
  <r>
    <x v="2924"/>
    <s v="Pneumatic Fitting"/>
    <s v="SMC"/>
    <s v="KQ2L08-12A"/>
    <s v="MYR"/>
    <n v="4.8099999999999996"/>
    <s v="ea"/>
    <n v="1"/>
    <n v="0.06"/>
  </r>
  <r>
    <x v="2925"/>
    <s v="ELBOW, 8MM, MALE TO FEMALE"/>
    <s v="SMC"/>
    <s v="KQ2L08-99A"/>
    <s v="MYR"/>
    <n v="3.1"/>
    <s v="ea"/>
    <n v="1"/>
    <n v="0.06"/>
  </r>
  <r>
    <x v="2926"/>
    <s v="MALE ELBOW"/>
    <s v="SMC"/>
    <s v="KQ2L08-G01A"/>
    <s v="MYR"/>
    <n v="6.41"/>
    <s v="ea"/>
    <n v="1"/>
    <n v="0.06"/>
  </r>
  <r>
    <x v="2927"/>
    <s v="1/8&quot;RCX8MM ELBOW"/>
    <s v="SMC"/>
    <s v="KQ2L08-U01A"/>
    <s v="MYR"/>
    <n v="5.27"/>
    <s v="ea"/>
    <n v="1"/>
    <n v="0.06"/>
  </r>
  <r>
    <x v="2928"/>
    <s v="ELBOW FITTING,8MM OD,1/4&quot;UNI"/>
    <s v="SMC"/>
    <s v="KQ2L08-U02A"/>
    <s v="MYR"/>
    <n v="5.3199999999999994"/>
    <s v="ea"/>
    <n v="1"/>
    <n v="0.06"/>
  </r>
  <r>
    <x v="2929"/>
    <s v="3/8&quot;RCX8MM ELBOW"/>
    <s v="SMC"/>
    <s v="KQ2L08-U03A"/>
    <s v="MYR"/>
    <n v="5.89"/>
    <s v="ea"/>
    <n v="1"/>
    <n v="0.06"/>
  </r>
  <r>
    <x v="2930"/>
    <s v="FITTING  ELBOW  5/16X1/4NPT"/>
    <s v="SMC"/>
    <s v="KQ2L09-35AS"/>
    <s v="MYR"/>
    <n v="2.96"/>
    <s v="ea"/>
    <n v="1"/>
    <n v="0.06"/>
  </r>
  <r>
    <x v="2931"/>
    <s v="ELBOW, 10MM TO 10MM OD TUBE"/>
    <s v="SMC"/>
    <s v="KQ2L10-00A"/>
    <s v="MYR"/>
    <n v="5.88"/>
    <s v="ea"/>
    <n v="1"/>
    <n v="0.06"/>
  </r>
  <r>
    <x v="2932"/>
    <s v="ELBOW 1/8 R(PT) M 10MM F"/>
    <s v="SMC"/>
    <s v="KQ2L10-01NS"/>
    <s v="MYR"/>
    <n v="5.89"/>
    <s v="ea"/>
    <n v="1"/>
    <n v="0.06"/>
  </r>
  <r>
    <x v="2933"/>
    <s v="Pneumatic Fitting"/>
    <s v="SMC"/>
    <s v="KQ2L10-01S"/>
    <s v="MYR"/>
    <n v="5.95"/>
    <s v="ea"/>
    <n v="1"/>
    <n v="0.06"/>
  </r>
  <r>
    <x v="2934"/>
    <s v="ELBOW MALE 10MM"/>
    <s v="SMC"/>
    <s v="KQ2L10-03S"/>
    <s v="MYR"/>
    <n v="6.84"/>
    <s v="ea"/>
    <n v="1"/>
    <n v="0.06"/>
  </r>
  <r>
    <x v="2935"/>
    <s v="ELBOW-UNION G1/2M 10/8"/>
    <s v="SMC"/>
    <s v="KQ2L10-04AS"/>
    <s v="MYR"/>
    <n v="6.62"/>
    <s v="ea"/>
    <n v="1"/>
    <n v="0.06"/>
  </r>
  <r>
    <x v="2936"/>
    <s v="ELBOW, MALE, 10MM"/>
    <s v="SMC"/>
    <s v="KQ2L10-04S"/>
    <s v="MYR"/>
    <n v="7.51"/>
    <s v="ea"/>
    <n v="1"/>
    <n v="0.06"/>
  </r>
  <r>
    <x v="2937"/>
    <s v="ELBOW 10MM M X 10MM F"/>
    <s v="SMC"/>
    <s v="KQ2L10-99"/>
    <s v="MYR"/>
    <n v="5.65"/>
    <s v="ea"/>
    <n v="1"/>
    <n v="0.06"/>
  </r>
  <r>
    <x v="2938"/>
    <s v="Fitting"/>
    <s v="SMC"/>
    <s v="KQ2L10-G03A"/>
    <s v="MYR"/>
    <n v="7.65"/>
    <s v="ea"/>
    <n v="1"/>
    <n v="0.06"/>
  </r>
  <r>
    <x v="2939"/>
    <s v="ELBOW,GASKET,1/4 UNI M,10MM F"/>
    <s v="SMC"/>
    <s v="KQ2L10-U02A"/>
    <s v="MYR"/>
    <n v="7.22"/>
    <s v="ea"/>
    <n v="1"/>
    <n v="0.06"/>
  </r>
  <r>
    <x v="2940"/>
    <s v="10MM ELBOW 3/8 MALE UNVSAL"/>
    <s v="SMC"/>
    <s v="KQ2L10-U03"/>
    <s v="MYR"/>
    <n v="6.89"/>
    <s v="ea"/>
    <n v="1"/>
    <n v="0.06"/>
  </r>
  <r>
    <x v="2941"/>
    <s v="ELBOW,1/4 NPT M,3/8 OD F"/>
    <s v="SMC"/>
    <s v="KQ2L11-35AS"/>
    <s v="MYR"/>
    <n v="5.13"/>
    <s v="ea"/>
    <n v="1"/>
    <n v="0.06"/>
  </r>
  <r>
    <x v="2942"/>
    <s v="FITTING,ELBOW,3/8NPT,3/8OD"/>
    <s v="SMC"/>
    <s v="KQ2L11-36AS"/>
    <s v="MYR"/>
    <n v="6.94"/>
    <s v="ea"/>
    <n v="1"/>
    <n v="0.06"/>
  </r>
  <r>
    <x v="2943"/>
    <s v="UNION ELBOW"/>
    <s v="SMC"/>
    <s v="KQ2L12-00A"/>
    <s v="MYR"/>
    <n v="6.24"/>
    <s v="ea"/>
    <n v="1"/>
    <n v="0.06"/>
  </r>
  <r>
    <x v="2944"/>
    <s v="Pneumatic Fitting"/>
    <s v="SMC"/>
    <s v="KQ2L12-04NS"/>
    <s v="MYR"/>
    <n v="11.12"/>
    <s v="ea"/>
    <n v="1"/>
    <n v="0.06"/>
  </r>
  <r>
    <x v="2945"/>
    <s v="ELBOW, ONE TOUCH 12MM, 3/8UNI"/>
    <s v="SMC"/>
    <s v="KQ2L12-U03A"/>
    <s v="MYR"/>
    <n v="6.56"/>
    <s v="ea"/>
    <n v="1"/>
    <n v="0.06"/>
  </r>
  <r>
    <x v="2946"/>
    <s v="FITTING,ELB,1/2MPT,1/2OD"/>
    <s v="SMC"/>
    <s v="KQ2L13-37AS"/>
    <s v="MYR"/>
    <n v="11.31"/>
    <s v="ea"/>
    <n v="1"/>
    <n v="0.06"/>
  </r>
  <r>
    <x v="2947"/>
    <s v="Pneumatic Fitting"/>
    <s v="SMC"/>
    <s v="KQ2L16-00A"/>
    <s v="MYR"/>
    <n v="16.86"/>
    <s v="ea"/>
    <n v="1"/>
    <n v="0.06"/>
  </r>
  <r>
    <x v="2948"/>
    <s v="FITTING-ELBOW UNION DIA3.2 MM OD"/>
    <s v="SMC"/>
    <s v="KQ2L23-00A"/>
    <s v="MYR"/>
    <n v="3.86"/>
    <s v="ea"/>
    <n v="1"/>
    <n v="0.06"/>
  </r>
  <r>
    <x v="2949"/>
    <s v="Pneumatic Fitting"/>
    <s v="SMC"/>
    <s v="KQ2L23-04A"/>
    <s v="MYR"/>
    <n v="3.75"/>
    <s v="ea"/>
    <n v="1"/>
    <n v="0.06"/>
  </r>
  <r>
    <x v="2950"/>
    <s v="Winkelsteckreduzierung"/>
    <s v="SMC"/>
    <s v="KQ2L23-06A"/>
    <s v="MYR"/>
    <n v="3.75"/>
    <s v="ea"/>
    <n v="1"/>
    <n v="0.06"/>
  </r>
  <r>
    <x v="2951"/>
    <s v="Pneumatic Fitting"/>
    <s v="SMC"/>
    <s v="KQ2L23-M3G"/>
    <s v="MYR"/>
    <n v="4.75"/>
    <s v="ea"/>
    <n v="1"/>
    <n v="0.06"/>
  </r>
  <r>
    <x v="2952"/>
    <s v="FITTING EL 03XM5"/>
    <s v="SMC"/>
    <s v="KQ2L23-M5A"/>
    <s v="MYR"/>
    <n v="2.64"/>
    <s v="ea"/>
    <n v="1"/>
    <n v="0.06"/>
  </r>
  <r>
    <x v="2953"/>
    <s v="Pneumatic Fitting"/>
    <s v="SMC"/>
    <s v="KQ2LE01-00A"/>
    <s v="MYR"/>
    <n v="11.16"/>
    <s v="ea"/>
    <n v="1"/>
    <n v="0.06"/>
  </r>
  <r>
    <x v="2954"/>
    <s v="FITTING,BULKHEAD,6MM ELBOW"/>
    <s v="SMC"/>
    <s v="KQ2LE06-00A"/>
    <s v="MYR"/>
    <n v="9.06"/>
    <s v="ea"/>
    <n v="1"/>
    <n v="0.06"/>
  </r>
  <r>
    <x v="2955"/>
    <s v="ELBOW,12MM,BULKHEAD"/>
    <s v="SMC"/>
    <s v="KQ2LE12-00"/>
    <s v="MYR"/>
    <n v="16.82"/>
    <s v="ea"/>
    <n v="1"/>
    <n v="0.06"/>
  </r>
  <r>
    <x v="2956"/>
    <s v="Pneumatic Fitting"/>
    <s v="SMC"/>
    <s v="KQ2LF04-01"/>
    <s v="MYR"/>
    <n v="4.38"/>
    <s v="ea"/>
    <n v="1"/>
    <n v="0.06"/>
  </r>
  <r>
    <x v="2957"/>
    <s v="RACCORD COUDE M5F 4/2.5"/>
    <s v="SMC"/>
    <s v="KQ2LF04-M5A"/>
    <s v="MYR"/>
    <n v="5.36"/>
    <s v="ea"/>
    <n v="1"/>
    <n v="0.06"/>
  </r>
  <r>
    <x v="2958"/>
    <s v="ELBOW-UNION G1/8F 6/4"/>
    <s v="SMC"/>
    <s v="KQ2LF06-01A"/>
    <s v="MYR"/>
    <n v="4.5199999999999996"/>
    <s v="ea"/>
    <n v="1"/>
    <n v="0.06"/>
  </r>
  <r>
    <x v="2959"/>
    <s v="Pneumatic Fitting L"/>
    <s v="SMC"/>
    <s v="KQ2LF08-02"/>
    <s v="MYR"/>
    <n v="6.79"/>
    <s v="ea"/>
    <n v="1"/>
    <n v="0.06"/>
  </r>
  <r>
    <x v="2960"/>
    <s v="Fitting Y"/>
    <s v="SMC"/>
    <s v="KQ2LU08-00A"/>
    <s v="MYR"/>
    <n v="8.8699999999999992"/>
    <s v="ea"/>
    <n v="1"/>
    <n v="0.06"/>
  </r>
  <r>
    <x v="2961"/>
    <s v="JONCTION-DOUBLE D=4MM"/>
    <s v="SMC"/>
    <s v="KQ2N04-99"/>
    <s v="MYR"/>
    <n v="1.58"/>
    <s v="ea"/>
    <n v="1"/>
    <n v="0.06"/>
  </r>
  <r>
    <x v="2962"/>
    <s v="FITTING,NIPPLE,6MM TO 6MM"/>
    <s v="SMC"/>
    <s v="KQ2N06-99"/>
    <s v="MYR"/>
    <n v="1.62"/>
    <s v="ea"/>
    <n v="1"/>
    <n v="0.06"/>
  </r>
  <r>
    <x v="2963"/>
    <s v="Pneumatic Fitting"/>
    <s v="SMC"/>
    <s v="KQ2N08-10"/>
    <s v="MYR"/>
    <n v="3.1"/>
    <s v="ea"/>
    <n v="1"/>
    <n v="0.06"/>
  </r>
  <r>
    <x v="2964"/>
    <s v="Kupplungsstⁿck"/>
    <s v="SMC"/>
    <s v="KQ2N08-99"/>
    <s v="MYR"/>
    <n v="1.86"/>
    <s v="ea"/>
    <n v="1"/>
    <n v="0.06"/>
  </r>
  <r>
    <x v="2965"/>
    <s v="Pneumatic Fitting"/>
    <s v="SMC"/>
    <s v="KQ2N10-99"/>
    <s v="MYR"/>
    <n v="1.98"/>
    <s v="ea"/>
    <n v="1"/>
    <n v="0.06"/>
  </r>
  <r>
    <x v="2966"/>
    <s v="Steckverbindung ╪12"/>
    <s v="SMC"/>
    <s v="KQ2N12-99"/>
    <s v="MYR"/>
    <n v="2.65"/>
    <s v="ea"/>
    <n v="1"/>
    <n v="0.06"/>
  </r>
  <r>
    <x v="2967"/>
    <s v="PLUG,5/16&quot;TUBE FITTING,1.54 LG"/>
    <s v="SMC"/>
    <s v="KQ2P-09"/>
    <s v="MYR"/>
    <n v="4.47"/>
    <s v="ea"/>
    <n v="1"/>
    <n v="0.06"/>
  </r>
  <r>
    <x v="2968"/>
    <s v="PLUG,3/8"/>
    <s v="SMC"/>
    <s v="KQ2P-11"/>
    <s v="MYR"/>
    <n v="3.35"/>
    <s v="ea"/>
    <n v="1"/>
    <n v="0.06"/>
  </r>
  <r>
    <x v="2969"/>
    <s v="Blind Plug"/>
    <s v="SMC"/>
    <s v="KQ2P-12"/>
    <s v="MYR"/>
    <n v="1.51"/>
    <s v="ea"/>
    <n v="1"/>
    <n v="0.06"/>
  </r>
  <r>
    <x v="2970"/>
    <s v="PLUG KQ2P-16"/>
    <s v="SMC"/>
    <s v="KQ2P-16"/>
    <s v="MYR"/>
    <n v="2.2200000000000002"/>
    <s v="ea"/>
    <n v="1"/>
    <n v="0.06"/>
  </r>
  <r>
    <x v="2971"/>
    <s v="Blind Plug Dia3.2mm"/>
    <s v="SMC"/>
    <s v="KQ2P-23"/>
    <s v="MYR"/>
    <n v="2.02"/>
    <s v="ea"/>
    <n v="1"/>
    <n v="0.06"/>
  </r>
  <r>
    <x v="2972"/>
    <s v="PLUG IN REDUCER,5/32&quot; TO 1/8"/>
    <s v="SMC"/>
    <s v="KQ2R01-03A"/>
    <s v="MYR"/>
    <n v="3.53"/>
    <s v="ea"/>
    <n v="1"/>
    <n v="0.06"/>
  </r>
  <r>
    <x v="2973"/>
    <s v="FITTING-REDUCING-RIGHT-PLUGGABLE"/>
    <s v="SMC"/>
    <s v="KQ2R02-04A"/>
    <s v="MYR"/>
    <n v="2.5"/>
    <s v="ea"/>
    <n v="1"/>
    <n v="0.06"/>
  </r>
  <r>
    <x v="2974"/>
    <s v="REDUCER 8MM TO 6MM"/>
    <s v="SMC"/>
    <s v="KQ2R06-08"/>
    <s v="MYR"/>
    <n v="3.01"/>
    <s v="ea"/>
    <n v="1"/>
    <n v="0.06"/>
  </r>
  <r>
    <x v="2975"/>
    <s v="REDUCER,STRAIGHT,6MM TO 10MM"/>
    <s v="SMC"/>
    <s v="KQ2R06-10"/>
    <s v="MYR"/>
    <n v="5.51"/>
    <s v="ea"/>
    <n v="1"/>
    <n v="0.06"/>
  </r>
  <r>
    <x v="2976"/>
    <s v="PLUG-IN REDUCER,5/16-1/4"/>
    <s v="SMC"/>
    <s v="KQ2R07-09"/>
    <s v="MYR"/>
    <n v="5.17"/>
    <s v="ea"/>
    <n v="1"/>
    <n v="0.06"/>
  </r>
  <r>
    <x v="2977"/>
    <s v="REDUCER, PLUGIN 1/4"/>
    <s v="SMC"/>
    <s v="KQ2R07-11A"/>
    <s v="MYR"/>
    <n v="5.56"/>
    <s v="ea"/>
    <n v="1"/>
    <n v="0.06"/>
  </r>
  <r>
    <x v="2978"/>
    <s v="10MM TO 8MM TUBE REDUCER"/>
    <s v="SMC"/>
    <s v="KQ2R08-10A"/>
    <s v="MYR"/>
    <n v="3.57"/>
    <s v="ea"/>
    <n v="1"/>
    <n v="0.06"/>
  </r>
  <r>
    <x v="2979"/>
    <s v="REDUCER,STRAIGHT,10MM TO 12MM"/>
    <s v="SMC"/>
    <s v="KQ2R10-12"/>
    <s v="MYR"/>
    <n v="4.92"/>
    <s v="ea"/>
    <n v="1"/>
    <n v="0.06"/>
  </r>
  <r>
    <x v="2980"/>
    <s v="REDUCTION"/>
    <s v="SMC"/>
    <s v="KQ2R10-12A"/>
    <s v="MYR"/>
    <n v="6.15"/>
    <s v="ea"/>
    <n v="1"/>
    <n v="0.06"/>
  </r>
  <r>
    <x v="2981"/>
    <s v="FITTING-REDUCER-STRAIGHT-PLUGABLE 4/3.2"/>
    <s v="SMC"/>
    <s v="KQ2R23-04A"/>
    <s v="MYR"/>
    <n v="2.79"/>
    <s v="ea"/>
    <n v="1"/>
    <n v="0.06"/>
  </r>
  <r>
    <x v="2982"/>
    <s v="FITTING-STRAIGHT 1/8M 4/2.5"/>
    <s v="SMC"/>
    <s v="KQ2S04-01NS"/>
    <s v="MYR"/>
    <n v="3.44"/>
    <s v="ea"/>
    <n v="1"/>
    <n v="0.06"/>
  </r>
  <r>
    <x v="2983"/>
    <s v="FITTING-STRAIGHT M3 4/2.5"/>
    <s v="SMC"/>
    <s v="KQ2S04-M3G"/>
    <s v="MYR"/>
    <n v="4.05"/>
    <s v="ea"/>
    <n v="1"/>
    <n v="0.06"/>
  </r>
  <r>
    <x v="2984"/>
    <s v="MALE CONNECTOR"/>
    <s v="SMC"/>
    <s v="KQ2S04-M3G"/>
    <s v="MYR"/>
    <n v="4.05"/>
    <s v="ea"/>
    <n v="1"/>
    <n v="0.06"/>
  </r>
  <r>
    <x v="2985"/>
    <s v="FITTING-QUICK D=4"/>
    <s v="SMC"/>
    <s v="KQ2S04-M5A"/>
    <s v="MYR"/>
    <n v="2.4500000000000002"/>
    <s v="ea"/>
    <n v="1"/>
    <n v="0.06"/>
  </r>
  <r>
    <x v="2986"/>
    <s v="MALE CNCTR,HEX SKT HD,4MM TUBE"/>
    <s v="SMC"/>
    <s v="KQ2S04-M5N"/>
    <s v="MYR"/>
    <n v="2.0699999999999998"/>
    <s v="ea"/>
    <n v="1"/>
    <n v="0.06"/>
  </r>
  <r>
    <x v="2987"/>
    <s v="Fitting"/>
    <s v="SMC"/>
    <s v="KQ2S04-M5N"/>
    <s v="MYR"/>
    <n v="2.0699999999999998"/>
    <s v="ea"/>
    <n v="1"/>
    <n v="0.06"/>
  </r>
  <r>
    <x v="2988"/>
    <s v="MALE CNCTR,HEX HD,4MM TUBE,M6"/>
    <s v="SMC"/>
    <s v="KQ2S04-M6N"/>
    <s v="MYR"/>
    <n v="4.5599999999999996"/>
    <s v="ea"/>
    <n v="1"/>
    <n v="0.06"/>
  </r>
  <r>
    <x v="2989"/>
    <s v="FITTING-STRAIGHT 1/8M 6/4"/>
    <s v="SMC"/>
    <s v="KQ2S06-01NS"/>
    <s v="MYR"/>
    <n v="2.31"/>
    <s v="ea"/>
    <n v="1"/>
    <n v="0.06"/>
  </r>
  <r>
    <x v="2990"/>
    <s v="FITTING,STR,1/8 NPT,6MM TUBE"/>
    <s v="SMC"/>
    <s v="KQ2S06-01S"/>
    <s v="MYR"/>
    <n v="2.73"/>
    <s v="ea"/>
    <n v="1"/>
    <n v="0.06"/>
  </r>
  <r>
    <x v="2991"/>
    <s v="CONTACT-SAFETY"/>
    <s v="SMC"/>
    <s v="KQ2S06-M5A"/>
    <s v="MYR"/>
    <n v="2.4500000000000002"/>
    <s v="ea"/>
    <n v="1"/>
    <n v="0.06"/>
  </r>
  <r>
    <x v="2992"/>
    <s v="M6 TUBE MALE CONNECTOR"/>
    <s v="SMC"/>
    <s v="KQ2S06-M5A"/>
    <s v="MYR"/>
    <n v="2.4500000000000002"/>
    <s v="ea"/>
    <n v="1"/>
    <n v="0.06"/>
  </r>
  <r>
    <x v="2993"/>
    <s v="FITTING,MALE CONN,6MM TUBE,M6"/>
    <s v="SMC"/>
    <s v="KQ2S06-M6N"/>
    <s v="MYR"/>
    <n v="4.6100000000000003"/>
    <s v="ea"/>
    <n v="1"/>
    <n v="0.06"/>
  </r>
  <r>
    <x v="2994"/>
    <s v="FITTING-STRAIGHT 1/8M 8/6"/>
    <s v="SMC"/>
    <s v="KQ2S08-01AS"/>
    <s v="MYR"/>
    <n v="4.05"/>
    <s v="ea"/>
    <n v="1"/>
    <n v="0.06"/>
  </r>
  <r>
    <x v="2995"/>
    <s v="CONNECTOR,MALE,8MM,1/8&quot;PT"/>
    <s v="SMC"/>
    <s v="KQ2S08-01S"/>
    <s v="MYR"/>
    <n v="4.05"/>
    <s v="ea"/>
    <n v="1"/>
    <n v="0.06"/>
  </r>
  <r>
    <x v="2996"/>
    <s v="FITTING-STRAIGHT G1/4M 10/8"/>
    <s v="SMC"/>
    <s v="KQ2S10-02AS"/>
    <s v="MYR"/>
    <n v="5.24"/>
    <s v="ea"/>
    <n v="1"/>
    <n v="0.06"/>
  </r>
  <r>
    <x v="2997"/>
    <s v="Pneumatic Fitting"/>
    <s v="SMC"/>
    <s v="KQ2S12-02AS"/>
    <s v="MYR"/>
    <n v="5.24"/>
    <s v="ea"/>
    <n v="1"/>
    <n v="0.06"/>
  </r>
  <r>
    <x v="2998"/>
    <s v="FITTING-STRAIGHT G3/8M 12/10"/>
    <s v="SMC"/>
    <s v="KQ2S12-03AS"/>
    <s v="MYR"/>
    <n v="6.79"/>
    <s v="ea"/>
    <n v="1"/>
    <n v="0.06"/>
  </r>
  <r>
    <x v="2999"/>
    <s v="UNIFIT FITTING, 1/4&quot;M, 12MM OD"/>
    <s v="SMC"/>
    <s v="KQ2S12-U02A"/>
    <s v="MYR"/>
    <n v="8.0299999999999994"/>
    <s v="ea"/>
    <n v="1"/>
    <n v="0.06"/>
  </r>
  <r>
    <x v="3000"/>
    <s v="UNIFIT FITTING, 3/8&quot;M, 12MM OD"/>
    <s v="SMC"/>
    <s v="KQ2S12-U03A"/>
    <s v="MYR"/>
    <n v="8.2200000000000006"/>
    <s v="ea"/>
    <n v="1"/>
    <n v="0.06"/>
  </r>
  <r>
    <x v="3001"/>
    <s v="FITTING,M3 MALE,3.2MM OD"/>
    <s v="SMC"/>
    <s v="KQ2S23-M3G"/>
    <s v="MYR"/>
    <n v="4.2300000000000004"/>
    <s v="ea"/>
    <n v="1"/>
    <n v="0.06"/>
  </r>
  <r>
    <x v="3002"/>
    <s v="FITTING-STRAIGHT M5 3.2/3"/>
    <s v="SMC"/>
    <s v="KQ2S23-M5N"/>
    <s v="MYR"/>
    <n v="2.85"/>
    <s v="ea"/>
    <n v="1"/>
    <n v="0.06"/>
  </r>
  <r>
    <x v="3003"/>
    <s v="TEE,UNION,4MM"/>
    <s v="SMC"/>
    <s v="KQ2T04-00A"/>
    <s v="MYR"/>
    <n v="3.8"/>
    <s v="ea"/>
    <n v="1"/>
    <n v="0.06"/>
  </r>
  <r>
    <x v="3004"/>
    <s v="FITTING-UNION TEE 4MM"/>
    <s v="SMC"/>
    <s v="KQ2T04-00A"/>
    <s v="MYR"/>
    <n v="3.8"/>
    <s v="ea"/>
    <n v="1"/>
    <n v="0.06"/>
  </r>
  <r>
    <x v="3005"/>
    <s v="TEE,UNION,4MM"/>
    <s v="SMC"/>
    <s v="KQ2T04-00A"/>
    <s v="MYR"/>
    <n v="3.8"/>
    <s v="ea"/>
    <n v="1"/>
    <n v="0.06"/>
  </r>
  <r>
    <x v="3006"/>
    <s v="UNION TEE"/>
    <s v="SMC"/>
    <s v="KQ2T04-00A"/>
    <s v="MYR"/>
    <n v="3.8"/>
    <s v="ea"/>
    <n v="1"/>
    <n v="0.06"/>
  </r>
  <r>
    <x v="3007"/>
    <s v="FITTING,UNION TEE,6MM TO 4MM"/>
    <s v="SMC"/>
    <s v="KQ2T04-06"/>
    <s v="MYR"/>
    <n v="7.4099999999999993"/>
    <s v="ea"/>
    <n v="1"/>
    <n v="0.06"/>
  </r>
  <r>
    <x v="3008"/>
    <s v="DIFFERENT DIAMETER TEE"/>
    <s v="SMC"/>
    <s v="KQ2T04-06A"/>
    <s v="MYR"/>
    <n v="4.76"/>
    <s v="ea"/>
    <n v="1"/>
    <n v="0.06"/>
  </r>
  <r>
    <x v="3009"/>
    <s v="UNION T,6MM"/>
    <s v="SMC"/>
    <s v="KQ2T06-00A"/>
    <s v="MYR"/>
    <n v="4.2699999999999996"/>
    <s v="ea"/>
    <n v="1"/>
    <n v="0.06"/>
  </r>
  <r>
    <x v="3010"/>
    <s v="DIFFERENT DIAMETER TEE"/>
    <s v="SMC"/>
    <s v="KQ2T06-04A"/>
    <s v="MYR"/>
    <n v="4.99"/>
    <s v="ea"/>
    <n v="1"/>
    <n v="0.06"/>
  </r>
  <r>
    <x v="3011"/>
    <s v="TEE,6 MM TUBE, M5"/>
    <s v="SMC"/>
    <s v="KQ2T06-M5"/>
    <s v="MYR"/>
    <n v="7.54"/>
    <s v="ea"/>
    <n v="1"/>
    <n v="0.06"/>
  </r>
  <r>
    <x v="3012"/>
    <s v="FITTING,TEE,06,M5"/>
    <s v="SMC"/>
    <s v="KQ2T06-M5A"/>
    <s v="MYR"/>
    <n v="8.6"/>
    <s v="ea"/>
    <n v="1"/>
    <n v="0.06"/>
  </r>
  <r>
    <x v="3013"/>
    <s v="FITTING,UNION TEE,1/4&quot;OD TUBE"/>
    <s v="SMC"/>
    <s v="KQ2T07-00A"/>
    <s v="MYR"/>
    <n v="6.79"/>
    <s v="ea"/>
    <n v="1"/>
    <n v="0.06"/>
  </r>
  <r>
    <x v="3014"/>
    <s v="TEE,ST 1/4TUBE,10-32 M"/>
    <s v="SMC"/>
    <s v="KQ2T07-32A"/>
    <s v="MYR"/>
    <n v="8.6"/>
    <s v="ea"/>
    <n v="1"/>
    <n v="0.06"/>
  </r>
  <r>
    <x v="3015"/>
    <s v="FITTING,TEE,1/4MPT,1/4OD"/>
    <s v="SMC"/>
    <s v="KQ2T07-35AS"/>
    <s v="MYR"/>
    <n v="8.31"/>
    <s v="ea"/>
    <n v="1"/>
    <n v="0.06"/>
  </r>
  <r>
    <x v="3016"/>
    <s v="FITTING T G1/8M-10-10"/>
    <s v="SMC"/>
    <s v="KQ2T10-01AS"/>
    <s v="MYR"/>
    <n v="6.95"/>
    <s v="ea"/>
    <n v="1"/>
    <n v="0.06"/>
  </r>
  <r>
    <x v="3017"/>
    <s v="TEE,1TOUCH 10MM THRU X8MM"/>
    <s v="SMC"/>
    <s v="KQ2T10-08"/>
    <s v="MYR"/>
    <n v="6.68"/>
    <s v="ea"/>
    <n v="1"/>
    <n v="0.06"/>
  </r>
  <r>
    <x v="3018"/>
    <s v="TEE,REDUCER,12MM F,2X 10MM F"/>
    <s v="SMC"/>
    <s v="KQ2T10-12A"/>
    <s v="MYR"/>
    <n v="7.24"/>
    <s v="ea"/>
    <n v="1"/>
    <n v="0.06"/>
  </r>
  <r>
    <x v="3019"/>
    <s v="RACCORD T G1/4M-10-10"/>
    <s v="SMC"/>
    <s v="KQ2T10-G02A"/>
    <s v="MYR"/>
    <n v="8.3800000000000008"/>
    <s v="ea"/>
    <n v="1"/>
    <n v="0.06"/>
  </r>
  <r>
    <x v="3020"/>
    <s v="FITTING,T-UNION, ONE"/>
    <s v="SMC"/>
    <s v="KQ2T11-00A"/>
    <s v="MYR"/>
    <n v="9.26"/>
    <s v="ea"/>
    <n v="1"/>
    <n v="0.06"/>
  </r>
  <r>
    <x v="3021"/>
    <s v="UNION T,12MM"/>
    <s v="SMC"/>
    <s v="KQ2T12-00A"/>
    <s v="MYR"/>
    <n v="8.59"/>
    <s v="ea"/>
    <n v="1"/>
    <n v="0.06"/>
  </r>
  <r>
    <x v="3022"/>
    <s v="FITTING T 12-10-12"/>
    <s v="SMC"/>
    <s v="KQ2T12-10A"/>
    <s v="MYR"/>
    <n v="10.220000000000001"/>
    <s v="ea"/>
    <n v="1"/>
    <n v="0.06"/>
  </r>
  <r>
    <x v="3023"/>
    <s v="T-Fitting"/>
    <s v="SMC"/>
    <s v="KQ2T12-G02A"/>
    <s v="MYR"/>
    <n v="16.72"/>
    <s v="ea"/>
    <n v="1"/>
    <n v="0.06"/>
  </r>
  <r>
    <x v="3024"/>
    <s v="Pneumatic Fitting T 16mm"/>
    <s v="SMC"/>
    <s v="KQ2T16-00A"/>
    <s v="MYR"/>
    <n v="21.09"/>
    <s v="ea"/>
    <n v="1"/>
    <n v="0.06"/>
  </r>
  <r>
    <x v="3025"/>
    <s v="Fitting (Cross)"/>
    <s v="SMC"/>
    <s v="KQ2TW08-00A"/>
    <s v="MYR"/>
    <n v="9.06"/>
    <s v="ea"/>
    <n v="1"/>
    <n v="0.06"/>
  </r>
  <r>
    <x v="3026"/>
    <s v="Fitting"/>
    <s v="SMC"/>
    <s v="KQ2TW12-00A"/>
    <s v="MYR"/>
    <n v="14.09"/>
    <s v="ea"/>
    <n v="1"/>
    <n v="0.06"/>
  </r>
  <r>
    <x v="3027"/>
    <s v="Pneumatic Fitting"/>
    <s v="SMC"/>
    <s v="KQ2TY08-10A"/>
    <s v="MYR"/>
    <n v="12.59"/>
    <s v="ea"/>
    <n v="1"/>
    <n v="0.06"/>
  </r>
  <r>
    <x v="3028"/>
    <s v="FITTING Y 2-2-2"/>
    <s v="SMC"/>
    <s v="KQ2U02-00A"/>
    <s v="MYR"/>
    <n v="9.17"/>
    <s v="ea"/>
    <n v="1"/>
    <n v="0.06"/>
  </r>
  <r>
    <x v="3029"/>
    <s v="UNION-Y,5/32OD"/>
    <s v="SMC"/>
    <s v="KQ2U03-00A"/>
    <s v="MYR"/>
    <n v="7.27"/>
    <s v="ea"/>
    <n v="1"/>
    <n v="0.06"/>
  </r>
  <r>
    <x v="3030"/>
    <s v="UNION,&quot;Y&quot;,4MM"/>
    <s v="SMC"/>
    <s v="KQ2U04-00A"/>
    <s v="MYR"/>
    <n v="4.2300000000000004"/>
    <s v="ea"/>
    <n v="1"/>
    <n v="0.06"/>
  </r>
  <r>
    <x v="3031"/>
    <s v="FITTING Y UNION 4MMOD 6MMOD"/>
    <s v="SMC"/>
    <s v="KQ2U04-06A"/>
    <s v="MYR"/>
    <n v="4.75"/>
    <s v="ea"/>
    <n v="1"/>
    <n v="0.06"/>
  </r>
  <r>
    <x v="3032"/>
    <s v="FITTING, Y-4MM, 1 TOUCH"/>
    <s v="SMC"/>
    <s v="KQ2U04-99A"/>
    <s v="MYR"/>
    <n v="5.3"/>
    <s v="ea"/>
    <n v="1"/>
    <n v="0.06"/>
  </r>
  <r>
    <x v="3033"/>
    <s v="FITTING-BRANCH Y-M5 TO 4MM"/>
    <s v="SMC"/>
    <s v="KQ2U04-M5A"/>
    <s v="MYR"/>
    <n v="8.27"/>
    <s v="ea"/>
    <n v="1"/>
    <n v="0.06"/>
  </r>
  <r>
    <x v="3034"/>
    <s v="FITTING Y 6-6-6"/>
    <s v="SMC"/>
    <s v="KQ2U06-00A"/>
    <s v="MYR"/>
    <n v="4.33"/>
    <s v="ea"/>
    <n v="1"/>
    <n v="0.06"/>
  </r>
  <r>
    <x v="3035"/>
    <s v="UNION Y"/>
    <s v="SMC"/>
    <s v="KQ2U06-00A"/>
    <s v="MYR"/>
    <n v="4.33"/>
    <s v="ea"/>
    <n v="1"/>
    <n v="0.06"/>
  </r>
  <r>
    <x v="3036"/>
    <s v="FITTING, BRANCH, 6MM X 1/8 NPT"/>
    <s v="SMC"/>
    <s v="KQ2U06-01AS"/>
    <s v="MYR"/>
    <n v="8.08"/>
    <s v="ea"/>
    <n v="1"/>
    <n v="0.06"/>
  </r>
  <r>
    <x v="3037"/>
    <s v="FITTING, Y, 6MM TUBE, 3/8 FNPT"/>
    <s v="SMC"/>
    <s v="KQ2U06-03AS"/>
    <s v="MYR"/>
    <n v="9.7899999999999991"/>
    <s v="ea"/>
    <n v="1"/>
    <n v="0.06"/>
  </r>
  <r>
    <x v="3038"/>
    <s v="FITTING, UNION Y, 1/4 OD"/>
    <s v="SMC"/>
    <s v="KQ2U07-00A"/>
    <s v="MYR"/>
    <n v="7.89"/>
    <s v="ea"/>
    <n v="1"/>
    <n v="0.06"/>
  </r>
  <r>
    <x v="3039"/>
    <s v="FITT,BRANCH-Y,1/4 T,5/16 T"/>
    <s v="SMC"/>
    <s v="KQ2U07-09A"/>
    <s v="MYR"/>
    <n v="8.94"/>
    <s v="ea"/>
    <n v="1"/>
    <n v="0.06"/>
  </r>
  <r>
    <x v="3040"/>
    <s v="FITTING,1/4&quot; TUBE OD,Y BRANCH"/>
    <s v="SMC"/>
    <s v="KQ2U07-35AS "/>
    <s v="MYR"/>
    <n v="12.73"/>
    <s v="ea"/>
    <n v="1"/>
    <n v="0.06"/>
  </r>
  <r>
    <x v="3041"/>
    <s v="FITTING Y G1/8-8-8"/>
    <s v="SMC"/>
    <s v="KQ2U08-01AS"/>
    <s v="MYR"/>
    <n v="11.48"/>
    <s v="ea"/>
    <n v="1"/>
    <n v="0.06"/>
  </r>
  <r>
    <x v="3042"/>
    <s v="Y FITTING,8MM MALE,8MM FEMALES"/>
    <s v="SMC"/>
    <s v="KQ2U08-99"/>
    <s v="MYR"/>
    <n v="11.88"/>
    <s v="ea"/>
    <n v="1"/>
    <n v="0.06"/>
  </r>
  <r>
    <x v="3043"/>
    <s v="TEE, 10,10,10MM PUSH CONN"/>
    <s v="SMC"/>
    <s v="KQ2U10-99"/>
    <s v="MYR"/>
    <n v="13.54"/>
    <s v="ea"/>
    <n v="1"/>
    <n v="0.06"/>
  </r>
  <r>
    <x v="3044"/>
    <s v="UNION, Y, 3/8&quot;F"/>
    <s v="SMC"/>
    <s v="KQ2U11-00A"/>
    <s v="MYR"/>
    <n v="12.1"/>
    <s v="ea"/>
    <n v="1"/>
    <n v="0.06"/>
  </r>
  <r>
    <x v="3045"/>
    <s v="FITTING BRANCH Y 12MM X 3/8NPT"/>
    <s v="SMC"/>
    <s v="KQ2U12-03AS"/>
    <s v="MYR"/>
    <n v="14.26"/>
    <s v="ea"/>
    <n v="1"/>
    <n v="0.06"/>
  </r>
  <r>
    <x v="3046"/>
    <s v="Y FITTING, 3.2MM OD, PUSH"/>
    <s v="SMC"/>
    <s v="KQ2U23-00A"/>
    <s v="MYR"/>
    <n v="4.78"/>
    <s v="ea"/>
    <n v="1"/>
    <n v="0.06"/>
  </r>
  <r>
    <x v="3047"/>
    <s v="PNEUMATIC FITTING"/>
    <s v="SMC"/>
    <s v="KQ2U23-00A    "/>
    <s v="MYR"/>
    <n v="4.78"/>
    <s v="ea"/>
    <n v="1"/>
    <n v="0.06"/>
  </r>
  <r>
    <x v="3048"/>
    <s v="PNEUMATIC FITTING"/>
    <s v="SMC"/>
    <s v="KQ2U23-00A    "/>
    <s v="MYR"/>
    <n v="4.78"/>
    <s v="ea"/>
    <n v="1"/>
    <n v="0.06"/>
  </r>
  <r>
    <x v="3049"/>
    <s v="Fitting"/>
    <s v="SMC"/>
    <s v="KQ2U23-04A"/>
    <s v="MYR"/>
    <n v="6.23"/>
    <s v="ea"/>
    <n v="1"/>
    <n v="0.06"/>
  </r>
  <r>
    <x v="3050"/>
    <s v="DIFFERENT DIAMETER DBL UNION Y"/>
    <s v="SMC"/>
    <s v="KQ2UD04-06A"/>
    <s v="MYR"/>
    <n v="8.59"/>
    <s v="ea"/>
    <n v="1"/>
    <n v="0.06"/>
  </r>
  <r>
    <x v="3051"/>
    <s v="Fitting Dia8 to 4x Dia6"/>
    <s v="SMC"/>
    <s v="KQ2UD06-08A"/>
    <s v="MYR"/>
    <n v="11.99"/>
    <s v="ea"/>
    <n v="1"/>
    <n v="0.06"/>
  </r>
  <r>
    <x v="3052"/>
    <s v="ELBOW-UNION M5M 6/4"/>
    <s v="SMC"/>
    <s v="KQ2V06-M5A"/>
    <s v="MYR"/>
    <n v="4.59"/>
    <s v="ea"/>
    <n v="1"/>
    <n v="0.06"/>
  </r>
  <r>
    <x v="3053"/>
    <s v="Pneumatic Fitting"/>
    <s v="SMC"/>
    <s v="KQ2V08-03AS"/>
    <s v="MYR"/>
    <n v="6.49"/>
    <s v="ea"/>
    <n v="1"/>
    <n v="0.06"/>
  </r>
  <r>
    <x v="3054"/>
    <s v="Pneumatic Fitting"/>
    <s v="SMC"/>
    <s v="KQ2V10-03AS"/>
    <s v="MYR"/>
    <n v="9.18"/>
    <s v="ea"/>
    <n v="1"/>
    <n v="0.06"/>
  </r>
  <r>
    <x v="3055"/>
    <s v="Pneumatic Fitting"/>
    <s v="SMC"/>
    <s v="KQ2V12-04AS"/>
    <s v="MYR"/>
    <n v="12.86"/>
    <s v="ea"/>
    <n v="1"/>
    <n v="0.06"/>
  </r>
  <r>
    <x v="3056"/>
    <s v="Pneumatic Fitting"/>
    <s v="SMC"/>
    <s v="KQ2VD08-02AS"/>
    <s v="MYR"/>
    <n v="14.1"/>
    <s v="ea"/>
    <n v="1"/>
    <n v="0.06"/>
  </r>
  <r>
    <x v="3057"/>
    <s v="Pneumatic Fitting"/>
    <s v="SMC"/>
    <s v="KQ2VF08-01AS"/>
    <s v="MYR"/>
    <n v="7.51"/>
    <s v="ea"/>
    <n v="1"/>
    <n v="0.06"/>
  </r>
  <r>
    <x v="3058"/>
    <s v="FITT,ELB,10-32X1/8,TRIPLE UNIV"/>
    <s v="SMC"/>
    <s v="KQ2VT01-32A"/>
    <s v="MYR"/>
    <n v="28.689999999999998"/>
    <s v="ea"/>
    <n v="1"/>
    <n v="0.06"/>
  </r>
  <r>
    <x v="3059"/>
    <s v="ELBOW,TRIPLE,6MM,1/4RPT,W/SEAL"/>
    <s v="SMC"/>
    <s v="KQ2VT06-02AS"/>
    <s v="MYR"/>
    <n v="20.58"/>
    <s v="ea"/>
    <n v="1"/>
    <n v="0.06"/>
  </r>
  <r>
    <x v="3060"/>
    <s v="Fitting"/>
    <s v="SMC"/>
    <s v="KQ2VT08-02AS"/>
    <s v="MYR"/>
    <n v="19.559999999999999"/>
    <s v="ea"/>
    <n v="1"/>
    <n v="0.06"/>
  </r>
  <r>
    <x v="3061"/>
    <s v="Pneumatic Fitting"/>
    <s v="SMC"/>
    <s v="KQ2VT12-02AS"/>
    <s v="MYR"/>
    <n v="24.52"/>
    <s v="ea"/>
    <n v="1"/>
    <n v="0.06"/>
  </r>
  <r>
    <x v="3062"/>
    <s v="TRIPLE 12MM OD ELBOW 1/2''MALE"/>
    <s v="SMC"/>
    <s v="KQ2VT12-04S"/>
    <s v="MYR"/>
    <n v="32.450000000000003"/>
    <s v="ea"/>
    <n v="1"/>
    <n v="0.06"/>
  </r>
  <r>
    <x v="3063"/>
    <s v="Pneumatic Fitting"/>
    <s v="SMC"/>
    <s v="KQ2W04-99A "/>
    <s v="MYR"/>
    <n v="5.25"/>
    <s v="ea"/>
    <n v="1"/>
    <n v="0.06"/>
  </r>
  <r>
    <x v="3064"/>
    <s v="ELBOW-UNION M3M 4/2.5"/>
    <s v="SMC"/>
    <s v="KQ2W04-M3G"/>
    <s v="MYR"/>
    <n v="9.2200000000000006"/>
    <s v="ea"/>
    <n v="1"/>
    <n v="0.06"/>
  </r>
  <r>
    <x v="3065"/>
    <s v="ELBOW-UNION M5M 4/2.5"/>
    <s v="SMC"/>
    <s v="KQ2W04-M5N"/>
    <s v="MYR"/>
    <n v="4.22"/>
    <s v="ea"/>
    <n v="1"/>
    <n v="0.06"/>
  </r>
  <r>
    <x v="3066"/>
    <s v="EXTENDED MALE ELBOW,M5"/>
    <s v="SMC"/>
    <s v="KQ2W04-M5N "/>
    <s v="MYR"/>
    <n v="4.22"/>
    <s v="ea"/>
    <n v="1"/>
    <n v="0.06"/>
  </r>
  <r>
    <x v="3067"/>
    <s v="FITTING,ELBOW,EXTND,6MMTUBE,M5"/>
    <s v="SMC"/>
    <s v="KQ2W06-M5"/>
    <s v="MYR"/>
    <n v="6.98"/>
    <s v="ea"/>
    <n v="1"/>
    <n v="0.06"/>
  </r>
  <r>
    <x v="3068"/>
    <s v="Extended Male Elbow:"/>
    <s v="SMC"/>
    <s v="KQ2W06-M5A"/>
    <s v="MYR"/>
    <n v="6.2"/>
    <s v="ea"/>
    <n v="1"/>
    <n v="0.06"/>
  </r>
  <r>
    <x v="3069"/>
    <s v="ELBOW-UNION M5M 6/4"/>
    <s v="SMC"/>
    <s v="KQ2W06-M5N"/>
    <s v="MYR"/>
    <n v="4.28"/>
    <s v="ea"/>
    <n v="1"/>
    <n v="0.06"/>
  </r>
  <r>
    <x v="3070"/>
    <s v="ELBOW-UNION 1/8M 8/6"/>
    <s v="SMC"/>
    <s v="KQ2W08-01AS"/>
    <s v="MYR"/>
    <n v="7.28"/>
    <s v="ea"/>
    <n v="1"/>
    <n v="0.06"/>
  </r>
  <r>
    <x v="3071"/>
    <s v="Pneumatic Fitting"/>
    <s v="SMC"/>
    <s v="KQ2W08-99A"/>
    <s v="MYR"/>
    <n v="6.14"/>
    <s v="ea"/>
    <n v="1"/>
    <n v="0.06"/>
  </r>
  <r>
    <x v="3072"/>
    <s v="Fitting"/>
    <s v="SMC"/>
    <s v="KQ2W10-G03A"/>
    <s v="MYR"/>
    <n v="15.34"/>
    <s v="ea"/>
    <n v="1"/>
    <n v="0.06"/>
  </r>
  <r>
    <x v="3073"/>
    <s v="FITTING-SINGLE Y-6MMX4MM"/>
    <s v="SMC"/>
    <s v="KQ2X04-06A"/>
    <s v="MYR"/>
    <n v="6.55"/>
    <s v="ea"/>
    <n v="1"/>
    <n v="0.06"/>
  </r>
  <r>
    <x v="3074"/>
    <s v="PLUG-IN &quot;Y&quot; 8MM TO 6MM"/>
    <s v="SMC"/>
    <s v="KQ2X06-08"/>
    <s v="MYR"/>
    <n v="9.17"/>
    <s v="ea"/>
    <n v="1"/>
    <n v="0.06"/>
  </r>
  <r>
    <x v="3075"/>
    <s v="UNION,2 Y,REDUCER,8MM M,6MM F"/>
    <s v="SMC"/>
    <s v="KQ2XD06-08A"/>
    <s v="MYR"/>
    <n v="14.35"/>
    <s v="ea"/>
    <n v="1"/>
    <n v="0.06"/>
  </r>
  <r>
    <x v="3076"/>
    <s v="FITTING T G3/8M-10-10"/>
    <s v="SMC"/>
    <s v="KQ2Y10-03AS"/>
    <s v="MYR"/>
    <n v="10.31"/>
    <s v="ea"/>
    <n v="1"/>
    <n v="0.06"/>
  </r>
  <r>
    <x v="3077"/>
    <s v="Pneumatic Fitting"/>
    <s v="SMC"/>
    <s v="KQ2Y12-02S    "/>
    <s v="MYR"/>
    <n v="14.73"/>
    <s v="ea"/>
    <n v="1"/>
    <n v="0.06"/>
  </r>
  <r>
    <x v="3078"/>
    <s v="FITTING Y G1/2M-12-12"/>
    <s v="SMC"/>
    <s v="KQ2Y12-04AS"/>
    <s v="MYR"/>
    <n v="10.55"/>
    <s v="ea"/>
    <n v="1"/>
    <n v="0.06"/>
  </r>
  <r>
    <x v="3079"/>
    <s v="FITTING-BNCH UNI MALE ELBOW-M5 TO 4MM"/>
    <s v="SMC"/>
    <s v="KQ2Z04-M5A"/>
    <s v="MYR"/>
    <n v="7.93"/>
    <s v="ea"/>
    <n v="1"/>
    <n v="0.06"/>
  </r>
  <r>
    <x v="3080"/>
    <s v="ELBOW,DUAL UNI,6MM F X 1/4BSPT"/>
    <s v="SMC"/>
    <s v="KQ2Z06-02S"/>
    <s v="MYR"/>
    <n v="10.18"/>
    <s v="ea"/>
    <n v="1"/>
    <n v="0.06"/>
  </r>
  <r>
    <x v="3081"/>
    <s v="Fitting"/>
    <s v="SMC"/>
    <s v="KQ2Z08-02AS"/>
    <s v="MYR"/>
    <n v="12.07"/>
    <s v="ea"/>
    <n v="1"/>
    <n v="0.06"/>
  </r>
  <r>
    <x v="3082"/>
    <s v="ELBOW UNIV 2X 10MM X 3/8 Rc M"/>
    <s v="SMC"/>
    <s v="KQ2Z10-03AS"/>
    <s v="MYR"/>
    <n v="11.59"/>
    <s v="ea"/>
    <n v="1"/>
    <n v="0.06"/>
  </r>
  <r>
    <x v="3083"/>
    <s v="ELBOW,UNIV 2X 12MM X 3/8 RPT M"/>
    <s v="SMC"/>
    <s v="KQ2Z12-03AS"/>
    <s v="MYR"/>
    <n v="16.440000000000001"/>
    <s v="ea"/>
    <n v="1"/>
    <n v="0.06"/>
  </r>
  <r>
    <x v="3084"/>
    <s v="BRANCH 12MM OD ELBOW, 1/2&quot; NPT"/>
    <s v="SMC"/>
    <s v="KQ2Z12-04AS"/>
    <s v="MYR"/>
    <n v="16.52"/>
    <s v="ea"/>
    <n v="1"/>
    <n v="0.06"/>
  </r>
  <r>
    <x v="3085"/>
    <s v="Pneumatic Fitting"/>
    <s v="SMC"/>
    <s v="KQ2ZD04-01S"/>
    <s v="MYR"/>
    <n v="14.25"/>
    <s v="ea"/>
    <n v="1"/>
    <n v="0.06"/>
  </r>
  <r>
    <x v="3086"/>
    <s v="Pneumatic Fitting"/>
    <s v="SMC"/>
    <s v="KQ2ZD08-04AS"/>
    <s v="MYR"/>
    <n v="19.29"/>
    <s v="ea"/>
    <n v="1"/>
    <n v="0.06"/>
  </r>
  <r>
    <x v="3087"/>
    <s v="Fitting 1/8&quot; - 4x10"/>
    <s v="SMC"/>
    <s v="KQ2ZD10-02NS"/>
    <s v="MYR"/>
    <n v="26.22"/>
    <s v="ea"/>
    <n v="1"/>
    <n v="0.06"/>
  </r>
  <r>
    <x v="3088"/>
    <s v="Pneumatic Fitting 1/8&quot; auf 6x04"/>
    <s v="SMC"/>
    <s v="KQ2ZT04-01AS    "/>
    <s v="MYR"/>
    <n v="23.13"/>
    <s v="ea"/>
    <n v="1"/>
    <n v="0.06"/>
  </r>
  <r>
    <x v="3089"/>
    <s v="FITTING-TRIPLE Y-1/4PT TO 4MM-X6"/>
    <s v="SMC"/>
    <s v="KQ2ZT04-02AS"/>
    <s v="MYR"/>
    <n v="23.66"/>
    <s v="ea"/>
    <n v="1"/>
    <n v="0.06"/>
  </r>
  <r>
    <x v="3090"/>
    <s v="FITTING-TRIPLE Y-1/4PT TO 6MM-X6"/>
    <s v="SMC"/>
    <s v="KQ2ZT06-02AS"/>
    <s v="MYR"/>
    <n v="24.7"/>
    <s v="ea"/>
    <n v="1"/>
    <n v="0.06"/>
  </r>
  <r>
    <x v="3091"/>
    <s v="Fitting"/>
    <s v="SMC"/>
    <s v="KQ2ZT08-02AS"/>
    <s v="MYR"/>
    <n v="21.84"/>
    <s v="ea"/>
    <n v="1"/>
    <n v="0.06"/>
  </r>
  <r>
    <x v="3092"/>
    <s v="Plug connection (KQB2H04-M5)"/>
    <s v="SMC"/>
    <s v="KQB2H04-M5"/>
    <s v="MYR"/>
    <n v="6.18"/>
    <s v="ea"/>
    <n v="1"/>
    <n v="0.06"/>
  </r>
  <r>
    <x v="3093"/>
    <s v="COPPER ALLOY FITTING"/>
    <s v="SMC"/>
    <s v="KQB2H08-10"/>
    <s v="MYR"/>
    <n v="15.3"/>
    <s v="ea"/>
    <n v="1"/>
    <n v="0.06"/>
  </r>
  <r>
    <x v="3094"/>
    <s v="Plug connection (KQB2H08-G01)"/>
    <s v="SMC"/>
    <s v="KQB2H08-G01"/>
    <s v="MYR"/>
    <n v="8.7899999999999991"/>
    <s v="ea"/>
    <n v="1"/>
    <n v="0.06"/>
  </r>
  <r>
    <x v="3095"/>
    <s v="Plug connection (KQB2W08-G01)"/>
    <s v="SMC"/>
    <s v="KQB2W08-G01"/>
    <s v="MYR"/>
    <n v="21.23"/>
    <s v="ea"/>
    <n v="1"/>
    <n v="0.06"/>
  </r>
  <r>
    <x v="3096"/>
    <s v="Pneumatic Fitting"/>
    <s v="SMC"/>
    <s v="KQG2H04-06"/>
    <s v="MYR"/>
    <n v="39.04"/>
    <s v="ea"/>
    <n v="1"/>
    <n v="0.06"/>
  </r>
  <r>
    <x v="3097"/>
    <s v="Pneumatic Fitting"/>
    <s v="SMC"/>
    <s v="KQG2H06-00"/>
    <s v="MYR"/>
    <n v="26.84"/>
    <s v="ea"/>
    <n v="1"/>
    <n v="0.06"/>
  </r>
  <r>
    <x v="3098"/>
    <s v="Pneumatic Fitting"/>
    <s v="SMC"/>
    <s v="KQG2H06-08"/>
    <s v="MYR"/>
    <n v="43.23"/>
    <s v="ea"/>
    <n v="1"/>
    <n v="0.06"/>
  </r>
  <r>
    <x v="3099"/>
    <s v="Pneumatic Fitting"/>
    <s v="SMC"/>
    <s v="KQG2H08-00"/>
    <s v="MYR"/>
    <n v="36.770000000000003"/>
    <s v="ea"/>
    <n v="1"/>
    <n v="0.06"/>
  </r>
  <r>
    <x v="3100"/>
    <s v="Pneumatic Fitting"/>
    <s v="SMC"/>
    <s v="KQG2H08-01S"/>
    <s v="MYR"/>
    <n v="28.31"/>
    <s v="ea"/>
    <n v="1"/>
    <n v="0.06"/>
  </r>
  <r>
    <x v="3101"/>
    <s v="Pneumatic Fitting"/>
    <s v="SMC"/>
    <s v="KQG2S06-01S"/>
    <s v="MYR"/>
    <n v="25.18"/>
    <s v="ea"/>
    <n v="1"/>
    <n v="0.06"/>
  </r>
  <r>
    <x v="3102"/>
    <s v="Pneumatic Fitting KQG2S08"/>
    <s v="SMC"/>
    <s v="KQG2S08-01S"/>
    <s v="MYR"/>
    <n v="32.68"/>
    <s v="ea"/>
    <n v="1"/>
    <n v="0.06"/>
  </r>
  <r>
    <x v="3103"/>
    <s v="Pneumatic Fitting KQG2S08-02S"/>
    <s v="SMC"/>
    <s v="KQG2S08-02S"/>
    <s v="MYR"/>
    <n v="32.68"/>
    <s v="ea"/>
    <n v="1"/>
    <n v="0.06"/>
  </r>
  <r>
    <x v="3104"/>
    <s v="FITTING,Q-CON,1/4NPT,3/8TUBING"/>
    <s v="SMC"/>
    <s v="KQG2S11-N02S"/>
    <s v="MYR"/>
    <n v="38.43"/>
    <s v="ea"/>
    <n v="1"/>
    <n v="0.06"/>
  </r>
  <r>
    <x v="3105"/>
    <s v="Pneumatic Fitting Y 6mm"/>
    <s v="SMC"/>
    <s v="KQG2U06-00"/>
    <s v="MYR"/>
    <n v="58.06"/>
    <s v="ea"/>
    <n v="1"/>
    <n v="0.06"/>
  </r>
  <r>
    <x v="3106"/>
    <s v="Fitting KQG2U06-08"/>
    <s v="SMC"/>
    <s v="KQG2U06-08"/>
    <s v="MYR"/>
    <n v="65.790000000000006"/>
    <s v="ea"/>
    <n v="1"/>
    <n v="0.06"/>
  </r>
  <r>
    <x v="3107"/>
    <s v="Fitting"/>
    <s v="SMC"/>
    <s v="KQGH06-M5"/>
    <s v="MYR"/>
    <n v="19.940000000000001"/>
    <s v="ea"/>
    <n v="1"/>
    <n v="0.06"/>
  </r>
  <r>
    <x v="3108"/>
    <s v="FITTING,MALE ONE-"/>
    <s v="SMC"/>
    <s v="KQH03-32"/>
    <s v="MYR"/>
    <n v="3.45"/>
    <s v="ea"/>
    <n v="1"/>
    <n v="0.06"/>
  </r>
  <r>
    <x v="3109"/>
    <s v="FITTING,PNEUMATIC(4MM/M5THD)"/>
    <s v="SMC"/>
    <s v="KQH04-M5"/>
    <s v="MYR"/>
    <n v="4.82"/>
    <s v="ea"/>
    <n v="1"/>
    <n v="0.06"/>
  </r>
  <r>
    <x v="3110"/>
    <s v="Pneumatic Fitting"/>
    <s v="SMC"/>
    <s v="KQH08-03S"/>
    <s v="MYR"/>
    <n v="4.2699999999999996"/>
    <s v="ea"/>
    <n v="1"/>
    <n v="0.06"/>
  </r>
  <r>
    <x v="3111"/>
    <s v="FITTING,STR,PUSH,1/2MPT,3/8OD"/>
    <s v="SMC"/>
    <s v="KQH11-37S/ KQ2H11-37AS"/>
    <s v="MYR"/>
    <n v="6.13"/>
    <s v="ea"/>
    <n v="1"/>
    <n v="0.06"/>
  </r>
  <r>
    <x v="3112"/>
    <s v="M4 TUBE MALE ELBOW CONNECTOR"/>
    <s v="SMC"/>
    <s v="KQL04-M5"/>
    <s v="MYR"/>
    <n v="6.83"/>
    <s v="ea"/>
    <n v="1"/>
    <n v="0.06"/>
  </r>
  <r>
    <x v="3113"/>
    <s v="FITTING,PLUG-IN ELBOW 1/4TO1/4"/>
    <s v="SMC"/>
    <s v="KQL07-99/ KQ2L07-99A"/>
    <s v="MYR"/>
    <n v="4.09"/>
    <s v="ea"/>
    <n v="1"/>
    <n v="0.06"/>
  </r>
  <r>
    <x v="3114"/>
    <s v="FITTING, ELBOW, 5/16X1/4NPT"/>
    <s v="SMC"/>
    <s v="KQL09-35"/>
    <s v="MYR"/>
    <n v="3.02"/>
    <s v="ea"/>
    <n v="1"/>
    <n v="0.06"/>
  </r>
  <r>
    <x v="3115"/>
    <s v="PLUG,5/32&quot;TUBE"/>
    <s v="SMC"/>
    <s v="KQP-03"/>
    <s v="MYR"/>
    <n v="4.1900000000000004"/>
    <s v="ea"/>
    <n v="1"/>
    <n v="0.06"/>
  </r>
  <r>
    <x v="3116"/>
    <s v="PLUG,6MM"/>
    <s v="SMC"/>
    <s v="KQP06"/>
    <s v="MYR"/>
    <n v="0.99"/>
    <s v="ea"/>
    <n v="1"/>
    <n v="0.06"/>
  </r>
  <r>
    <x v="3117"/>
    <s v="PLUG,1/4&quot; TUBE"/>
    <s v="SMC"/>
    <s v="KQP07"/>
    <s v="MYR"/>
    <n v="4.66"/>
    <s v="ea"/>
    <n v="1"/>
    <n v="0.06"/>
  </r>
  <r>
    <x v="3118"/>
    <s v="CONNECTOR, WITH INTERNAL HEX"/>
    <s v="SMC"/>
    <s v="KQS04-M5"/>
    <s v="MYR"/>
    <n v="3.69"/>
    <s v="ea"/>
    <n v="1"/>
    <n v="0.06"/>
  </r>
  <r>
    <x v="3119"/>
    <s v="FITTING,UNION TEE 5/16&quot;OD"/>
    <s v="SMC"/>
    <s v="KQT09-00/ KQ2T09-00A"/>
    <s v="MYR"/>
    <n v="8.0299999999999994"/>
    <s v="ea"/>
    <n v="1"/>
    <n v="0.06"/>
  </r>
  <r>
    <x v="3120"/>
    <s v="UNION &quot;Y&quot;,12MM"/>
    <s v="SMC"/>
    <s v="KQU12-00"/>
    <s v="MYR"/>
    <n v="11.83"/>
    <s v="ea"/>
    <n v="1"/>
    <n v="0.06"/>
  </r>
  <r>
    <x v="3121"/>
    <s v="ELBOW-UNION M5M 6/4"/>
    <s v="SMC"/>
    <s v="KQW06-M5"/>
    <s v="MYR"/>
    <n v="8.0399999999999991"/>
    <s v="ea"/>
    <n v="1"/>
    <n v="0.06"/>
  </r>
  <r>
    <x v="3122"/>
    <s v="Pneumatic Fitting 6-fach 1/4&quot;"/>
    <s v="SMC"/>
    <s v="KQZT08-02S    "/>
    <s v="MYR"/>
    <n v="21.84"/>
    <s v="ea"/>
    <n v="1"/>
    <n v="0.06"/>
  </r>
  <r>
    <x v="3123"/>
    <s v="STRAIGHT SCREW IN CONNECTION"/>
    <s v="SMC"/>
    <s v="KSH04-M5"/>
    <s v="MYR"/>
    <n v="22.03"/>
    <s v="ea"/>
    <n v="1"/>
    <n v="0.06"/>
  </r>
  <r>
    <x v="3124"/>
    <s v="FITTING-STRAIGHT M6M 6/4"/>
    <s v="SMC"/>
    <s v="KSH06-M6"/>
    <s v="MYR"/>
    <n v="26.23"/>
    <s v="ea"/>
    <n v="1"/>
    <n v="0.06"/>
  </r>
  <r>
    <x v="3125"/>
    <s v="FITTING,ELBOW 4MM,5MM THD"/>
    <s v="SMC"/>
    <s v="KSL04-M5"/>
    <s v="MYR"/>
    <n v="25.14"/>
    <s v="ea"/>
    <n v="1"/>
    <n v="0.06"/>
  </r>
  <r>
    <x v="3126"/>
    <s v="SCREW IN ANGLE"/>
    <s v="SMC"/>
    <s v="KSL04-M5"/>
    <s v="MYR"/>
    <n v="25.14"/>
    <s v="ea"/>
    <n v="1"/>
    <n v="0.06"/>
  </r>
  <r>
    <x v="3127"/>
    <s v="ELBOW-UNION-ROTARY 1/8M 6/4"/>
    <s v="SMC"/>
    <s v="KSL06-01S "/>
    <s v="MYR"/>
    <n v="19.940000000000001"/>
    <s v="ea"/>
    <n v="1"/>
    <n v="0.06"/>
  </r>
  <r>
    <x v="3128"/>
    <s v="Fitting"/>
    <s v="SMC"/>
    <s v="KSL08-03S"/>
    <s v="MYR"/>
    <n v="30.64"/>
    <s v="ea"/>
    <n v="1"/>
    <n v="0.06"/>
  </r>
  <r>
    <x v="3129"/>
    <s v="Pneumatic fitting (rotary)"/>
    <s v="SMC"/>
    <s v="KXH06-M5"/>
    <s v="MYR"/>
    <n v="89.11"/>
    <s v="ea"/>
    <n v="1"/>
    <n v="0.06"/>
  </r>
  <r>
    <x v="3130"/>
    <s v="Fitting (ball race)"/>
    <s v="SMC"/>
    <s v="KXL04-M5"/>
    <s v="MYR"/>
    <n v="81.8"/>
    <s v="ea"/>
    <n v="1"/>
    <n v="0.06"/>
  </r>
  <r>
    <x v="3131"/>
    <s v="LINEAR SPINDLE DRIVE"/>
    <s v="SMC"/>
    <s v="LXFHABC-75S-X20A"/>
    <s v="MYR"/>
    <n v="1586.69"/>
    <s v="ea"/>
    <n v="1"/>
    <n v="0.06"/>
  </r>
  <r>
    <x v="3132"/>
    <s v="Pneumatic Fitting"/>
    <s v="SMC"/>
    <s v="M-01H-4"/>
    <s v="MYR"/>
    <n v="2.2599999999999998"/>
    <s v="ea"/>
    <n v="1"/>
    <n v="0.06"/>
  </r>
  <r>
    <x v="3133"/>
    <s v="Pneumatic Fitting"/>
    <s v="SMC"/>
    <s v="M-3 ALU-4    "/>
    <s v="MYR"/>
    <n v="3.06"/>
    <s v="ea"/>
    <n v="1"/>
    <n v="0.06"/>
  </r>
  <r>
    <x v="3134"/>
    <s v="Fitting"/>
    <s v="SMC"/>
    <s v="M-3 AU-4"/>
    <s v="MYR"/>
    <n v="1.1399999999999999"/>
    <s v="ea"/>
    <n v="1"/>
    <n v="0.06"/>
  </r>
  <r>
    <x v="3135"/>
    <s v="ELBOW-UNION M3M 2/1.2"/>
    <s v="SMC"/>
    <s v="M-3ALU-2"/>
    <s v="MYR"/>
    <n v="11.5"/>
    <s v="ea"/>
    <n v="1"/>
    <n v="0.06"/>
  </r>
  <r>
    <x v="3136"/>
    <s v="WASHER,SEALING,M3"/>
    <s v="SMC"/>
    <s v="M-3G"/>
    <s v="MYR"/>
    <n v="0.36"/>
    <s v="ea"/>
    <n v="1"/>
    <n v="0.06"/>
  </r>
  <r>
    <x v="3137"/>
    <s v="CAP MALE M3"/>
    <s v="SMC"/>
    <s v="M-3P"/>
    <s v="MYR"/>
    <n v="1.43"/>
    <s v="ea"/>
    <n v="1"/>
    <n v="0.06"/>
  </r>
  <r>
    <x v="3138"/>
    <s v="Elbow Screw Fitting"/>
    <s v="SMC"/>
    <s v="M-3UL"/>
    <s v="MYR"/>
    <n v="3.98"/>
    <s v="ea"/>
    <n v="1"/>
    <n v="0.06"/>
  </r>
  <r>
    <x v="3139"/>
    <s v="Pneumatic Fitting"/>
    <s v="SMC"/>
    <s v="M-5ALN-4"/>
    <s v="MYR"/>
    <n v="5.26"/>
    <s v="ea"/>
    <n v="1"/>
    <n v="0.06"/>
  </r>
  <r>
    <x v="3140"/>
    <s v="SCREW IN ANGLE"/>
    <s v="SMC"/>
    <s v="M-5ALN-6"/>
    <s v="MYR"/>
    <n v="7.4"/>
    <s v="ea"/>
    <n v="1"/>
    <n v="0.06"/>
  </r>
  <r>
    <x v="3141"/>
    <s v="SCREW IN ANGLE"/>
    <s v="SMC"/>
    <s v="M-5ALU-4"/>
    <s v="MYR"/>
    <n v="4.25"/>
    <s v="ea"/>
    <n v="1"/>
    <n v="0.06"/>
  </r>
  <r>
    <x v="3142"/>
    <s v="FITTING,M5,6MM,BARB"/>
    <s v="SMC"/>
    <s v="M-5AU-6"/>
    <s v="MYR"/>
    <n v="1.53"/>
    <s v="ea"/>
    <n v="1"/>
    <n v="0.06"/>
  </r>
  <r>
    <x v="3143"/>
    <s v="Reduction"/>
    <s v="SMC"/>
    <s v="M-5B"/>
    <s v="MYR"/>
    <n v="1.03"/>
    <s v="ea"/>
    <n v="1"/>
    <n v="0.06"/>
  </r>
  <r>
    <x v="3144"/>
    <s v="Fitting Connector"/>
    <s v="SMC"/>
    <s v="M-5E"/>
    <s v="MYR"/>
    <n v="2.67"/>
    <s v="ea"/>
    <n v="1"/>
    <n v="0.06"/>
  </r>
  <r>
    <x v="3145"/>
    <s v="GASKET,7 OD X M5 ID X .5 THK"/>
    <s v="SMC"/>
    <s v="M-5G1 "/>
    <s v="MYR"/>
    <n v="0.71"/>
    <s v="ea"/>
    <n v="1"/>
    <n v="0.06"/>
  </r>
  <r>
    <x v="3146"/>
    <s v="Pneumatic Fitting"/>
    <s v="SMC"/>
    <s v="M-5H-4"/>
    <s v="MYR"/>
    <n v="1.47"/>
    <s v="ea"/>
    <n v="1"/>
    <n v="0.06"/>
  </r>
  <r>
    <x v="3147"/>
    <s v="Pneumatic Fitting"/>
    <s v="SMC"/>
    <s v="M-5H-6"/>
    <s v="MYR"/>
    <n v="1.22"/>
    <s v="ea"/>
    <n v="1"/>
    <n v="0.06"/>
  </r>
  <r>
    <x v="3148"/>
    <s v="Pneumatic Fitting"/>
    <s v="SMC"/>
    <s v="M-5HLH-6"/>
    <s v="MYR"/>
    <n v="7.17"/>
    <s v="ea"/>
    <n v="1"/>
    <n v="0.06"/>
  </r>
  <r>
    <x v="3149"/>
    <s v="Fitting (Extension)"/>
    <s v="SMC"/>
    <s v="M-5J"/>
    <s v="MYR"/>
    <n v="1"/>
    <s v="ea"/>
    <n v="1"/>
    <n v="0.06"/>
  </r>
  <r>
    <x v="3150"/>
    <s v="JOINT-SOCKET-M5M M5M"/>
    <s v="SMC"/>
    <s v="M-5N"/>
    <s v="MYR"/>
    <n v="1.54"/>
    <s v="ea"/>
    <n v="1"/>
    <n v="0.06"/>
  </r>
  <r>
    <x v="3151"/>
    <s v="PLUG"/>
    <s v="SMC"/>
    <s v="M-5P"/>
    <s v="MYR"/>
    <n v="0.63"/>
    <s v="ea"/>
    <n v="1"/>
    <n v="0.06"/>
  </r>
  <r>
    <x v="3152"/>
    <s v="Pneumatic Universal tee"/>
    <s v="SMC"/>
    <s v="M-5UT"/>
    <s v="MYR"/>
    <n v="2.89"/>
    <s v="ea"/>
    <n v="1"/>
    <n v="0.06"/>
  </r>
  <r>
    <x v="3153"/>
    <s v="GRIPPER-PARALLEL C= 8 2 JAWS DE"/>
    <s v="SMC"/>
    <s v="MDHR2-15R-M9PL"/>
    <s v="MYR"/>
    <n v="949.88"/>
    <s v="ea"/>
    <n v="1"/>
    <n v="0.06"/>
  </r>
  <r>
    <x v="3154"/>
    <s v="ROTARY TABLE"/>
    <s v="SMC"/>
    <s v="MDSUB20-180S"/>
    <s v="MYR"/>
    <n v="666.23"/>
    <s v="ea"/>
    <n v="1"/>
    <n v="0.06"/>
  </r>
  <r>
    <x v="3155"/>
    <s v="CYLINDER LINEAR 006 0020"/>
    <s v="SMC"/>
    <s v="MGJ10-20-F8NL"/>
    <s v="MYR"/>
    <n v="351.31"/>
    <s v="ea"/>
    <n v="1"/>
    <n v="0.06"/>
  </r>
  <r>
    <x v="3156"/>
    <s v="Guiding Cylinder MGJ10-5"/>
    <s v="SMC"/>
    <s v="MGJ10-5"/>
    <s v="MYR"/>
    <n v="248.53"/>
    <s v="ea"/>
    <n v="1"/>
    <n v="0.06"/>
  </r>
  <r>
    <x v="3157"/>
    <s v="CYLINDER-LINEAR DE 010 0005"/>
    <s v="SMC"/>
    <s v="MGJ10-5-F8B"/>
    <s v="MYR"/>
    <n v="288.7"/>
    <s v="ea"/>
    <n v="1"/>
    <n v="0.06"/>
  </r>
  <r>
    <x v="3158"/>
    <s v="Cylinder with Guiding"/>
    <s v="SMC"/>
    <s v="MGJ6-10"/>
    <s v="MYR"/>
    <n v="232.65"/>
    <s v="ea"/>
    <n v="1"/>
    <n v="0.06"/>
  </r>
  <r>
    <x v="3159"/>
    <s v="Cylinder with guiding"/>
    <s v="SMC"/>
    <s v="MGJ6-2"/>
    <s v="MYR"/>
    <n v="233.97"/>
    <s v="ea"/>
    <n v="1"/>
    <n v="0.06"/>
  </r>
  <r>
    <x v="3160"/>
    <s v="Cylinder with Guiding"/>
    <s v="SMC"/>
    <s v="MGJ6-5"/>
    <s v="MYR"/>
    <n v="219.59"/>
    <s v="ea"/>
    <n v="1"/>
    <n v="0.06"/>
  </r>
  <r>
    <x v="3161"/>
    <s v="CYLINDER-GUIDE COMPACT 16X10MM STR"/>
    <s v="SMC"/>
    <s v="MGPL16-10-Y59A"/>
    <s v="MYR"/>
    <n v="386.15"/>
    <s v="ea"/>
    <n v="1"/>
    <n v="0.06"/>
  </r>
  <r>
    <x v="3162"/>
    <s v="CYLINDER-LINEAR BORE 16-STROKE 10"/>
    <s v="SMC"/>
    <s v="MGPL16-10Z"/>
    <s v="MYR"/>
    <n v="295.55"/>
    <s v="ea"/>
    <n v="1"/>
    <n v="0.06"/>
  </r>
  <r>
    <x v="3163"/>
    <s v="COMPACT CYLINDER LINEAR 016 0150"/>
    <s v="SMC"/>
    <s v="MGPL16-150Z"/>
    <s v="MYR"/>
    <n v="622.73"/>
    <s v="ea"/>
    <n v="1"/>
    <n v="0.06"/>
  </r>
  <r>
    <x v="3164"/>
    <s v="CYLINDER-LINEAR DE 016 0075"/>
    <s v="SMC"/>
    <s v="MGPL16-75"/>
    <s v="MYR"/>
    <n v="257"/>
    <s v="ea"/>
    <n v="1"/>
    <n v="0.06"/>
  </r>
  <r>
    <x v="3165"/>
    <s v="CYLINDER-LINEAR DE 016 0075"/>
    <s v="SMC"/>
    <s v="MGPL16-75Z"/>
    <s v="MYR"/>
    <n v="510.98"/>
    <s v="ea"/>
    <n v="1"/>
    <n v="0.06"/>
  </r>
  <r>
    <x v="3166"/>
    <s v="CYLINDER-LINEAR DE 012 0010"/>
    <s v="SMC"/>
    <s v="MGPM12-10"/>
    <s v="MYR"/>
    <n v="164.06"/>
    <s v="ea"/>
    <n v="1"/>
    <n v="0.06"/>
  </r>
  <r>
    <x v="3167"/>
    <s v="CYLINDER-LINEAR DE 012 0010"/>
    <s v="SMC"/>
    <s v="MGPM12-10Z"/>
    <s v="MYR"/>
    <n v="295.3"/>
    <s v="ea"/>
    <n v="1"/>
    <n v="0.06"/>
  </r>
  <r>
    <x v="3168"/>
    <s v="CYLINDER-LINEAR BI-ROD C=125 2 SENSOR"/>
    <s v="SMC"/>
    <s v="MGPM12-125Z-M9PVM"/>
    <s v="MYR"/>
    <n v="351.13"/>
    <s v="ea"/>
    <n v="1"/>
    <n v="0.06"/>
  </r>
  <r>
    <x v="3169"/>
    <s v="CYLINDER DOUBLE ACTING"/>
    <s v="SMC"/>
    <s v="MGPM12-20"/>
    <s v="MYR"/>
    <n v="304"/>
    <s v="ea"/>
    <n v="1"/>
    <n v="0.06"/>
  </r>
  <r>
    <x v="3170"/>
    <s v="CYLINDER DOUBLE ACTING"/>
    <s v="SMC"/>
    <s v="MGPM12-20Z"/>
    <s v="MYR"/>
    <n v="316"/>
    <s v="ea"/>
    <n v="1"/>
    <n v="0.06"/>
  </r>
  <r>
    <x v="3171"/>
    <s v="CYLINDER-LINEAR 012 0030"/>
    <s v="SMC"/>
    <s v="MGPM12-30Z"/>
    <s v="MYR"/>
    <n v="203.3"/>
    <s v="ea"/>
    <n v="1"/>
    <n v="0.06"/>
  </r>
  <r>
    <x v="3172"/>
    <s v="CYLINDER-LINEAR 012 0030"/>
    <s v="SMC"/>
    <s v="MGPM12-30Z"/>
    <s v="MYR"/>
    <n v="203.3"/>
    <s v="ea"/>
    <n v="1"/>
    <n v="0.06"/>
  </r>
  <r>
    <x v="3173"/>
    <s v="CYLINDER-LINEAR DE 012 0050"/>
    <s v="SMC"/>
    <s v="MGPM12-50"/>
    <s v="MYR"/>
    <n v="254.34"/>
    <s v="ea"/>
    <n v="1"/>
    <n v="0.06"/>
  </r>
  <r>
    <x v="3174"/>
    <s v="CYLINDER-LINEAR DE 012 0050"/>
    <s v="SMC"/>
    <s v="MGPM12-50Z"/>
    <s v="MYR"/>
    <n v="269.20999999999998"/>
    <s v="ea"/>
    <n v="1"/>
    <n v="0.06"/>
  </r>
  <r>
    <x v="3175"/>
    <s v="CYLINDER-LINEAR DE 016 0030"/>
    <s v="SMC"/>
    <s v="MGPM16-30"/>
    <s v="MYR"/>
    <n v="204.22"/>
    <s v="ea"/>
    <n v="1"/>
    <n v="0.06"/>
  </r>
  <r>
    <x v="3176"/>
    <s v="CYLINDER-LINEAR DE 016 0050"/>
    <s v="SMC"/>
    <s v="MGPM16-50"/>
    <s v="MYR"/>
    <n v="212.84"/>
    <s v="ea"/>
    <n v="1"/>
    <n v="0.06"/>
  </r>
  <r>
    <x v="3177"/>
    <s v="SLIDE TABLE-25MMBX100MMS-AIR CUSH"/>
    <s v="SMC"/>
    <s v="MGPM25-100AZ"/>
    <s v="MYR"/>
    <n v="580.5"/>
    <s v="ea"/>
    <n v="1"/>
    <n v="0.06"/>
  </r>
  <r>
    <x v="3178"/>
    <s v="GRIPPER-DOUBLE-EFFECT MHC2-10D"/>
    <s v="SMC"/>
    <s v="MHC2-10D"/>
    <s v="MYR"/>
    <n v="212.58"/>
    <s v="ea"/>
    <n v="1"/>
    <n v="0.06"/>
  </r>
  <r>
    <x v="3179"/>
    <s v="AIR GRIPPER"/>
    <s v="SMC"/>
    <s v="MHY2-10D"/>
    <s v="MYR"/>
    <n v="335.15999999999997"/>
    <s v="ea"/>
    <n v="1"/>
    <n v="0.06"/>
  </r>
  <r>
    <x v="3180"/>
    <s v="GRIPPER-PARALLEL S= 6 DE"/>
    <s v="SMC"/>
    <s v="MHZ2-16D"/>
    <s v="MYR"/>
    <n v="345.78"/>
    <s v="ea"/>
    <n v="1"/>
    <n v="0.06"/>
  </r>
  <r>
    <x v="3181"/>
    <s v="GRIPPER-PARALLEL S= 6 DE"/>
    <s v="SMC"/>
    <s v="MHZ2-16DN"/>
    <s v="MYR"/>
    <n v="246.94"/>
    <s v="ea"/>
    <n v="1"/>
    <n v="0.06"/>
  </r>
  <r>
    <x v="3182"/>
    <s v="CYLINDER GRIPPER MHZ2-16S"/>
    <s v="SMC"/>
    <s v="MHZ2-16S-M9PS"/>
    <s v="MYR"/>
    <n v="514.66"/>
    <s v="ea"/>
    <n v="1"/>
    <n v="0.06"/>
  </r>
  <r>
    <x v="3183"/>
    <s v="GRIPPER-PARALLEL S=10 DE"/>
    <s v="SMC"/>
    <s v="MHZ2-20DN"/>
    <s v="MYR"/>
    <n v="321.08"/>
    <s v="ea"/>
    <n v="1"/>
    <n v="0.06"/>
  </r>
  <r>
    <x v="3184"/>
    <s v="GRIPPER PARALLEL"/>
    <s v="SMC"/>
    <s v="MHZAJ2-6D"/>
    <s v="MYR"/>
    <n v="545.29999999999995"/>
    <s v="ea"/>
    <n v="1"/>
    <n v="0.06"/>
  </r>
  <r>
    <x v="3185"/>
    <s v="GRIPPER-PARALLEL S=12 DE"/>
    <s v="SMC"/>
    <s v="MHZL2-16D"/>
    <s v="MYR"/>
    <n v="395.99"/>
    <s v="ea"/>
    <n v="1"/>
    <n v="0.06"/>
  </r>
  <r>
    <x v="3186"/>
    <s v="SEPARATOR-PIECEWISE S=8MM"/>
    <s v="SMC"/>
    <s v="MIW8-8D"/>
    <s v="MYR"/>
    <n v="393.56"/>
    <s v="ea"/>
    <n v="1"/>
    <n v="0.06"/>
  </r>
  <r>
    <x v="3187"/>
    <s v="CYLINDER-ROTARY DE 012 0100"/>
    <s v="SMC"/>
    <s v="MKB12-10R"/>
    <s v="MYR"/>
    <n v="153.41999999999999"/>
    <s v="ea"/>
    <n v="1"/>
    <n v="0.06"/>
  </r>
  <r>
    <x v="3188"/>
    <s v="CYLINDER SWING-CLAMP"/>
    <s v="SMC"/>
    <s v="MKB16-10RZ"/>
    <s v="MYR"/>
    <n v="212.27"/>
    <s v="ea"/>
    <n v="1"/>
    <n v="0.06"/>
  </r>
  <r>
    <x v="3189"/>
    <s v="CYLINDER-LINEAR DE 016 0015"/>
    <s v="SMC"/>
    <s v="MQMLB16H-15D"/>
    <s v="MYR"/>
    <n v="306.57"/>
    <s v="ea"/>
    <n v="1"/>
    <n v="0.06"/>
  </r>
  <r>
    <x v="3190"/>
    <s v="CYLINDER-LINEAR DE 016 0010 FAST-S.JOIN"/>
    <s v="SMC"/>
    <s v="MQQTB16-10D"/>
    <s v="MYR"/>
    <n v="227.95"/>
    <s v="ea"/>
    <n v="1"/>
    <n v="0.06"/>
  </r>
  <r>
    <x v="3191"/>
    <s v="CYLINDER-LINEAR DE LOW FRICTION 20-060"/>
    <s v="SMC"/>
    <s v="MQQTB20-60D"/>
    <s v="MYR"/>
    <n v="232.81"/>
    <s v="ea"/>
    <n v="1"/>
    <n v="0.06"/>
  </r>
  <r>
    <x v="3192"/>
    <s v="ROTARY JOINT,1 CIRCUIT,SMC"/>
    <s v="SMC"/>
    <s v="MQR1-M5"/>
    <s v="MYR"/>
    <n v="226.29"/>
    <s v="ea"/>
    <n v="1"/>
    <n v="0.06"/>
  </r>
  <r>
    <x v="3193"/>
    <s v="TABLE-ROTARY-PIVOTED-COMPACT SZ=10"/>
    <s v="SMC"/>
    <s v="MSQB10A"/>
    <s v="MYR"/>
    <n v="727.46"/>
    <s v="ea"/>
    <n v="1"/>
    <n v="0.06"/>
  </r>
  <r>
    <x v="3194"/>
    <s v="Swiveling Table"/>
    <s v="SMC"/>
    <s v="MSQB1A"/>
    <s v="MYR"/>
    <n v="457.61"/>
    <s v="ea"/>
    <n v="1"/>
    <n v="0.06"/>
  </r>
  <r>
    <x v="3195"/>
    <s v="COMPACT SLIDE CYLINDER 10-5S"/>
    <s v="SMC"/>
    <s v="MXH10-5Z-M9BWS"/>
    <s v="MYR"/>
    <n v="442.89"/>
    <s v="ea"/>
    <n v="1"/>
    <n v="0.06"/>
  </r>
  <r>
    <x v="3196"/>
    <s v="TABLE-LINEAR-NARROW MXH16-50"/>
    <s v="SMC"/>
    <s v="MXH16-50"/>
    <s v="MYR"/>
    <n v="483.38"/>
    <s v="ea"/>
    <n v="1"/>
    <n v="0.06"/>
  </r>
  <r>
    <x v="3197"/>
    <s v="COMPACT SLIDE CYLINDER 016 005"/>
    <s v="SMC"/>
    <s v="MXH16-5Z-M9PVL"/>
    <s v="MYR"/>
    <n v="641.49"/>
    <s v="ea"/>
    <n v="1"/>
    <n v="0.06"/>
  </r>
  <r>
    <x v="3198"/>
    <s v="UNIT-TRANSLATION DE 006 0015"/>
    <s v="SMC"/>
    <s v="MXH6-15"/>
    <s v="MYR"/>
    <n v="339.91"/>
    <s v="ea"/>
    <n v="1"/>
    <n v="0.06"/>
  </r>
  <r>
    <x v="3199"/>
    <s v="TABLE-SLIDE PREC 06X5MM STR"/>
    <s v="SMC"/>
    <s v="MXH6-5-F9N/MXH6-5Z-M9N"/>
    <s v="MYR"/>
    <n v="417.02"/>
    <s v="ea"/>
    <n v="1"/>
    <n v="0.06"/>
  </r>
  <r>
    <x v="3200"/>
    <s v="Cylinder (SMC MXP12-15 N)"/>
    <s v="SMC"/>
    <s v="MXP12-15N"/>
    <s v="MYR"/>
    <n v="413.66"/>
    <s v="ea"/>
    <n v="1"/>
    <n v="0.06"/>
  </r>
  <r>
    <x v="3201"/>
    <s v="Cylinder"/>
    <s v="SMC"/>
    <s v="MXP12-25C"/>
    <s v="MYR"/>
    <n v="627.15"/>
    <s v="ea"/>
    <n v="1"/>
    <n v="0.06"/>
  </r>
  <r>
    <x v="3202"/>
    <s v="Cylinder"/>
    <s v="SMC"/>
    <s v="MXPJ6-10"/>
    <s v="MYR"/>
    <n v="583.21"/>
    <s v="ea"/>
    <n v="1"/>
    <n v="0.06"/>
  </r>
  <r>
    <x v="3203"/>
    <s v="Cylinder Compact Unit"/>
    <s v="SMC"/>
    <s v="MXPJ6-5"/>
    <s v="MYR"/>
    <n v="328.78"/>
    <s v="ea"/>
    <n v="1"/>
    <n v="0.06"/>
  </r>
  <r>
    <x v="3204"/>
    <s v="AIR SLIDE TABLE"/>
    <s v="SMC"/>
    <s v="MXQ12-40"/>
    <s v="MYR"/>
    <n v="791.7299999999999"/>
    <s v="ea"/>
    <n v="1"/>
    <n v="0.06"/>
  </r>
  <r>
    <x v="3205"/>
    <s v="AIR SLIDE TABLE D=12 C=50"/>
    <s v="SMC"/>
    <s v="MXQ12A-50ZN"/>
    <s v="MYR"/>
    <n v="846.93"/>
    <s v="ea"/>
    <n v="1"/>
    <n v="0.06"/>
  </r>
  <r>
    <x v="3206"/>
    <s v="TABLE-SLIDE HPREC 06X10MM STR METAL"/>
    <s v="SMC"/>
    <s v="MXQ6-10CS-M9B"/>
    <s v="MYR"/>
    <n v="729.9"/>
    <s v="ea"/>
    <n v="1"/>
    <n v="0.06"/>
  </r>
  <r>
    <x v="3207"/>
    <s v="AIR SLIDE TABLE D=8 C=40"/>
    <s v="SMC"/>
    <s v="MXQ8B-40ZA"/>
    <s v="MYR"/>
    <n v="827.97"/>
    <s v="ea"/>
    <n v="1"/>
    <n v="0.06"/>
  </r>
  <r>
    <x v="3208"/>
    <s v="ADJUSTER,FRONT END,RUBBER"/>
    <s v="SMC"/>
    <s v="MXQ-AS12-X11"/>
    <s v="MYR"/>
    <n v="123.83"/>
    <s v="ea"/>
    <n v="1"/>
    <n v="0.06"/>
  </r>
  <r>
    <x v="3209"/>
    <s v="ADJUSTER,BACKEND,RUBBER"/>
    <s v="SMC"/>
    <s v="MXQ-AT12-X11"/>
    <s v="MYR"/>
    <n v="112.58"/>
    <s v="ea"/>
    <n v="1"/>
    <n v="0.06"/>
  </r>
  <r>
    <x v="3210"/>
    <s v="Stoßdämpfer Kompaktschlitten"/>
    <s v="SMC"/>
    <s v="MXS - BS8"/>
    <s v="MYR"/>
    <n v="119.86"/>
    <s v="ea"/>
    <n v="1"/>
    <n v="0.06"/>
  </r>
  <r>
    <x v="3211"/>
    <s v="Stoßdämpfer Kompaktschlitten"/>
    <s v="SMC"/>
    <s v="MXS - BS8L    "/>
    <s v="MYR"/>
    <n v="119.86"/>
    <s v="ea"/>
    <n v="1"/>
    <n v="0.06"/>
  </r>
  <r>
    <x v="3212"/>
    <s v="Stoßdämpfer Kompaktschlitten"/>
    <s v="SMC"/>
    <s v="MXS - BT8    "/>
    <s v="MYR"/>
    <n v="122.39"/>
    <s v="ea"/>
    <n v="1"/>
    <n v="0.06"/>
  </r>
  <r>
    <x v="3213"/>
    <s v="Stoßdämpfer Kompaktschlitten"/>
    <s v="SMC"/>
    <s v="MXS - BT8L    "/>
    <s v="MYR"/>
    <n v="122.39"/>
    <s v="ea"/>
    <n v="1"/>
    <n v="0.06"/>
  </r>
  <r>
    <x v="3214"/>
    <s v="UNIT-LINEAR 012 0010"/>
    <s v="SMC"/>
    <s v="MXS12-10"/>
    <s v="MYR"/>
    <n v="691.14"/>
    <s v="ea"/>
    <n v="1"/>
    <n v="0.06"/>
  </r>
  <r>
    <x v="3215"/>
    <s v="UNIT-LINEAR 012-0030"/>
    <s v="SMC"/>
    <s v="MXS12-30"/>
    <s v="MYR"/>
    <n v="529.27"/>
    <s v="ea"/>
    <n v="1"/>
    <n v="0.06"/>
  </r>
  <r>
    <x v="3216"/>
    <s v="UNIT-LINEAR STROKE  30MM"/>
    <s v="SMC"/>
    <s v="MXS12-30AS"/>
    <s v="MYR"/>
    <n v="718.95"/>
    <s v="ea"/>
    <n v="1"/>
    <n v="0.06"/>
  </r>
  <r>
    <x v="3217"/>
    <s v="ACTUATOR,LINEAR BORE,16D,125MM"/>
    <s v="SMC"/>
    <s v="MXS16-125"/>
    <s v="MYR"/>
    <n v="1302.77"/>
    <s v="ea"/>
    <n v="1"/>
    <n v="0.06"/>
  </r>
  <r>
    <x v="3218"/>
    <s v="UNIT LINEAR 016-0030"/>
    <s v="SMC"/>
    <s v="MXS16-30"/>
    <s v="MYR"/>
    <n v="711.88"/>
    <s v="ea"/>
    <n v="1"/>
    <n v="0.06"/>
  </r>
  <r>
    <x v="3219"/>
    <s v="UNIT-LINEAR 006 0010"/>
    <s v="SMC"/>
    <s v="MXS6-10"/>
    <s v="MYR"/>
    <n v="407.45"/>
    <s v="ea"/>
    <n v="1"/>
    <n v="0.06"/>
  </r>
  <r>
    <x v="3220"/>
    <s v="UNIT LINEAR 006-0020"/>
    <s v="SMC"/>
    <s v="MXS6-20"/>
    <s v="MYR"/>
    <n v="561.38"/>
    <s v="ea"/>
    <n v="1"/>
    <n v="0.06"/>
  </r>
  <r>
    <x v="3221"/>
    <s v="UNIT LINEAR 006-0020 LIMIT-OF-STROKE"/>
    <s v="SMC"/>
    <s v="MXS6-20A"/>
    <s v="MYR"/>
    <n v="715.32"/>
    <s v="ea"/>
    <n v="1"/>
    <n v="0.06"/>
  </r>
  <r>
    <x v="3222"/>
    <s v="Cylinder MXS8 - 40"/>
    <s v="SMC"/>
    <s v="MXS8 - 40"/>
    <s v="MYR"/>
    <n v="688.34"/>
    <s v="ea"/>
    <n v="1"/>
    <n v="0.06"/>
  </r>
  <r>
    <x v="3223"/>
    <s v="Pneumatischer Kompaktschlitten"/>
    <s v="SMC"/>
    <s v="MXS8 - 75    "/>
    <s v="MYR"/>
    <n v="784.66"/>
    <s v="ea"/>
    <n v="1"/>
    <n v="0.06"/>
  </r>
  <r>
    <x v="3224"/>
    <s v="UNIT LINEAR 008-0020"/>
    <s v="SMC"/>
    <s v="MXS8-20"/>
    <s v="MYR"/>
    <n v="547.37"/>
    <s v="ea"/>
    <n v="1"/>
    <n v="0.06"/>
  </r>
  <r>
    <x v="3225"/>
    <s v="UNIT LINEAR 008-0050"/>
    <s v="SMC"/>
    <s v="MXS8-50"/>
    <s v="MYR"/>
    <n v="547.37"/>
    <s v="ea"/>
    <n v="1"/>
    <n v="0.06"/>
  </r>
  <r>
    <x v="3226"/>
    <s v="Pneumatischer Kompaktschlitten"/>
    <s v="SMC"/>
    <s v="MXS8L -75    "/>
    <s v="MYR"/>
    <n v="608.64"/>
    <s v="ea"/>
    <n v="1"/>
    <n v="0.06"/>
  </r>
  <r>
    <x v="3227"/>
    <s v="TABLE LINEAR MXS8L-10AS"/>
    <s v="SMC"/>
    <s v="MXS8L-10AS"/>
    <s v="MYR"/>
    <n v="768.6"/>
    <s v="ea"/>
    <n v="1"/>
    <n v="0.06"/>
  </r>
  <r>
    <x v="3228"/>
    <s v="STOP-FRONT + RUBBER D=12 0-5MM"/>
    <s v="SMC"/>
    <s v="MXS-AS12"/>
    <s v="MYR"/>
    <n v="60.86"/>
    <s v="ea"/>
    <n v="1"/>
    <n v="0.06"/>
  </r>
  <r>
    <x v="3229"/>
    <s v="STOP-FRONT + RUBBER D=16 0-5MM"/>
    <s v="SMC"/>
    <s v="MXS-AS16"/>
    <s v="MYR"/>
    <n v="79.47"/>
    <s v="ea"/>
    <n v="1"/>
    <n v="0.06"/>
  </r>
  <r>
    <x v="3230"/>
    <s v="STOP-FRONT + RUBBER D= 6 0-5MM"/>
    <s v="SMC"/>
    <s v="MXS-AS6"/>
    <s v="MYR"/>
    <n v="68.430000000000007"/>
    <s v="ea"/>
    <n v="1"/>
    <n v="0.06"/>
  </r>
  <r>
    <x v="3231"/>
    <s v="STOP-FRONT + RUBBER D=8 0-5MM"/>
    <s v="SMC"/>
    <s v="MXS-AS8"/>
    <s v="MYR"/>
    <n v="79.47"/>
    <s v="ea"/>
    <n v="1"/>
    <n v="0.06"/>
  </r>
  <r>
    <x v="3232"/>
    <s v="STOP-REAR + RUBBER D=12 0-15MM"/>
    <s v="SMC"/>
    <s v="MXS-AT12-X11"/>
    <s v="MYR"/>
    <n v="82.04"/>
    <s v="ea"/>
    <n v="1"/>
    <n v="0.06"/>
  </r>
  <r>
    <x v="3233"/>
    <s v="STOP-REAR + RUBBER D=16 0-25MM"/>
    <s v="SMC"/>
    <s v="MXS-AT16-X12"/>
    <s v="MYR"/>
    <n v="117.47"/>
    <s v="ea"/>
    <n v="1"/>
    <n v="0.06"/>
  </r>
  <r>
    <x v="3234"/>
    <s v="STOP-REAR + RUBBER D= 6 0-5MM"/>
    <s v="SMC"/>
    <s v="MXS-AT6"/>
    <s v="MYR"/>
    <n v="68.430000000000007"/>
    <s v="ea"/>
    <n v="1"/>
    <n v="0.06"/>
  </r>
  <r>
    <x v="3235"/>
    <s v="STOP-REAR + RUBBER S8 0-5MM"/>
    <s v="SMC"/>
    <s v="MXS-AT8"/>
    <s v="MYR"/>
    <n v="104.32"/>
    <s v="ea"/>
    <n v="1"/>
    <n v="0.06"/>
  </r>
  <r>
    <x v="3236"/>
    <s v="STOP-FRONT + DAMPER D= 8"/>
    <s v="SMC"/>
    <s v="MXS-BS8"/>
    <s v="MYR"/>
    <n v="119.86"/>
    <s v="ea"/>
    <n v="1"/>
    <n v="0.06"/>
  </r>
  <r>
    <x v="3237"/>
    <s v="CYLINDER"/>
    <s v="SMC"/>
    <s v="MY1B16G-200"/>
    <s v="MYR"/>
    <n v="430.13"/>
    <s v="ea"/>
    <n v="1"/>
    <n v="0.06"/>
  </r>
  <r>
    <x v="3238"/>
    <s v="Cylinder Rodless"/>
    <s v="SMC"/>
    <s v="MY3A25-600"/>
    <s v="MYR"/>
    <n v="536.79"/>
    <s v="ea"/>
    <n v="1"/>
    <n v="0.06"/>
  </r>
  <r>
    <x v="3239"/>
    <s v="RODLESS CYLINDER B=16 S=420"/>
    <s v="SMC"/>
    <s v="MY3B16-420"/>
    <s v="MYR"/>
    <n v="480.45"/>
    <s v="ea"/>
    <n v="1"/>
    <n v="0.06"/>
  </r>
  <r>
    <x v="3240"/>
    <s v="RODLESS CYLINDER B=16 S=420"/>
    <s v="SMC"/>
    <s v="MY3M16-420"/>
    <s v="MYR"/>
    <n v="745.44"/>
    <s v="ea"/>
    <n v="1"/>
    <n v="0.06"/>
  </r>
  <r>
    <x v="3241"/>
    <s v="REGULATOR,MODULAR STYLE,NAR"/>
    <s v="SMC"/>
    <s v="NAR2000-N02BG"/>
    <s v="MYR"/>
    <n v="78.900000000000006"/>
    <s v="ea"/>
    <n v="1"/>
    <n v="0.06"/>
  </r>
  <r>
    <x v="3242"/>
    <s v="MANIFOLD,REGULATOR,3 STATION"/>
    <s v="SMC"/>
    <s v="NARM1000-3A2-N01"/>
    <s v="MYR"/>
    <n v="185.92"/>
    <s v="ea"/>
    <n v="1"/>
    <n v="0.06"/>
  </r>
  <r>
    <x v="3243"/>
    <s v="SOFT_START_VALVE"/>
    <s v="SMC"/>
    <s v="NAV3000-N03-5DZ"/>
    <s v="MYR"/>
    <n v="386.98"/>
    <s v="ea"/>
    <n v="1"/>
    <n v="0.06"/>
  </r>
  <r>
    <x v="3244"/>
    <s v="CYLINDER,10MM D,5IN STROKE"/>
    <s v="SMC"/>
    <s v="NCDJ2B10-500-H7A1L"/>
    <s v="MYR"/>
    <n v="256.81"/>
    <s v="ea"/>
    <n v="1"/>
    <n v="0.06"/>
  </r>
  <r>
    <x v="3245"/>
    <s v="CYLINDER, 10MM D, 6 IN STROKE"/>
    <s v="SMC"/>
    <s v="NCDJ2B10-600-H7A1L"/>
    <s v="MYR"/>
    <n v="331.19"/>
    <s v="ea"/>
    <n v="1"/>
    <n v="0.06"/>
  </r>
  <r>
    <x v="3246"/>
    <s v="AIR CYLINDER 16MM,1&quot; STROKE"/>
    <s v="SMC"/>
    <s v="NCDJ2B16-100-H7A1 S"/>
    <s v="MYR"/>
    <n v="281.61"/>
    <s v="ea"/>
    <n v="1"/>
    <n v="0.06"/>
  </r>
  <r>
    <x v="3247"/>
    <s v="AIR CYLINDER,5/8 D,7.0 STROKE"/>
    <s v="SMC"/>
    <s v="NCDJ2B16-700-B"/>
    <s v="MYR"/>
    <n v="68.150000000000006"/>
    <s v="ea"/>
    <n v="1"/>
    <n v="0.06"/>
  </r>
  <r>
    <x v="3248"/>
    <s v="CYLINDER,16MM D,7IN STROKE"/>
    <s v="SMC"/>
    <s v="NCDJ2B16-700-H7A1L"/>
    <s v="MYR"/>
    <n v="274.83999999999997"/>
    <s v="ea"/>
    <n v="1"/>
    <n v="0.06"/>
  </r>
  <r>
    <x v="3249"/>
    <s v="COMPACT CYLINDER"/>
    <s v="SMC"/>
    <s v="NCDQ2B12-5DZ"/>
    <s v="MYR"/>
    <n v="57.47"/>
    <s v="ea"/>
    <n v="1"/>
    <n v="0.06"/>
  </r>
  <r>
    <x v="3250"/>
    <s v="AIR CYL,.75&quot;BORE,.38&quot;STK,SPR"/>
    <s v="SMC"/>
    <s v="NCDQ8B075-037SM"/>
    <s v="MYR"/>
    <n v="191.76"/>
    <s v="ea"/>
    <n v="1"/>
    <n v="0.06"/>
  </r>
  <r>
    <x v="3251"/>
    <s v="CYLINDER,AIR,W/SENSORS"/>
    <s v="SMC"/>
    <s v="NCDQ8BZ200-250-M9N"/>
    <s v="MYR"/>
    <n v="400.28"/>
    <s v="ea"/>
    <n v="1"/>
    <n v="0.06"/>
  </r>
  <r>
    <x v="3252"/>
    <s v="ROTARY ACTUATOR"/>
    <s v="SMC"/>
    <s v="NCDRQB15-01-609-F79"/>
    <s v="MYR"/>
    <n v="728.94"/>
    <s v="ea"/>
    <n v="1"/>
    <n v="0.06"/>
  </r>
  <r>
    <x v="3253"/>
    <s v="AIR CYL, 3/8D, 5.0 STRK INLINE"/>
    <s v="SMC"/>
    <s v="NCJ2B10-500R"/>
    <s v="MYR"/>
    <n v="58.56"/>
    <s v="ea"/>
    <n v="1"/>
    <n v="0.06"/>
  </r>
  <r>
    <x v="3254"/>
    <s v="CYL,16MM BORE X 60MM STROKE"/>
    <s v="SMC"/>
    <s v="NCJ2D16-060"/>
    <s v="MYR"/>
    <n v="64.599999999999994"/>
    <s v="ea"/>
    <n v="1"/>
    <n v="0.06"/>
  </r>
  <r>
    <x v="3255"/>
    <s v="NCMB088-0225-DUN02420 (MOQ 8 pcs)"/>
    <s v="SMC"/>
    <s v="NCMB088-0225-DUN02420"/>
    <s v="MYR"/>
    <n v="171.5"/>
    <s v="ea"/>
    <n v="1"/>
    <n v="0.06"/>
  </r>
  <r>
    <x v="3256"/>
    <s v="CYLINDER,AIR,1.25STRX1.06BORE"/>
    <s v="SMC"/>
    <s v="NCMB106-0125-DUJ01300"/>
    <s v="MYR"/>
    <n v="386.56"/>
    <s v="ea"/>
    <n v="1"/>
    <n v="0.06"/>
  </r>
  <r>
    <x v="3257"/>
    <s v="COUPLER, ALIGNMENT 7/16-20UNF"/>
    <s v="SMC"/>
    <s v="NJ07"/>
    <s v="MYR"/>
    <n v="499.06"/>
    <s v="ea"/>
    <n v="1"/>
    <n v="0.06"/>
  </r>
  <r>
    <x v="3258"/>
    <s v="ALIGNMENT,COUPLER"/>
    <s v="SMC"/>
    <s v="NJ08"/>
    <s v="MYR"/>
    <n v="288.8"/>
    <s v="ea"/>
    <n v="1"/>
    <n v="0.06"/>
  </r>
  <r>
    <x v="3259"/>
    <s v="COUPLING,FLOATING"/>
    <s v="SMC"/>
    <s v="NJ10-32"/>
    <s v="MYR"/>
    <n v="62.67"/>
    <s v="ea"/>
    <n v="1"/>
    <n v="0.06"/>
  </r>
  <r>
    <x v="3260"/>
    <s v="COUPLER,ROD END ALIGN,5-40"/>
    <s v="SMC"/>
    <s v="NJ5-40"/>
    <s v="MYR"/>
    <n v="53.35"/>
    <s v="ea"/>
    <n v="1"/>
    <n v="0.06"/>
  </r>
  <r>
    <x v="3261"/>
    <s v="COUPLING, FLOATING, 6-40"/>
    <s v="SMC"/>
    <s v="NJ6-40"/>
    <s v="MYR"/>
    <n v="63.05"/>
    <s v="ea"/>
    <n v="1"/>
    <n v="0.06"/>
  </r>
  <r>
    <x v="3262"/>
    <s v="CLEVIS ASSY 10MM"/>
    <s v="SMC"/>
    <s v="NY-J010B"/>
    <s v="MYR"/>
    <n v="11.78"/>
    <s v="ea"/>
    <n v="1"/>
    <n v="0.06"/>
  </r>
  <r>
    <x v="3263"/>
    <s v="EJECTOR-VACUUM W/VALVE 70PSI &amp; SWITCH"/>
    <s v="SMC"/>
    <s v="NZM071HT-K5LZ-E15L"/>
    <s v="MYR"/>
    <n v="561.39"/>
    <s v="ea"/>
    <n v="1"/>
    <n v="0.06"/>
  </r>
  <r>
    <x v="3264"/>
    <s v="INDIVIDUAL STATION GASKET *"/>
    <s v="SMC"/>
    <s v="P31816-01"/>
    <s v="MYR"/>
    <n v="1.21"/>
    <s v="ea"/>
    <n v="1"/>
    <n v="0.06"/>
  </r>
  <r>
    <x v="3265"/>
    <s v="END PLATE GASKET, LEFT *"/>
    <s v="SMC"/>
    <s v="P31816-03"/>
    <s v="MYR"/>
    <n v="1.1299999999999999"/>
    <s v="ea"/>
    <n v="1"/>
    <n v="0.06"/>
  </r>
  <r>
    <x v="3266"/>
    <s v="CABLE, ITV 90DEG"/>
    <s v="SMC"/>
    <s v="P398020-501-3"/>
    <s v="MYR"/>
    <n v="54.85"/>
    <s v="ea"/>
    <n v="1"/>
    <n v="0.06"/>
  </r>
  <r>
    <x v="3267"/>
    <s v="CABLE, ITV 90DEG"/>
    <s v="SMC"/>
    <s v="P398020-501-3"/>
    <s v="MYR"/>
    <n v="54.85"/>
    <s v="ea"/>
    <n v="1"/>
    <n v="0.06"/>
  </r>
  <r>
    <x v="3268"/>
    <s v="Volume flow extern sensor display"/>
    <s v="SMC"/>
    <s v="PF2A311-A"/>
    <s v="MYR"/>
    <n v="429"/>
    <s v="ea"/>
    <n v="1"/>
    <n v="0.06"/>
  </r>
  <r>
    <x v="3269"/>
    <s v="FLOWMETER-DIGITAL-DISPLAY"/>
    <s v="SMC"/>
    <s v="PF2A710-02-27"/>
    <s v="MYR"/>
    <n v="865.55"/>
    <s v="ea"/>
    <n v="1"/>
    <n v="0.06"/>
  </r>
  <r>
    <x v="3270"/>
    <s v="FLOWMETER-DIGITAL-DISPLAY"/>
    <s v="SMC"/>
    <s v="PF2A710-N01-27-M"/>
    <s v="MYR"/>
    <n v="865.55"/>
    <s v="ea"/>
    <n v="1"/>
    <n v="0.06"/>
  </r>
  <r>
    <x v="3271"/>
    <s v="Flow Switch 10-100L"/>
    <s v="SMC"/>
    <s v="PF2A711-F03-67"/>
    <s v="MYR"/>
    <n v="1892.29"/>
    <s v="ea"/>
    <n v="1"/>
    <n v="0.06"/>
  </r>
  <r>
    <x v="3272"/>
    <s v="Flow Meter Unit"/>
    <s v="SMC"/>
    <s v="PF2A711-F03-67N    "/>
    <s v="MYR"/>
    <n v="809"/>
    <s v="ea"/>
    <n v="1"/>
    <n v="0.06"/>
  </r>
  <r>
    <x v="3273"/>
    <s v="Flow Switch"/>
    <s v="SMC"/>
    <s v="PF2A750-F02-67"/>
    <s v="MYR"/>
    <n v="901.93"/>
    <s v="ea"/>
    <n v="1"/>
    <n v="0.06"/>
  </r>
  <r>
    <x v="3274"/>
    <s v="Flow Meter Unit 5-50l"/>
    <s v="SMC"/>
    <s v="PF2A750-F02-67N"/>
    <s v="MYR"/>
    <n v="1026.29"/>
    <s v="ea"/>
    <n v="1"/>
    <n v="0.06"/>
  </r>
  <r>
    <x v="3275"/>
    <s v="FLOW-SWITCH PFM7"/>
    <s v="SMC"/>
    <s v="PFM710-C4-B-M"/>
    <s v="MYR"/>
    <n v="356.23"/>
    <s v="ea"/>
    <n v="1"/>
    <n v="0.06"/>
  </r>
  <r>
    <x v="3276"/>
    <s v="Flow Meter 0,2-10l/min"/>
    <s v="SMC"/>
    <s v="PFM710-C6-A-R"/>
    <s v="MYR"/>
    <n v="450.16"/>
    <s v="ea"/>
    <n v="1"/>
    <n v="0.06"/>
  </r>
  <r>
    <x v="3277"/>
    <s v="DIGITAL FLOWMETER PFM 2-100 LPM"/>
    <s v="SMC"/>
    <s v="PFM711-C6-B-M"/>
    <s v="MYR"/>
    <n v="439.19"/>
    <s v="ea"/>
    <n v="1"/>
    <n v="0.06"/>
  </r>
  <r>
    <x v="3278"/>
    <s v="DIGITAL FLOW SWITCH"/>
    <s v="SMC"/>
    <s v="PFM725-C6-B-W"/>
    <s v="MYR"/>
    <n v="304.89"/>
    <s v="ea"/>
    <n v="1"/>
    <n v="0.06"/>
  </r>
  <r>
    <x v="3279"/>
    <s v="DEBIMETER DIGITAL PFM"/>
    <s v="SMC"/>
    <s v="PFM750-C6-B-M"/>
    <s v="MYR"/>
    <n v="278.87"/>
    <s v="ea"/>
    <n v="1"/>
    <n v="0.06"/>
  </r>
  <r>
    <x v="3280"/>
    <s v="DEBIMETER DIGITAL PFM"/>
    <s v="SMC"/>
    <s v="PFM750-F01-B-M"/>
    <s v="MYR"/>
    <n v="356.23"/>
    <s v="ea"/>
    <n v="1"/>
    <n v="0.06"/>
  </r>
  <r>
    <x v="3281"/>
    <s v="2-COLOR DISPLAY DIGITAL FLOW SWITCH"/>
    <s v="SMC"/>
    <s v="PFM750S-C6-B-M"/>
    <s v="MYR"/>
    <n v="391.89"/>
    <s v="ea"/>
    <n v="1"/>
    <n v="0.06"/>
  </r>
  <r>
    <x v="3282"/>
    <s v="SW,DGTL 24V,1-50L/MIN,6MMOD"/>
    <s v="SMC"/>
    <s v="PFM750S-C6-C"/>
    <s v="MYR"/>
    <n v="430.4"/>
    <s v="ea"/>
    <n v="1"/>
    <n v="0.06"/>
  </r>
  <r>
    <x v="3283"/>
    <s v="SW,DIGITAL FLOW 24V,1-50 L/MIN"/>
    <s v="SMC"/>
    <s v="PFM750S-N7-C"/>
    <s v="MYR"/>
    <n v="439.19"/>
    <s v="ea"/>
    <n v="1"/>
    <n v="0.06"/>
  </r>
  <r>
    <x v="3284"/>
    <s v="Flow switch 10-1000l analog"/>
    <s v="SMC"/>
    <s v="PFMB7102-F04-EW-R"/>
    <s v="MYR"/>
    <n v="804.56"/>
    <s v="ea"/>
    <n v="1"/>
    <n v="0.06"/>
  </r>
  <r>
    <x v="3285"/>
    <s v="Flow Meter small 2-200l"/>
    <s v="SMC"/>
    <s v="PFMB7201-C8-A-R"/>
    <s v="MYR"/>
    <n v="692.55"/>
    <s v="ea"/>
    <n v="1"/>
    <n v="0.06"/>
  </r>
  <r>
    <x v="3286"/>
    <s v="SCREEN-FLOW-SWITCH PFMV5"/>
    <s v="SMC"/>
    <s v="PFMV304-MLEG-N"/>
    <s v="MYR"/>
    <n v="170.52"/>
    <s v="ea"/>
    <n v="1"/>
    <n v="0.06"/>
  </r>
  <r>
    <x v="3287"/>
    <s v="FLOW-SWITCH PFMV5"/>
    <s v="SMC"/>
    <s v="PFMV530-1-NA"/>
    <s v="MYR"/>
    <n v="185.5"/>
    <s v="ea"/>
    <n v="1"/>
    <n v="0.06"/>
  </r>
  <r>
    <x v="3288"/>
    <s v="PKP SMC THM AUTO"/>
    <s v="SMC"/>
    <s v="PK10.01.00.03"/>
    <s v="MYR"/>
    <n v="515.24"/>
    <s v="ea"/>
    <n v="1"/>
    <n v="0.06"/>
  </r>
  <r>
    <x v="3289"/>
    <s v="PKP SMC CA"/>
    <s v="SMC"/>
    <s v="PK10.43.00.03"/>
    <s v="MYR"/>
    <n v="2788.55"/>
    <s v="ea"/>
    <n v="1"/>
    <n v="0.06"/>
  </r>
  <r>
    <x v="3290"/>
    <s v="PLUG 1/4 SMC"/>
    <s v="SMC"/>
    <s v="PLUG 1/4  (TB00139)"/>
    <s v="MYR"/>
    <n v="1.43"/>
    <s v="ea"/>
    <n v="1"/>
    <n v="0.06"/>
  </r>
  <r>
    <x v="3291"/>
    <s v="PLUG G1/8"/>
    <s v="SMC"/>
    <s v="PLUG G 1/8"/>
    <s v="MYR"/>
    <n v="1.05"/>
    <s v="ea"/>
    <n v="1"/>
    <n v="0.06"/>
  </r>
  <r>
    <x v="3292"/>
    <s v="COMPACT MANOMETER -100KPA TO 10BAR"/>
    <s v="SMC"/>
    <s v="PPA100-04"/>
    <s v="MYR"/>
    <n v="248.52"/>
    <s v="ea"/>
    <n v="1"/>
    <n v="0.06"/>
  </r>
  <r>
    <x v="3293"/>
    <s v="COMPACT MANOMETER -101 TO -10 KPA"/>
    <s v="SMC"/>
    <s v="PPA101-04"/>
    <s v="MYR"/>
    <n v="190.31"/>
    <s v="ea"/>
    <n v="1"/>
    <n v="0.06"/>
  </r>
  <r>
    <x v="3294"/>
    <s v="BOOSTER"/>
    <s v="SMC"/>
    <s v="PROJ-TBR00001"/>
    <s v="MYR"/>
    <n v="3724"/>
    <s v="ea"/>
    <n v="1"/>
    <n v="0.06"/>
  </r>
  <r>
    <x v="3295"/>
    <s v="AIR BOOSTER"/>
    <s v="SMC"/>
    <s v="PROJ-TBR00006"/>
    <s v="MYR"/>
    <n v="5500"/>
    <s v="ea"/>
    <n v="1"/>
    <n v="0.06"/>
  </r>
  <r>
    <x v="3296"/>
    <s v="CYLINDER SHORTSTROKE"/>
    <s v="SMC"/>
    <s v="PROJ-TBS00005"/>
    <s v="MYR"/>
    <n v="72.73"/>
    <s v="ea"/>
    <n v="1"/>
    <n v="0.06"/>
  </r>
  <r>
    <x v="3297"/>
    <s v="Pressure Sensor"/>
    <s v="SMC"/>
    <s v="PS1000-R06L-Q"/>
    <s v="MYR"/>
    <n v="138.13"/>
    <s v="ea"/>
    <n v="1"/>
    <n v="0.06"/>
  </r>
  <r>
    <x v="3298"/>
    <s v="Vacuum Sensor (Display)"/>
    <s v="SMC"/>
    <s v="PSE 201-MA4C"/>
    <s v="MYR"/>
    <n v="464.31"/>
    <s v="ea"/>
    <n v="1"/>
    <n v="0.06"/>
  </r>
  <r>
    <x v="3299"/>
    <s v="CONTROLER-SENSOR-VACUUM PNP PSE201"/>
    <s v="SMC"/>
    <s v="PSE201-MA"/>
    <s v="MYR"/>
    <n v="255.5"/>
    <s v="ea"/>
    <n v="1"/>
    <n v="0.06"/>
  </r>
  <r>
    <x v="3300"/>
    <s v="CONTROLER-SENSOR-VACUUM PNP PSE541"/>
    <s v="SMC"/>
    <s v="PSE304-MLAC"/>
    <s v="MYR"/>
    <n v="243.32"/>
    <s v="ea"/>
    <n v="1"/>
    <n v="0.06"/>
  </r>
  <r>
    <x v="3301"/>
    <s v="TRANSDUCER,PRESSURE,PSE51"/>
    <s v="SMC"/>
    <s v="PSE510-R06"/>
    <s v="MYR"/>
    <n v="273.13"/>
    <s v="ea"/>
    <n v="1"/>
    <n v="0.06"/>
  </r>
  <r>
    <x v="3302"/>
    <s v="Pressure Sensor inline"/>
    <s v="SMC"/>
    <s v="PSE540-01-C2"/>
    <s v="MYR"/>
    <n v="172.95"/>
    <s v="ea"/>
    <n v="1"/>
    <n v="0.06"/>
  </r>
  <r>
    <x v="3303"/>
    <s v="Vacuum Sensor (Sensor only)"/>
    <s v="SMC"/>
    <s v="PSE541-01-C2"/>
    <s v="MYR"/>
    <n v="172.95"/>
    <s v="ea"/>
    <n v="1"/>
    <n v="0.06"/>
  </r>
  <r>
    <x v="3304"/>
    <s v="SENSOR-VACUUM PSE541A-M3-C2"/>
    <s v="SMC"/>
    <s v="PSE541A-M3-C2"/>
    <s v="MYR"/>
    <n v="162.22999999999999"/>
    <s v="ea"/>
    <n v="1"/>
    <n v="0.06"/>
  </r>
  <r>
    <x v="3305"/>
    <s v="SENSOR-VACUUM PSE541-IM5-C2"/>
    <s v="SMC"/>
    <s v="PSE541-IM5-C2"/>
    <s v="MYR"/>
    <n v="142.47999999999999"/>
    <s v="ea"/>
    <n v="1"/>
    <n v="0.06"/>
  </r>
  <r>
    <x v="3306"/>
    <s v="SENSOR-VACUUM PSE541-M5-C2"/>
    <s v="SMC"/>
    <s v="PSE541-M5-C2"/>
    <s v="MYR"/>
    <n v="98.04"/>
    <s v="ea"/>
    <n v="1"/>
    <n v="0.06"/>
  </r>
  <r>
    <x v="3307"/>
    <s v="SHOCK ABSORBER"/>
    <s v="SMC"/>
    <s v="RB0805"/>
    <s v="MYR"/>
    <n v="60.84"/>
    <s v="ea"/>
    <n v="1"/>
    <n v="0.06"/>
  </r>
  <r>
    <x v="3308"/>
    <s v="SHOCK ABSORBER"/>
    <s v="SMC"/>
    <s v="RB0806"/>
    <s v="MYR"/>
    <n v="53.99"/>
    <s v="ea"/>
    <n v="1"/>
    <n v="0.06"/>
  </r>
  <r>
    <x v="3309"/>
    <s v="NUT-HEXAGONAL 0.4D M10X1"/>
    <s v="SMC"/>
    <s v="RB10J"/>
    <s v="MYR"/>
    <n v="3.58"/>
    <s v="ea"/>
    <n v="1"/>
    <n v="0.06"/>
  </r>
  <r>
    <x v="3310"/>
    <s v="ABSORBER-SHOCK-HYDRAULIC M14X1.5"/>
    <s v="SMC"/>
    <s v="RB1411"/>
    <s v="MYR"/>
    <n v="104.49"/>
    <s v="ea"/>
    <n v="1"/>
    <n v="0.06"/>
  </r>
  <r>
    <x v="3311"/>
    <s v="ABSORBER-SHOCK-HYDRAULIC M 8X1"/>
    <s v="SMC"/>
    <s v="RBA0805-X692"/>
    <s v="MYR"/>
    <n v="78.34"/>
    <s v="ea"/>
    <n v="1"/>
    <n v="0.06"/>
  </r>
  <r>
    <x v="3312"/>
    <s v="SHOCK ABSORBER"/>
    <s v="SMC"/>
    <s v="RBC0806"/>
    <s v="MYR"/>
    <n v="105.2"/>
    <s v="ea"/>
    <n v="1"/>
    <n v="0.06"/>
  </r>
  <r>
    <x v="3313"/>
    <s v="SHOCK ABSORBER"/>
    <s v="SMC"/>
    <s v="RBC1007"/>
    <s v="MYR"/>
    <n v="105.31"/>
    <s v="ea"/>
    <n v="1"/>
    <n v="0.06"/>
  </r>
  <r>
    <x v="3314"/>
    <s v="SHOCK ABSORBER"/>
    <s v="SMC"/>
    <s v="RBQC1604"/>
    <s v="MYR"/>
    <n v="100.23"/>
    <s v="ea"/>
    <n v="1"/>
    <n v="0.06"/>
  </r>
  <r>
    <x v="3315"/>
    <s v="Compact Cylinder - 20x25mm"/>
    <s v="SMC"/>
    <s v="RQB20-25"/>
    <s v="MYR"/>
    <n v="145.07"/>
    <s v="ea"/>
    <n v="1"/>
    <n v="0.06"/>
  </r>
  <r>
    <x v="3316"/>
    <s v="ASSY,PLUG CONN,150MM,S070 SER"/>
    <s v="SMC"/>
    <s v="S070-14A"/>
    <s v="MYR"/>
    <n v="3.09"/>
    <s v="ea"/>
    <n v="1"/>
    <n v="0.06"/>
  </r>
  <r>
    <x v="3317"/>
    <s v="CONNECTOR-VALVE SO70"/>
    <s v="SMC"/>
    <s v="S070-14A-10"/>
    <s v="MYR"/>
    <n v="4.53"/>
    <s v="ea"/>
    <n v="1"/>
    <n v="0.06"/>
  </r>
  <r>
    <x v="3318"/>
    <s v="CONN ASSY, PLUG 600MM S070 SER"/>
    <s v="SMC"/>
    <s v="S070-14A-6"/>
    <s v="MYR"/>
    <n v="5.07"/>
    <s v="ea"/>
    <n v="1"/>
    <n v="0.06"/>
  </r>
  <r>
    <x v="3319"/>
    <s v="VALVE,SOL,BASE MT,24V PL,5CC"/>
    <s v="SMC"/>
    <s v="S070B-5CC"/>
    <s v="MYR"/>
    <n v="78.95"/>
    <s v="ea"/>
    <n v="1"/>
    <n v="0.06"/>
  </r>
  <r>
    <x v="3320"/>
    <s v="VALVE,SOLENOID,BASE MT,24V DC"/>
    <s v="SMC"/>
    <s v="S070B-5CP"/>
    <s v="MYR"/>
    <n v="85.03"/>
    <s v="ea"/>
    <n v="1"/>
    <n v="0.06"/>
  </r>
  <r>
    <x v="3321"/>
    <s v="VALVE SOL BASE MT 0.6MPA"/>
    <s v="SMC"/>
    <s v="S070B-5DC-X118A"/>
    <s v="MYR"/>
    <n v="100.46"/>
    <s v="ea"/>
    <n v="1"/>
    <n v="0.06"/>
  </r>
  <r>
    <x v="3322"/>
    <s v="VALVE,SOLENOID,BASE MT,24VDCHP"/>
    <s v="SMC"/>
    <s v="S070B-5DP"/>
    <s v="MYR"/>
    <n v="85.03"/>
    <s v="ea"/>
    <n v="1"/>
    <n v="0.06"/>
  </r>
  <r>
    <x v="3323"/>
    <s v="CLIP,S070 VALVE"/>
    <s v="SMC"/>
    <s v="S070B-80A-2"/>
    <s v="MYR"/>
    <n v="52.629999999999995"/>
    <s v="ea"/>
    <n v="1"/>
    <n v="0.06"/>
  </r>
  <r>
    <x v="3324"/>
    <s v="ELECTRO-VALVE 3/2 NF"/>
    <s v="SMC"/>
    <s v="S070C-5DC-32"/>
    <s v="MYR"/>
    <n v="43.22"/>
    <s v="ea"/>
    <n v="1"/>
    <n v="0.06"/>
  </r>
  <r>
    <x v="3325"/>
    <s v="FILTER-PNEUMATIC-SUCTION D=6 0.01UM"/>
    <s v="SMC"/>
    <s v="SFD100-C06B"/>
    <s v="MYR"/>
    <n v="162.4"/>
    <s v="ea"/>
    <n v="1"/>
    <n v="0.06"/>
  </r>
  <r>
    <x v="3326"/>
    <s v="Valve 2x3/2 (SJ2A60N-5NMZ-C4) Dia 4mm"/>
    <s v="SMC"/>
    <s v="SJ2A60N-5NMZ-C4"/>
    <s v="MYR"/>
    <n v="171.57"/>
    <s v="ea"/>
    <n v="1"/>
    <n v="0.06"/>
  </r>
  <r>
    <x v="3327"/>
    <s v="Valve 2x3/2 (SJ2A60N-5NMZ-N1) Dia 3,2mm"/>
    <s v="SMC"/>
    <s v="SJ2A60N-5NMZ-N1"/>
    <s v="MYR"/>
    <n v="129.78"/>
    <s v="ea"/>
    <n v="1"/>
    <n v="0.06"/>
  </r>
  <r>
    <x v="3328"/>
    <s v="NUT, JAM, M8X1"/>
    <s v="SMC"/>
    <s v="SNJ-010B"/>
    <s v="MYR"/>
    <n v="0.79"/>
    <s v="ea"/>
    <n v="1"/>
    <n v="0.06"/>
  </r>
  <r>
    <x v="3329"/>
    <s v="PLATE,BLANKING,S070 VALVE"/>
    <s v="SMC"/>
    <s v="SS070B-10A"/>
    <s v="MYR"/>
    <n v="9.98"/>
    <s v="ea"/>
    <n v="1"/>
    <n v="0.06"/>
  </r>
  <r>
    <x v="3330"/>
    <s v="MANIFOLD,BAR BASE,X8 S070 SER"/>
    <s v="SMC"/>
    <s v="SS073B01-08C"/>
    <s v="MYR"/>
    <n v="34.049999999999997"/>
    <s v="ea"/>
    <n v="1"/>
    <n v="0.06"/>
  </r>
  <r>
    <x v="3331"/>
    <s v="Endplate Valve SS3Y1-S41-04-M3-Q"/>
    <s v="SMC"/>
    <s v="SS3Y1-S41-04-M3-Q"/>
    <s v="MYR"/>
    <n v="79.989999999999995"/>
    <s v="ea"/>
    <n v="1"/>
    <n v="0.06"/>
  </r>
  <r>
    <x v="3332"/>
    <s v="SEATING 4 POSITIONS WITHOUT SEAL"/>
    <s v="SMC"/>
    <s v="SS3YJ3-42-04-M5"/>
    <s v="MYR"/>
    <n v="74.989999999999995"/>
    <s v="ea"/>
    <n v="1"/>
    <n v="0.06"/>
  </r>
  <r>
    <x v="3333"/>
    <s v="MANIFOLD 2 POSITIONS WITH PILOT-VACUUM"/>
    <s v="SMC"/>
    <s v="SS3YJ3-42R-02-M5"/>
    <s v="MYR"/>
    <n v="44.53"/>
    <s v="ea"/>
    <n v="1"/>
    <n v="0.06"/>
  </r>
  <r>
    <x v="3334"/>
    <s v="BATTERY-ELECTROVALVE SY314/10 NX FB"/>
    <s v="SMC"/>
    <s v="SS3YJ3-KJJ246"/>
    <s v="MYR"/>
    <n v="173.86"/>
    <s v="ea"/>
    <n v="1"/>
    <n v="0.06"/>
  </r>
  <r>
    <x v="3335"/>
    <s v="BATTERY-ELECTROVALVE SY314/10 NX FB 90¿"/>
    <s v="SMC"/>
    <s v="SS3YJ3-KJJ247"/>
    <s v="MYR"/>
    <n v="285.58"/>
    <s v="ea"/>
    <n v="1"/>
    <n v="0.06"/>
  </r>
  <r>
    <x v="3336"/>
    <s v="Endplate"/>
    <s v="SMC"/>
    <s v="SS3YJ3-S41-03-M3-Q"/>
    <s v="MYR"/>
    <n v="65.5"/>
    <s v="ea"/>
    <n v="1"/>
    <n v="0.06"/>
  </r>
  <r>
    <x v="3337"/>
    <s v="SEATING- 3 POSITIONS WITHOUT SEAL"/>
    <s v="SMC"/>
    <s v="SS3YJ3-S42-03-M5F"/>
    <s v="MYR"/>
    <n v="53.96"/>
    <s v="ea"/>
    <n v="1"/>
    <n v="0.06"/>
  </r>
  <r>
    <x v="3338"/>
    <s v="SEATING- 4 POSITIONS WITOUT SEAL"/>
    <s v="SMC"/>
    <s v="SS3YJ3-S42-04-M5F-Q"/>
    <s v="MYR"/>
    <n v="55.79"/>
    <s v="ea"/>
    <n v="1"/>
    <n v="0.06"/>
  </r>
  <r>
    <x v="3339"/>
    <s v="SEATING- 5 POSITIONS WITHOUT SEAL"/>
    <s v="SMC"/>
    <s v="SS3YJ3-S42-05-M5F-Q"/>
    <s v="MYR"/>
    <n v="66.150000000000006"/>
    <s v="ea"/>
    <n v="1"/>
    <n v="0.06"/>
  </r>
  <r>
    <x v="3340"/>
    <s v="SEATING- 6 POSITIONS WITHOUT SEAL"/>
    <s v="SMC"/>
    <s v="SS3YJ3-S42-06-M5F-Q"/>
    <s v="MYR"/>
    <n v="72.349999999999994"/>
    <s v="ea"/>
    <n v="1"/>
    <n v="0.06"/>
  </r>
  <r>
    <x v="3341"/>
    <s v="SEATING-10 POSITIONS"/>
    <s v="SMC"/>
    <s v="SS3YJ3-S42-10-M5F-Q"/>
    <s v="MYR"/>
    <n v="153.84"/>
    <s v="ea"/>
    <n v="1"/>
    <n v="0.06"/>
  </r>
  <r>
    <x v="3342"/>
    <s v="SEATING- 3 POSITIONS WITHOUT SEAL VACUUM"/>
    <s v="SMC"/>
    <s v="SS3YJ3-S42R-03-M5"/>
    <s v="MYR"/>
    <n v="59.37"/>
    <s v="ea"/>
    <n v="1"/>
    <n v="0.06"/>
  </r>
  <r>
    <x v="3343"/>
    <s v="Valve Block (9 valves) - Sub D"/>
    <s v="SMC"/>
    <s v="SS5J2-LQP172    "/>
    <s v="MYR"/>
    <n v="1507.82"/>
    <s v="ea"/>
    <n v="1"/>
    <n v="0.06"/>
  </r>
  <r>
    <x v="3344"/>
    <s v="Valve Block (7 valves)"/>
    <s v="SMC"/>
    <s v="SS5J2-LQR274"/>
    <s v="MYR"/>
    <n v="1926.65"/>
    <s v="ea"/>
    <n v="1"/>
    <n v="0.06"/>
  </r>
  <r>
    <x v="3345"/>
    <s v="SEATING  6 POSITIONS WITHOUT SEAL"/>
    <s v="SMC"/>
    <s v="SS5Y3-20-06"/>
    <s v="MYR"/>
    <n v="88.22"/>
    <s v="ea"/>
    <n v="1"/>
    <n v="0.06"/>
  </r>
  <r>
    <x v="3346"/>
    <s v="MANIFOLD  2 STA 5 PORT M5"/>
    <s v="SMC"/>
    <s v="SS5Y3-41-02-M5"/>
    <s v="MYR"/>
    <n v="77.19"/>
    <s v="ea"/>
    <n v="1"/>
    <n v="0.06"/>
  </r>
  <r>
    <x v="3347"/>
    <s v="SEATING-VALVE 10X"/>
    <s v="SMC"/>
    <s v="SS5Y3-41-10-M5"/>
    <s v="MYR"/>
    <n v="172.05"/>
    <s v="ea"/>
    <n v="1"/>
    <n v="0.06"/>
  </r>
  <r>
    <x v="3348"/>
    <s v="SEATING 2 POSITIONS WITHOUT SEAL"/>
    <s v="SMC"/>
    <s v="SS5YJ3-S41-02-M5F"/>
    <s v="MYR"/>
    <n v="41.66"/>
    <s v="ea"/>
    <n v="1"/>
    <n v="0.06"/>
  </r>
  <r>
    <x v="3349"/>
    <s v="SEATING 2 POSITIONS WITHOUT SEAL"/>
    <s v="SMC"/>
    <s v="SS5YJ3-S41-02-M5F-Q"/>
    <s v="MYR"/>
    <n v="43.97"/>
    <s v="ea"/>
    <n v="1"/>
    <n v="0.06"/>
  </r>
  <r>
    <x v="3350"/>
    <s v="SYJ3000 VALVE MANIFOLD"/>
    <s v="SMC"/>
    <s v="SS5YJ3-S41-03-M5F"/>
    <s v="MYR"/>
    <n v="65.45"/>
    <s v="ea"/>
    <n v="1"/>
    <n v="0.06"/>
  </r>
  <r>
    <x v="3351"/>
    <s v="SEATING  3 POSITIONS WITHOUT SEAL"/>
    <s v="SMC"/>
    <s v="SS5YJ3-S41-03-M5F-Q"/>
    <s v="MYR"/>
    <n v="73.069999999999993"/>
    <s v="ea"/>
    <n v="1"/>
    <n v="0.06"/>
  </r>
  <r>
    <x v="3352"/>
    <s v="SEATING  4 POSITIONS WITHOUT SEAL"/>
    <s v="SMC"/>
    <s v="SS5YJ3-S41-04-M5F-Q"/>
    <s v="MYR"/>
    <n v="91.74"/>
    <s v="ea"/>
    <n v="1"/>
    <n v="0.06"/>
  </r>
  <r>
    <x v="3353"/>
    <s v="SEATING  6 POSITIONS WITHOUT SEAL"/>
    <s v="SMC"/>
    <s v="SS5YJ3-S41-06-M5F-Q"/>
    <s v="MYR"/>
    <n v="142.4"/>
    <s v="ea"/>
    <n v="1"/>
    <n v="0.06"/>
  </r>
  <r>
    <x v="3354"/>
    <s v="SEATING  10 POSITIONS WITHOUT SEAL"/>
    <s v="SMC"/>
    <s v="SS5YJ3-S41-10-M5F-Q"/>
    <s v="MYR"/>
    <n v="220.95"/>
    <s v="ea"/>
    <n v="1"/>
    <n v="0.06"/>
  </r>
  <r>
    <x v="3355"/>
    <s v="SY3000 BRACKET ASSY"/>
    <s v="SMC"/>
    <s v="SX3000-16-1A"/>
    <s v="MYR"/>
    <n v="5.1100000000000003"/>
    <s v="ea"/>
    <n v="1"/>
    <n v="0.06"/>
  </r>
  <r>
    <x v="3356"/>
    <s v="SEATING-UNITARY D=4"/>
    <s v="SMC"/>
    <s v="SX3000-50-1A-C4-Q"/>
    <s v="MYR"/>
    <n v="46"/>
    <s v="ea"/>
    <n v="1"/>
    <n v="0.06"/>
  </r>
  <r>
    <x v="3357"/>
    <s v="MODULE P/R D=8/8"/>
    <s v="SMC"/>
    <s v="SX3000-51-1A"/>
    <s v="MYR"/>
    <n v="18.940000000000001"/>
    <s v="ea"/>
    <n v="1"/>
    <n v="0.06"/>
  </r>
  <r>
    <x v="3358"/>
    <s v="PLATE-END RIGHT"/>
    <s v="SMC"/>
    <s v="SX3000-52-1A-Q"/>
    <s v="MYR"/>
    <n v="30"/>
    <s v="ea"/>
    <n v="1"/>
    <n v="0.06"/>
  </r>
  <r>
    <x v="3359"/>
    <s v="PLATE-END LEFT"/>
    <s v="SMC"/>
    <s v="SX3000-53-1A-Q"/>
    <s v="MYR"/>
    <n v="30"/>
    <s v="ea"/>
    <n v="1"/>
    <n v="0.06"/>
  </r>
  <r>
    <x v="3360"/>
    <s v="BRACKET-ATTACH"/>
    <s v="SMC"/>
    <s v="SX7000-16-1A"/>
    <s v="MYR"/>
    <n v="9.42"/>
    <s v="ea"/>
    <n v="1"/>
    <n v="0.06"/>
  </r>
  <r>
    <x v="3361"/>
    <s v="CONNECTOR FOR VALVE CABLE 2M"/>
    <s v="SMC"/>
    <s v="SY100-30-4A-20"/>
    <s v="MYR"/>
    <n v="3.78"/>
    <s v="ea"/>
    <n v="1"/>
    <n v="0.06"/>
  </r>
  <r>
    <x v="3362"/>
    <s v="CONNECTOR FOR VALVE CABLE 2M"/>
    <s v="SMC"/>
    <s v="SY100-68-A-20"/>
    <s v="MYR"/>
    <n v="15.8"/>
    <s v="ea"/>
    <n v="1"/>
    <n v="0.06"/>
  </r>
  <r>
    <x v="3363"/>
    <s v="CONNECTOR FOR VALVE CABLE 3M"/>
    <s v="SMC"/>
    <s v="SY100-68-A-30"/>
    <s v="MYR"/>
    <n v="25.64"/>
    <s v="ea"/>
    <n v="1"/>
    <n v="0.06"/>
  </r>
  <r>
    <x v="3364"/>
    <s v="CONNECTOR VALVE SY/VJ/SYJ 5M"/>
    <s v="SMC"/>
    <s v="SY100-68-A-50"/>
    <s v="MYR"/>
    <n v="34.65"/>
    <s v="ea"/>
    <n v="1"/>
    <n v="0.06"/>
  </r>
  <r>
    <x v="3365"/>
    <s v="CONNECT. FOR SY/VJ/SYJ"/>
    <s v="SMC"/>
    <s v="SY100-68-A-6"/>
    <s v="MYR"/>
    <n v="9.7100000000000009"/>
    <s v="ea"/>
    <n v="1"/>
    <n v="0.06"/>
  </r>
  <r>
    <x v="3366"/>
    <s v="3/2 WAY VALVE"/>
    <s v="SMC"/>
    <s v="SY113A-5MOU-PM3-Q"/>
    <s v="MYR"/>
    <n v="75.67"/>
    <s v="ea"/>
    <n v="1"/>
    <n v="0.06"/>
  </r>
  <r>
    <x v="3367"/>
    <s v="Valve (SY114)"/>
    <s v="SMC"/>
    <s v="SY114-5MOU-Qv"/>
    <s v="MYR"/>
    <n v="75.709999999999994"/>
    <s v="ea"/>
    <n v="1"/>
    <n v="0.06"/>
  </r>
  <r>
    <x v="3368"/>
    <s v="SEAL PLATE+SEAL+SCREW"/>
    <s v="SMC"/>
    <s v="SY3000-26-9A"/>
    <s v="MYR"/>
    <n v="5.54"/>
    <s v="ea"/>
    <n v="1"/>
    <n v="0.06"/>
  </r>
  <r>
    <x v="3369"/>
    <s v="CABLE,SMC VALVE,70MM"/>
    <s v="SMC"/>
    <s v="SY3000-37-13A-15"/>
    <s v="MYR"/>
    <n v="9.5500000000000007"/>
    <s v="ea"/>
    <n v="1"/>
    <n v="0.06"/>
  </r>
  <r>
    <x v="3370"/>
    <s v="CABLE,SMC VALVE,300MM"/>
    <s v="SMC"/>
    <s v="SY3000-37-13A-18"/>
    <s v="MYR"/>
    <n v="11.02"/>
    <s v="ea"/>
    <n v="1"/>
    <n v="0.06"/>
  </r>
  <r>
    <x v="3371"/>
    <s v="LEAD WIRE DOUBLE"/>
    <s v="SMC"/>
    <s v="SY3000-37-4A"/>
    <s v="MYR"/>
    <n v="5.03"/>
    <s v="ea"/>
    <n v="1"/>
    <n v="0.06"/>
  </r>
  <r>
    <x v="3372"/>
    <s v="5 PORT SOLENOID MANF,24VDC"/>
    <s v="SMC"/>
    <s v="SY3120-5LZD-C4"/>
    <s v="MYR"/>
    <n v="126.89"/>
    <s v="ea"/>
    <n v="1"/>
    <n v="0.06"/>
  </r>
  <r>
    <x v="3373"/>
    <s v="VALVE,SINGLE UNIT,SY3000"/>
    <s v="SMC"/>
    <s v="SY3120-5LZ-M5-F2"/>
    <s v="MYR"/>
    <n v="108.97"/>
    <s v="ea"/>
    <n v="1"/>
    <n v="0.06"/>
  </r>
  <r>
    <x v="3374"/>
    <s v="ELECTROVALVE 5/2 MONOSTABLE"/>
    <s v="SMC"/>
    <s v="SY3120-5MOZ-C4"/>
    <s v="MYR"/>
    <n v="99.5"/>
    <s v="ea"/>
    <n v="1"/>
    <n v="0.06"/>
  </r>
  <r>
    <x v="3375"/>
    <s v="ELECTROVALVE 5/2 MONOSTABLE"/>
    <s v="SMC"/>
    <s v="SY3120-5MOZ-C6"/>
    <s v="MYR"/>
    <n v="111.81"/>
    <s v="ea"/>
    <n v="1"/>
    <n v="0.06"/>
  </r>
  <r>
    <x v="3376"/>
    <s v="ELECTROVALVE 5/2 MONOSTABLE"/>
    <s v="SMC"/>
    <s v="SY3140-5LOU-Q"/>
    <s v="MYR"/>
    <n v="96.19"/>
    <s v="ea"/>
    <n v="1"/>
    <n v="0.06"/>
  </r>
  <r>
    <x v="3377"/>
    <s v="5/2 WAY VALVE"/>
    <s v="SMC"/>
    <s v="SY3220-5MOU-M5-Q"/>
    <s v="MYR"/>
    <n v="96.59"/>
    <s v="ea"/>
    <n v="1"/>
    <n v="0.06"/>
  </r>
  <r>
    <x v="3378"/>
    <s v="Valve 5/2"/>
    <s v="SMC"/>
    <s v="SY3240-5MZ-01F-Q    "/>
    <s v="MYR"/>
    <n v="180.88"/>
    <s v="ea"/>
    <n v="1"/>
    <n v="0.06"/>
  </r>
  <r>
    <x v="3379"/>
    <s v="VALVE,DBLSOL,3POS,W/O LEADWIRE"/>
    <s v="SMC"/>
    <s v="SY3340-5LOU  "/>
    <s v="MYR"/>
    <n v="154.72"/>
    <s v="ea"/>
    <n v="1"/>
    <n v="0.06"/>
  </r>
  <r>
    <x v="3380"/>
    <s v="ELECTROVALVE 5/3 CENTER CLOSED"/>
    <s v="SMC"/>
    <s v="SY3340-5LOU-Q"/>
    <s v="MYR"/>
    <n v="154.72"/>
    <s v="ea"/>
    <n v="1"/>
    <n v="0.06"/>
  </r>
  <r>
    <x v="3381"/>
    <s v="CONNECTOR,SMC VALVE,16 CHANNEL"/>
    <s v="SMC"/>
    <s v="SY5000-30-3B-08"/>
    <s v="MYR"/>
    <n v="120.27"/>
    <s v="ea"/>
    <n v="1"/>
    <n v="0.06"/>
  </r>
  <r>
    <x v="3382"/>
    <s v="5/2 SOLENOID VALVE"/>
    <s v="SMC"/>
    <s v="SY5120-5MO-01F-F2-Q"/>
    <s v="MYR"/>
    <n v="116.85"/>
    <s v="ea"/>
    <n v="1"/>
    <n v="0.06"/>
  </r>
  <r>
    <x v="3383"/>
    <s v="VALVE,SOLENOID,5 PORT"/>
    <s v="SMC"/>
    <s v="SY5340-DUM00787"/>
    <s v="MYR"/>
    <n v="252.2"/>
    <s v="ea"/>
    <n v="1"/>
    <n v="0.06"/>
  </r>
  <r>
    <x v="3384"/>
    <s v="ELECTRO-VALVE 5/3 CENTER OPENED"/>
    <s v="SMC"/>
    <s v="SY5420-5LOU-C8F"/>
    <s v="MYR"/>
    <n v="129.80000000000001"/>
    <s v="ea"/>
    <n v="1"/>
    <n v="0.06"/>
  </r>
  <r>
    <x v="3385"/>
    <s v="ELECTROVALVE 5/2 SINGLE ACTING BODY BASE"/>
    <s v="SMC"/>
    <s v="SY7140-5LZD-02"/>
    <s v="MYR"/>
    <n v="153.13999999999999"/>
    <s v="ea"/>
    <n v="1"/>
    <n v="0.06"/>
  </r>
  <r>
    <x v="3386"/>
    <s v="ELECTROVALVE 5/2 SINGLE ACTING BODY BASE(R)"/>
    <s v="SMC"/>
    <s v="SY7140R-5LZD-02"/>
    <s v="MYR"/>
    <n v="163.72999999999999"/>
    <s v="ea"/>
    <n v="1"/>
    <n v="0.06"/>
  </r>
  <r>
    <x v="3387"/>
    <s v="ELECTROVALVE 5/3 CENTER CLOSED"/>
    <s v="SMC"/>
    <s v="SY7320-5LOU-C8F-X20-Q"/>
    <s v="MYR"/>
    <n v="151.12"/>
    <s v="ea"/>
    <n v="1"/>
    <n v="0.06"/>
  </r>
  <r>
    <x v="3388"/>
    <s v="SEAL PLATE+SEAL+SCREW"/>
    <s v="SMC"/>
    <s v="SYJ3000-21-2A-Q"/>
    <s v="MYR"/>
    <n v="3.94"/>
    <s v="ea"/>
    <n v="1"/>
    <n v="0.06"/>
  </r>
  <r>
    <x v="3389"/>
    <s v="SEATING-UNITARY WITHOUT SEAL"/>
    <s v="SMC"/>
    <s v="SYJ3000-22-1-Q"/>
    <s v="MYR"/>
    <n v="8.99"/>
    <s v="ea"/>
    <n v="1"/>
    <n v="0.06"/>
  </r>
  <r>
    <x v="3390"/>
    <s v="PLATE-OBSTRUCTION+SEAL+SCREW"/>
    <s v="SMC"/>
    <s v="SYJ300-10-7A-Q"/>
    <s v="MYR"/>
    <n v="3.75"/>
    <s v="ea"/>
    <n v="1"/>
    <n v="0.06"/>
  </r>
  <r>
    <x v="3391"/>
    <s v="SEATING-UNITARY-WITHOUT-SEAL M5"/>
    <s v="SMC"/>
    <s v="SYJ300-9-1-Q"/>
    <s v="MYR"/>
    <n v="9.64"/>
    <s v="ea"/>
    <n v="1"/>
    <n v="0.06"/>
  </r>
  <r>
    <x v="3392"/>
    <s v="ELECTROVALVE 5/2 MONOSTABLE"/>
    <s v="SMC"/>
    <s v="SYJ3143-5LOU-Q"/>
    <s v="MYR"/>
    <n v="79.25"/>
    <s v="ea"/>
    <n v="1"/>
    <n v="0.06"/>
  </r>
  <r>
    <x v="3393"/>
    <s v="ELECTROVALVE 3/2 NC"/>
    <s v="SMC"/>
    <s v="SYJ314-5LOU-Q"/>
    <s v="MYR"/>
    <n v="64.400000000000006"/>
    <s v="ea"/>
    <n v="1"/>
    <n v="0.06"/>
  </r>
  <r>
    <x v="3394"/>
    <s v="Valve (SYJ314M)"/>
    <s v="SMC"/>
    <s v="SYJ314M-5LOU-Q"/>
    <s v="MYR"/>
    <n v="92.06"/>
    <s v="ea"/>
    <n v="1"/>
    <n v="0.06"/>
  </r>
  <r>
    <x v="3395"/>
    <s v="ELECTROVALVE 5/2 BISTABLE"/>
    <s v="SMC"/>
    <s v="SYJ3243-5LOU-Q"/>
    <s v="MYR"/>
    <n v="150.05000000000001"/>
    <s v="ea"/>
    <n v="1"/>
    <n v="0.06"/>
  </r>
  <r>
    <x v="3396"/>
    <s v="ELECTROVALVE 5/3 MONOSTABLE"/>
    <s v="SMC"/>
    <s v="SYJ3340-5LZ"/>
    <s v="MYR"/>
    <n v="121.74"/>
    <s v="ea"/>
    <n v="1"/>
    <n v="0.06"/>
  </r>
  <r>
    <x v="3397"/>
    <s v="ELECTROVALVE 5/3 CENTER CLOSED"/>
    <s v="SMC"/>
    <s v="SYJ3343-5LOU-Q"/>
    <s v="MYR"/>
    <n v="124.74"/>
    <s v="ea"/>
    <n v="1"/>
    <n v="0.06"/>
  </r>
  <r>
    <x v="3398"/>
    <s v="Valve (3/2-way)"/>
    <s v="SMC"/>
    <s v="SYJ514-5LOU-Q"/>
    <s v="MYR"/>
    <n v="116.7"/>
    <s v="ea"/>
    <n v="1"/>
    <n v="0.06"/>
  </r>
  <r>
    <x v="3399"/>
    <s v="VALVE,SPEED CONTRO,ITRM"/>
    <s v="SMC"/>
    <s v="SYJ514-SPL"/>
    <s v="MYR"/>
    <n v="326.7"/>
    <s v="ea"/>
    <n v="1"/>
    <n v="0.06"/>
  </r>
  <r>
    <x v="3400"/>
    <s v="PNEUMATIC CONTROL VALVE 3/2"/>
    <s v="SMC"/>
    <s v="SYJA512-M5"/>
    <s v="MYR"/>
    <n v="71.930000000000007"/>
    <s v="ea"/>
    <n v="1"/>
    <n v="0.06"/>
  </r>
  <r>
    <x v="3401"/>
    <s v="Nylon-Schlauch 20m"/>
    <s v="SMC"/>
    <s v="T0425R-20"/>
    <s v="MYR"/>
    <n v="28.95"/>
    <s v="ea"/>
    <n v="1"/>
    <n v="0.06"/>
  </r>
  <r>
    <x v="3402"/>
    <s v="Hose 12mm"/>
    <s v="SMC"/>
    <s v="T1209W-20"/>
    <s v="MYR"/>
    <n v="195.42"/>
    <s v="ea"/>
    <n v="1"/>
    <n v="0.06"/>
  </r>
  <r>
    <x v="3403"/>
    <s v="TUBE-POLYURETHANE-BLACK 6/4"/>
    <s v="SMC"/>
    <s v="TAS0604B-100"/>
    <s v="MYR"/>
    <n v="5.6"/>
    <s v="m"/>
    <n v="100"/>
    <n v="0.06"/>
  </r>
  <r>
    <x v="3404"/>
    <s v="TUBE-POLYURETHANE-BLACK 12/8"/>
    <s v="SMC"/>
    <s v="TAS1208 B 20"/>
    <s v="MYR"/>
    <n v="28.2"/>
    <s v="m"/>
    <n v="20"/>
    <n v="0.06"/>
  </r>
  <r>
    <x v="3405"/>
    <s v="HOSE  BLACK  ANTISTATIC"/>
    <s v="SMC"/>
    <s v="TAU0425B-20"/>
    <s v="MYR"/>
    <n v="41.83"/>
    <s v="ea"/>
    <n v="1"/>
    <n v="0.06"/>
  </r>
  <r>
    <x v="3406"/>
    <s v="HOSE ESD"/>
    <s v="SMC"/>
    <s v="TAU0425B-20"/>
    <s v="MYR"/>
    <n v="41.83"/>
    <s v="ea"/>
    <n v="1"/>
    <n v="0.06"/>
  </r>
  <r>
    <x v="3407"/>
    <s v="HOSE"/>
    <s v="SMC"/>
    <s v="TAU0604B-100"/>
    <s v="MYR"/>
    <n v="776"/>
    <s v="ea"/>
    <n v="1"/>
    <n v="0.06"/>
  </r>
  <r>
    <x v="3408"/>
    <s v="TUBE-POLYURETHANE-CLEAR"/>
    <s v="SMC"/>
    <s v="TAU0604C-20-X100"/>
    <s v="MYR"/>
    <n v="1.429"/>
    <s v="m"/>
    <n v="100"/>
    <n v="0.06"/>
  </r>
  <r>
    <x v="3409"/>
    <s v="TUBE PU CLEAR 10 OD ANTISTATIC"/>
    <s v="SMC"/>
    <s v="TAU1065C-20-X100"/>
    <s v="MYR"/>
    <n v="3.6850000000000001"/>
    <s v="m"/>
    <n v="100"/>
    <n v="0.06"/>
  </r>
  <r>
    <x v="3410"/>
    <s v="TUBE-POLYURETHANE-BLACK 12/8 ANTISTATIC"/>
    <s v="SMC"/>
    <s v="TAU1208B-20"/>
    <s v="MYR"/>
    <n v="22.99"/>
    <s v="m"/>
    <n v="20"/>
    <n v="0.06"/>
  </r>
  <r>
    <x v="3411"/>
    <s v="PLUG, MALE HEX 3/8 BSPT"/>
    <s v="SMC"/>
    <s v="TB00155"/>
    <s v="MYR"/>
    <n v="2.42"/>
    <s v="ea"/>
    <n v="1"/>
    <n v="0.06"/>
  </r>
  <r>
    <x v="3412"/>
    <s v="Spiralschlauch Ø6"/>
    <s v="SMC"/>
    <s v="TCU0604B-1-26-X6    "/>
    <s v="MYR"/>
    <n v="38.81"/>
    <s v="ea"/>
    <n v="1"/>
    <n v="0.06"/>
  </r>
  <r>
    <x v="3413"/>
    <s v="COIL TUBING (AIR GUN)"/>
    <s v="SMC"/>
    <s v="TCU0805B-1"/>
    <s v="MYR"/>
    <n v="65.69"/>
    <s v="ea"/>
    <n v="1"/>
    <n v="0.06"/>
  </r>
  <r>
    <x v="3414"/>
    <s v="PU-SPIRALSCHLAUCH  Da=10"/>
    <s v="SMC"/>
    <s v="TCU1065B-1-36-X6"/>
    <s v="MYR"/>
    <n v="133.88999999999999"/>
    <s v="ea"/>
    <n v="1"/>
    <n v="0.06"/>
  </r>
  <r>
    <x v="3415"/>
    <s v="TUBING, FLUOROPOLYMER 4MMOD"/>
    <s v="SMC"/>
    <s v="TD0425-20"/>
    <s v="MYR"/>
    <n v="236.25"/>
    <s v="ea"/>
    <n v="1"/>
    <n v="0.06"/>
  </r>
  <r>
    <x v="3416"/>
    <s v="HOSE 4MM TEFLON"/>
    <s v="SMC"/>
    <s v="TD0425-20"/>
    <s v="MYR"/>
    <n v="236.25"/>
    <s v="ea"/>
    <n v="1"/>
    <n v="0.06"/>
  </r>
  <r>
    <x v="3417"/>
    <s v="MULTITUBE POLYURETHANE D=4X4"/>
    <s v="SMC"/>
    <s v="TFU0425B-4-10-X4"/>
    <s v="MYR"/>
    <n v="147.26"/>
    <s v="ea"/>
    <n v="1"/>
    <n v="0.06"/>
  </r>
  <r>
    <x v="3418"/>
    <s v="MULTITUBE-POLYURETHAN D=4X8"/>
    <s v="SMC"/>
    <s v="TFU0425B-8-10-X4"/>
    <s v="MYR"/>
    <n v="414.68"/>
    <s v="ea"/>
    <n v="1"/>
    <n v="0.06"/>
  </r>
  <r>
    <x v="3419"/>
    <s v="Hose Heat-Resistant (SMC) 3,2mm"/>
    <s v="SMC"/>
    <s v="TIHC01B-16"/>
    <s v="MYR"/>
    <n v="110.5"/>
    <s v="ea"/>
    <n v="1"/>
    <n v="0.06"/>
  </r>
  <r>
    <x v="3420"/>
    <s v="Pneumatic Hose 3,2mm"/>
    <s v="SMC"/>
    <s v="TIUB01B-20"/>
    <s v="MYR"/>
    <n v="28.35"/>
    <s v="ea"/>
    <n v="1"/>
    <n v="0.06"/>
  </r>
  <r>
    <x v="3421"/>
    <s v="TUBING,1/4 OD BLACK"/>
    <s v="SMC"/>
    <s v="TIUB07B-20"/>
    <s v="MYR"/>
    <n v="84.9"/>
    <s v="ea"/>
    <n v="1"/>
    <n v="0.06"/>
  </r>
  <r>
    <x v="3422"/>
    <s v="TUBING,1/4&quot;OD,NYLON,BLUE"/>
    <s v="SMC"/>
    <s v="TIUB07BU-20"/>
    <s v="MYR"/>
    <n v="77.19"/>
    <s v="ea"/>
    <n v="1"/>
    <n v="0.06"/>
  </r>
  <r>
    <x v="3423"/>
    <s v="TUBING 3/8 OD BLACK"/>
    <s v="SMC"/>
    <s v="TIUB11B-20 "/>
    <s v="MYR"/>
    <n v="173.19"/>
    <s v="ea"/>
    <n v="1"/>
    <n v="0.06"/>
  </r>
  <r>
    <x v="3424"/>
    <s v="TUBING,POLYURE,BLN"/>
    <s v="SMC"/>
    <s v="TIUB11BU-20"/>
    <s v="MYR"/>
    <n v="129.01"/>
    <s v="ea"/>
    <n v="1"/>
    <n v="0.06"/>
  </r>
  <r>
    <x v="3425"/>
    <s v="TUBING,1/2 OD BLUE POLYURE-"/>
    <s v="SMC"/>
    <s v="TIUB13-BU-20"/>
    <s v="MYR"/>
    <n v="306"/>
    <s v="ea"/>
    <n v="1"/>
    <n v="0.06"/>
  </r>
  <r>
    <x v="3426"/>
    <s v="INNER SLEEVE D=04"/>
    <s v="SMC"/>
    <s v="TJ-0425"/>
    <s v="MYR"/>
    <n v="1.19"/>
    <s v="ea"/>
    <n v="1"/>
    <n v="0.06"/>
  </r>
  <r>
    <x v="3427"/>
    <s v="INNER SLEEVE"/>
    <s v="SMC"/>
    <s v="TJ-0805"/>
    <s v="MYR"/>
    <n v="0.89"/>
    <s v="ea"/>
    <n v="1"/>
    <n v="0.06"/>
  </r>
  <r>
    <x v="3428"/>
    <s v="MULTITUBE HOLDER,6MM"/>
    <s v="SMC"/>
    <s v="TM-06"/>
    <s v="MYR"/>
    <n v="3.4"/>
    <s v="ea"/>
    <n v="1"/>
    <n v="0.06"/>
  </r>
  <r>
    <x v="3429"/>
    <s v="Hose Fixing"/>
    <s v="SMC"/>
    <s v="TM-08"/>
    <s v="MYR"/>
    <n v="3.76"/>
    <s v="ea"/>
    <n v="1"/>
    <n v="0.06"/>
  </r>
  <r>
    <x v="3430"/>
    <s v="HOLDER ONE-TOUCH FITTING"/>
    <s v="SMC"/>
    <s v="TMH-04J"/>
    <s v="MYR"/>
    <n v="1.58"/>
    <s v="ea"/>
    <n v="1"/>
    <n v="0.06"/>
  </r>
  <r>
    <x v="3431"/>
    <s v="FASTENING KIT"/>
    <s v="SMC"/>
    <s v="TMH-04J"/>
    <s v="MYR"/>
    <n v="1.58"/>
    <s v="ea"/>
    <n v="1"/>
    <n v="0.06"/>
  </r>
  <r>
    <x v="3432"/>
    <s v="TUBING,10MM, BLU, POLY"/>
    <s v="SMC"/>
    <s v="TRS1065BU-20"/>
    <s v="MYR"/>
    <n v="280.25"/>
    <s v="ea"/>
    <n v="1"/>
    <n v="0.06"/>
  </r>
  <r>
    <x v="3433"/>
    <s v="Pneumatic Hose 12"/>
    <s v="SMC"/>
    <s v="TS1209B"/>
    <s v="MYR"/>
    <n v="196.07999999999998"/>
    <s v="ea"/>
    <n v="1"/>
    <n v="0.06"/>
  </r>
  <r>
    <x v="3434"/>
    <s v="TUBE-POLYURETHANE 2X1.2"/>
    <s v="SMC"/>
    <s v="TU0212B-20"/>
    <s v="MYR"/>
    <n v="1.387"/>
    <s v="m"/>
    <n v="20"/>
    <n v="0.06"/>
  </r>
  <r>
    <x v="3435"/>
    <s v="TUBING,4MMODX25MMID,CLEAR POLY"/>
    <s v="SMC"/>
    <s v="TU0425C-20"/>
    <s v="MYR"/>
    <n v="21.09"/>
    <s v="ea"/>
    <n v="1"/>
    <n v="0.06"/>
  </r>
  <r>
    <x v="3436"/>
    <s v="TUBE,4MM,YELLOW(20m)"/>
    <s v="SMC"/>
    <s v="TU0425Y-20   "/>
    <s v="MYR"/>
    <n v="1.0549999999999999"/>
    <s v="m"/>
    <n v="20"/>
    <n v="0.06"/>
  </r>
  <r>
    <x v="3437"/>
    <s v="TUBE-POLYURETHANE BLACK  6/4 NON-ANTIST."/>
    <s v="SMC"/>
    <s v="TU0604B-100"/>
    <s v="MYR"/>
    <n v="5.8000000000000003E-2"/>
    <s v="m"/>
    <n v="100"/>
    <n v="0.06"/>
  </r>
  <r>
    <x v="3438"/>
    <s v="TUBE-POLYURETHANE BLACK  6X4MM"/>
    <s v="SMC"/>
    <s v="TU0604B-100"/>
    <s v="MYR"/>
    <n v="5.8000000000000003E-2"/>
    <s v="m"/>
    <n v="100"/>
    <n v="0.06"/>
  </r>
  <r>
    <x v="3439"/>
    <s v="TUBE,6MM,BLUE"/>
    <s v="SMC"/>
    <s v="TU0604BU-20"/>
    <s v="MYR"/>
    <n v="1.169"/>
    <s v="m"/>
    <n v="20"/>
    <n v="0.06"/>
  </r>
  <r>
    <x v="3440"/>
    <s v="TUBE,6MM,CLEAR"/>
    <s v="SMC"/>
    <s v="TU0604C-20"/>
    <s v="MYR"/>
    <n v="2.0670000000000002"/>
    <s v="m"/>
    <n v="20"/>
    <n v="0.06"/>
  </r>
  <r>
    <x v="3441"/>
    <s v="TUBING PU BLUE,8MM O,5MM  (100ft)"/>
    <s v="SMC"/>
    <s v="TU0805BU-33"/>
    <s v="MYR"/>
    <n v="204.43999999999997"/>
    <s v="ea"/>
    <n v="1"/>
    <n v="0.06"/>
  </r>
  <r>
    <x v="3442"/>
    <s v="TUBING 10MM  BLACK"/>
    <s v="SMC"/>
    <s v="TU1065B-20"/>
    <s v="MYR"/>
    <n v="66"/>
    <s v="ea"/>
    <n v="1"/>
    <n v="0.06"/>
  </r>
  <r>
    <x v="3443"/>
    <s v="TUBE 10MM BLUE"/>
    <s v="SMC"/>
    <s v="TU1065BU-20"/>
    <s v="MYR"/>
    <n v="4.3170000000000002"/>
    <s v="m"/>
    <n v="20"/>
    <n v="0.06"/>
  </r>
  <r>
    <x v="3444"/>
    <s v="TUBE  10MM  CLEAR"/>
    <s v="SMC"/>
    <s v="TU1065C-20"/>
    <s v="MYR"/>
    <n v="4.7789999999999999"/>
    <s v="m"/>
    <n v="20"/>
    <n v="0.06"/>
  </r>
  <r>
    <x v="3445"/>
    <s v="Pneumatic Hose 16mm"/>
    <s v="SMC"/>
    <s v="TU1610B-20"/>
    <s v="MYR"/>
    <n v="401.38"/>
    <s v="ea"/>
    <n v="1"/>
    <n v="0.06"/>
  </r>
  <r>
    <x v="3446"/>
    <s v="10MM POLYURETHANE TUBE 145PSI"/>
    <s v="SMC"/>
    <s v="TUH1065BU-20"/>
    <s v="MYR"/>
    <n v="5.2069999999999999"/>
    <s v="m"/>
    <n v="20"/>
    <n v="0.06"/>
  </r>
  <r>
    <x v="3447"/>
    <s v="Pneumatic Hose flexible 8mm"/>
    <s v="SMC"/>
    <s v="TUS 0805B-20    "/>
    <s v="MYR"/>
    <n v="150.96"/>
    <s v="ea"/>
    <n v="1"/>
    <n v="0.06"/>
  </r>
  <r>
    <x v="3448"/>
    <s v="TUBING, 4MM OD, SOFT PU, BLK"/>
    <s v="SMC"/>
    <s v="TUS0425B-20"/>
    <s v="MYR"/>
    <n v="48.59"/>
    <s v="ea"/>
    <n v="1"/>
    <n v="0.06"/>
  </r>
  <r>
    <x v="3449"/>
    <s v="TUBING,6MM POLYURETHANE"/>
    <s v="SMC"/>
    <s v="TUS0604BU-20"/>
    <s v="MYR"/>
    <n v="79.709999999999994"/>
    <s v="ea"/>
    <n v="1"/>
    <n v="0.06"/>
  </r>
  <r>
    <x v="3450"/>
    <s v="8MM TUBING,70 DUROMETER"/>
    <s v="SMC"/>
    <s v="TUS0805B-20"/>
    <s v="MYR"/>
    <n v="117.81"/>
    <s v="ea"/>
    <n v="1"/>
    <n v="0.06"/>
  </r>
  <r>
    <x v="3451"/>
    <s v="8MM TUBING,70 DUROMETER"/>
    <s v="SMC"/>
    <s v="TUS0805BU-20"/>
    <s v="MYR"/>
    <n v="115.43"/>
    <s v="ea"/>
    <n v="1"/>
    <n v="0.06"/>
  </r>
  <r>
    <x v="3452"/>
    <s v="Pneumatic Hose flexible 8mm"/>
    <s v="SMC"/>
    <s v="TUS0805N-20"/>
    <s v="MYR"/>
    <n v="169.43"/>
    <s v="ea"/>
    <n v="1"/>
    <n v="0.06"/>
  </r>
  <r>
    <x v="3453"/>
    <s v="8MM TUBING,70 DUROMETER"/>
    <s v="SMC"/>
    <s v="TUS0805R-20"/>
    <s v="MYR"/>
    <n v="115.43"/>
    <s v="ea"/>
    <n v="1"/>
    <n v="0.06"/>
  </r>
  <r>
    <x v="3454"/>
    <s v="8MM TUBING,70 DUROMETER"/>
    <s v="SMC"/>
    <s v="TUS0805W-20"/>
    <s v="MYR"/>
    <n v="115.6"/>
    <s v="ea"/>
    <n v="1"/>
    <n v="0.06"/>
  </r>
  <r>
    <x v="3455"/>
    <s v="10MM POLYURETHANE TUBING *"/>
    <s v="SMC"/>
    <s v="TUS1065BU-20"/>
    <s v="MYR"/>
    <n v="238.07"/>
    <s v="ea"/>
    <n v="1"/>
    <n v="0.06"/>
  </r>
  <r>
    <x v="3456"/>
    <s v="HOSE"/>
    <s v="SMC"/>
    <s v="TUZ0604BU-100"/>
    <s v="MYR"/>
    <n v="280.02999999999997"/>
    <s v="ea"/>
    <n v="1"/>
    <n v="0.06"/>
  </r>
  <r>
    <x v="3457"/>
    <s v="HOSE"/>
    <s v="SMC"/>
    <s v="TUZ0805BU-100"/>
    <s v="MYR"/>
    <n v="592.16"/>
    <s v="ea"/>
    <n v="1"/>
    <n v="0.06"/>
  </r>
  <r>
    <x v="3458"/>
    <s v="Valve.assy ,4 way,4 circuit"/>
    <s v="SMC"/>
    <s v="US17471"/>
    <s v="MYR"/>
    <n v="864.12"/>
    <s v="ea"/>
    <n v="1"/>
    <n v="0.06"/>
  </r>
  <r>
    <x v="3459"/>
    <s v="MANIFOLD ASSY, DBL 3PORT VALVE"/>
    <s v="SMC"/>
    <s v="US32982"/>
    <s v="MYR"/>
    <n v="578.16999999999996"/>
    <s v="ea"/>
    <n v="1"/>
    <n v="0.06"/>
  </r>
  <r>
    <x v="3460"/>
    <s v="VALVE ASSY,4-WAY,4 CIRCUIT"/>
    <s v="SMC"/>
    <s v="US33374"/>
    <s v="MYR"/>
    <n v="785.7"/>
    <s v="ea"/>
    <n v="1"/>
    <n v="0.06"/>
  </r>
  <r>
    <x v="3461"/>
    <s v="SOLENOID VALVE"/>
    <s v="SMC"/>
    <s v="V114-5L"/>
    <s v="MYR"/>
    <n v="79.06"/>
    <s v="ea"/>
    <n v="1"/>
    <n v="0.06"/>
  </r>
  <r>
    <x v="3462"/>
    <s v="CABLE ASSY-24V VALVE"/>
    <s v="SMC"/>
    <s v="V200-30-4A-10"/>
    <s v="MYR"/>
    <n v="9.5500000000000007"/>
    <s v="ea"/>
    <n v="1"/>
    <n v="0.06"/>
  </r>
  <r>
    <x v="3463"/>
    <s v="BOOSTER REG, 3/8&quot; NPT"/>
    <s v="SMC"/>
    <s v="VBA20A-T03GN-Z"/>
    <s v="MYR"/>
    <n v="1407.07"/>
    <s v="ea"/>
    <n v="1"/>
    <n v="0.06"/>
  </r>
  <r>
    <x v="3464"/>
    <s v="Drain valve"/>
    <s v="SMC"/>
    <s v="VBAT-V1    "/>
    <s v="MYR"/>
    <n v="43.89"/>
    <s v="ea"/>
    <n v="1"/>
    <n v="0.06"/>
  </r>
  <r>
    <x v="3465"/>
    <s v="Valve2/2"/>
    <s v="SMC"/>
    <s v="VDW11-5G-2-M5-Q"/>
    <s v="MYR"/>
    <n v="27.93"/>
    <s v="ea"/>
    <n v="1"/>
    <n v="0.06"/>
  </r>
  <r>
    <x v="3466"/>
    <s v="Valve 2/2"/>
    <s v="SMC"/>
    <s v="VDW12HA"/>
    <s v="MYR"/>
    <n v="47.74"/>
    <s v="ea"/>
    <n v="1"/>
    <n v="0.06"/>
  </r>
  <r>
    <x v="3467"/>
    <s v="Pneumatic Valve (5/2-way)"/>
    <s v="SMC"/>
    <s v="VF3230-5D1-02F"/>
    <s v="MYR"/>
    <n v="276.93"/>
    <s v="ea"/>
    <n v="1"/>
    <n v="0.06"/>
  </r>
  <r>
    <x v="3468"/>
    <s v="5/2 way main valve 1 MPa"/>
    <s v="SMC"/>
    <s v="VF5223K-5D1-02F"/>
    <s v="MYR"/>
    <n v="321.47999999999996"/>
    <s v="ea"/>
    <n v="1"/>
    <n v="0.06"/>
  </r>
  <r>
    <x v="3469"/>
    <s v="2/2-way hand valve"/>
    <s v="SMC"/>
    <s v="VH212-F02"/>
    <s v="MYR"/>
    <n v="134.93"/>
    <s v="ea"/>
    <n v="1"/>
    <n v="0.06"/>
  </r>
  <r>
    <x v="3470"/>
    <s v="FITTING VALVE VHK2-04F-04F"/>
    <s v="SMC"/>
    <s v="VHK2-04F-04F"/>
    <s v="MYR"/>
    <n v="15.56"/>
    <s v="ea"/>
    <n v="1"/>
    <n v="0.06"/>
  </r>
  <r>
    <x v="3471"/>
    <s v="VALVE,FINGER,2 PORT,6MM F,BRKT"/>
    <s v="SMC"/>
    <s v="VHK2-06F-06FL"/>
    <s v="MYR"/>
    <n v="26.38"/>
    <s v="ea"/>
    <n v="1"/>
    <n v="0.06"/>
  </r>
  <r>
    <x v="3472"/>
    <s v="VALVE,FINGER,2 PORT"/>
    <s v="SMC"/>
    <s v="VHK2-06F-M5"/>
    <s v="MYR"/>
    <n v="22.04"/>
    <s v="ea"/>
    <n v="1"/>
    <n v="0.06"/>
  </r>
  <r>
    <x v="3473"/>
    <s v="DISTRIBUTOR MANUAL"/>
    <s v="SMC"/>
    <s v="VHK3-04F-04F"/>
    <s v="MYR"/>
    <n v="15.56"/>
    <s v="ea"/>
    <n v="1"/>
    <n v="0.06"/>
  </r>
  <r>
    <x v="3474"/>
    <s v="VALVE,FINGER,3-PORT,6MM TUBE"/>
    <s v="SMC"/>
    <s v="VHK3-06F-06FL"/>
    <s v="MYR"/>
    <n v="28.41"/>
    <s v="ea"/>
    <n v="1"/>
    <n v="0.06"/>
  </r>
  <r>
    <x v="3475"/>
    <s v="DISTRIBUTOR-MANUAL 3/2 592L/MN"/>
    <s v="SMC"/>
    <s v="VHK3-08F-08F"/>
    <s v="MYR"/>
    <n v="16.03"/>
    <s v="ea"/>
    <n v="1"/>
    <n v="0.06"/>
  </r>
  <r>
    <x v="3476"/>
    <s v="Finger Valve"/>
    <s v="SMC"/>
    <s v="VHK3-08F-08FL"/>
    <s v="MYR"/>
    <n v="33.35"/>
    <s v="ea"/>
    <n v="1"/>
    <n v="0.06"/>
  </r>
  <r>
    <x v="3477"/>
    <s v="RESIDUAL PRESSURE RELIEF VALVE"/>
    <s v="SMC"/>
    <s v="VHS20-F01-B"/>
    <s v="MYR"/>
    <n v="113.15"/>
    <s v="ea"/>
    <n v="1"/>
    <n v="0.06"/>
  </r>
  <r>
    <x v="3478"/>
    <s v="CONN,2-POS"/>
    <s v="SMC"/>
    <s v="VJ10-13-1"/>
    <s v="MYR"/>
    <n v="0.62"/>
    <s v="ea"/>
    <n v="1"/>
    <n v="0.06"/>
  </r>
  <r>
    <x v="3479"/>
    <s v="GASKET, L0GE VALVE"/>
    <s v="SMC"/>
    <s v="VJ300-5-1"/>
    <s v="MYR"/>
    <n v="0.84"/>
    <s v="ea"/>
    <n v="1"/>
    <n v="0.06"/>
  </r>
  <r>
    <x v="3480"/>
    <s v="ELECTROVALVE 5/2 MONOSTABLE"/>
    <s v="SMC"/>
    <s v="VJ3143-5LOZ"/>
    <s v="MYR"/>
    <n v="77.319999999999993"/>
    <s v="ea"/>
    <n v="1"/>
    <n v="0.06"/>
  </r>
  <r>
    <x v="3481"/>
    <s v="SOLENOID VALVE"/>
    <s v="SMC"/>
    <s v="VK3120-5DO-M5"/>
    <s v="MYR"/>
    <n v="132.88"/>
    <s v="ea"/>
    <n v="1"/>
    <n v="0.06"/>
  </r>
  <r>
    <x v="3482"/>
    <s v="SOLENOID VALVE"/>
    <s v="SMC"/>
    <s v="VK332-5DO-M5"/>
    <s v="MYR"/>
    <n v="101.55"/>
    <s v="ea"/>
    <n v="1"/>
    <n v="0.06"/>
  </r>
  <r>
    <x v="3483"/>
    <s v="ELECTROVALVE 3/2 NC"/>
    <s v="SMC"/>
    <s v="VK332-5DO-M5-Q"/>
    <s v="MYR"/>
    <n v="131.47"/>
    <s v="ea"/>
    <n v="1"/>
    <n v="0.06"/>
  </r>
  <r>
    <x v="3484"/>
    <s v="ELECTROVALVE 3/2 NC"/>
    <s v="SMC"/>
    <s v="VKF332-5D-M5"/>
    <s v="MYR"/>
    <n v="152.85"/>
    <s v="ea"/>
    <n v="1"/>
    <n v="0.06"/>
  </r>
  <r>
    <x v="3485"/>
    <s v="ROTARY CONTROL"/>
    <s v="SMC"/>
    <s v="VM153-M5-35BA"/>
    <s v="MYR"/>
    <n v="143.43"/>
    <s v="ea"/>
    <n v="1"/>
    <n v="0.06"/>
  </r>
  <r>
    <x v="3486"/>
    <s v="VALVE,MECHANICAL"/>
    <s v="SMC"/>
    <s v="VM230-N02-08A"/>
    <s v="MYR"/>
    <n v="138.61000000000001"/>
    <s v="ea"/>
    <n v="1"/>
    <n v="0.06"/>
  </r>
  <r>
    <x v="3487"/>
    <s v="AIR GUN VMG SMC"/>
    <s v="SMC"/>
    <s v="VMG11BU-02-03"/>
    <s v="MYR"/>
    <n v="58.65"/>
    <s v="ea"/>
    <n v="1"/>
    <n v="0.06"/>
  </r>
  <r>
    <x v="3488"/>
    <s v="VNA302A-20A VACUUM CONTROL"/>
    <s v="SMC"/>
    <s v="VNA302A-20A"/>
    <s v="MYR"/>
    <n v="246.9"/>
    <s v="ea"/>
    <n v="1"/>
    <n v="0.06"/>
  </r>
  <r>
    <x v="3489"/>
    <s v="VNA502A-32A VACUUM CONTROL"/>
    <s v="SMC"/>
    <s v="VNA502A-32A"/>
    <s v="MYR"/>
    <n v="513.03"/>
    <s v="ea"/>
    <n v="1"/>
    <n v="0.06"/>
  </r>
  <r>
    <x v="3490"/>
    <s v="VALVE-VAC RATED-24V-EXT PILOT"/>
    <s v="SMC"/>
    <s v="VP344R-5LOZ1-02FB"/>
    <s v="MYR"/>
    <n v="185.58"/>
    <s v="ea"/>
    <n v="1"/>
    <n v="0.06"/>
  </r>
  <r>
    <x v="3491"/>
    <s v="3/2 way main valve 1MPa"/>
    <s v="SMC"/>
    <s v="VP542K-5D1-02FA"/>
    <s v="MYR"/>
    <n v="199.11999999999998"/>
    <s v="ea"/>
    <n v="1"/>
    <n v="0.06"/>
  </r>
  <r>
    <x v="3492"/>
    <s v="DOUBLE CHECK BLOCK,6MM,M5"/>
    <s v="SMC"/>
    <s v="VQ1000-FPG-C6M5-D"/>
    <s v="MYR"/>
    <n v="120.84"/>
    <s v="ea"/>
    <n v="1"/>
    <n v="0.06"/>
  </r>
  <r>
    <x v="3493"/>
    <s v="Valve 5/2"/>
    <s v="SMC"/>
    <s v="VQ1100BN-51-Q"/>
    <s v="MYR"/>
    <n v="122.77"/>
    <s v="ea"/>
    <n v="1"/>
    <n v="0.06"/>
  </r>
  <r>
    <x v="3494"/>
    <s v="VALVE 3 PORT COMPACT NC"/>
    <s v="SMC"/>
    <s v="VQ110U-5LO"/>
    <s v="MYR"/>
    <n v="77.62"/>
    <s v="ea"/>
    <n v="1"/>
    <n v="0.06"/>
  </r>
  <r>
    <x v="3495"/>
    <s v="ELECTROVALVE 3/2 NC"/>
    <s v="SMC"/>
    <s v="VQ110Y-5L"/>
    <s v="MYR"/>
    <n v="62.26"/>
    <s v="ea"/>
    <n v="1"/>
    <n v="0.06"/>
  </r>
  <r>
    <x v="3496"/>
    <s v="ELECTROVALVE 3/2 NO"/>
    <s v="SMC"/>
    <s v="VQ110Y-5L-M5"/>
    <s v="MYR"/>
    <n v="93.91"/>
    <s v="ea"/>
    <n v="1"/>
    <n v="0.06"/>
  </r>
  <r>
    <x v="3497"/>
    <s v="Valve 5/3"/>
    <s v="SMC"/>
    <s v="VQ1400BN-51-Q    "/>
    <s v="MYR"/>
    <n v="186.66"/>
    <s v="ea"/>
    <n v="1"/>
    <n v="0.06"/>
  </r>
  <r>
    <x v="3498"/>
    <s v="Valve (2x 3/2-way)"/>
    <s v="SMC"/>
    <s v="VQ1A01BN-51-Q    "/>
    <s v="MYR"/>
    <n v="174.62"/>
    <s v="ea"/>
    <n v="1"/>
    <n v="0.06"/>
  </r>
  <r>
    <x v="3499"/>
    <s v="Valve Block"/>
    <s v="SMC"/>
    <s v="VQ1-LAE559"/>
    <s v="MYR"/>
    <n v="868.41"/>
    <s v="ea"/>
    <n v="1"/>
    <n v="0.06"/>
  </r>
  <r>
    <x v="3500"/>
    <s v="Valve Block"/>
    <s v="SMC"/>
    <s v="VQ1-LAE824"/>
    <s v="MYR"/>
    <n v="1828.73"/>
    <s v="ea"/>
    <n v="1"/>
    <n v="0.06"/>
  </r>
  <r>
    <x v="3501"/>
    <s v="Valve Block"/>
    <s v="SMC"/>
    <s v="VQ1-LAE881"/>
    <s v="MYR"/>
    <n v="2444.4"/>
    <s v="ea"/>
    <n v="1"/>
    <n v="0.06"/>
  </r>
  <r>
    <x v="3502"/>
    <s v="Valve Block"/>
    <s v="SMC"/>
    <s v="VQ1-LAE885"/>
    <s v="MYR"/>
    <n v="1907.66"/>
    <s v="ea"/>
    <n v="1"/>
    <n v="0.06"/>
  </r>
  <r>
    <x v="3503"/>
    <s v="Valve Block"/>
    <s v="SMC"/>
    <s v="VQ1-LAF020"/>
    <s v="MYR"/>
    <n v="2309.21"/>
    <s v="ea"/>
    <n v="1"/>
    <n v="0.06"/>
  </r>
  <r>
    <x v="3504"/>
    <s v="Valve Block(Loader Tube V2)"/>
    <s v="SMC"/>
    <s v="VQ1-LAF026"/>
    <s v="MYR"/>
    <n v="2813"/>
    <s v="ea"/>
    <n v="1"/>
    <n v="0.06"/>
  </r>
  <r>
    <x v="3505"/>
    <s v="Valve Block"/>
    <s v="SMC"/>
    <s v="VQ1-LAF029"/>
    <s v="MYR"/>
    <n v="3781.95"/>
    <s v="ea"/>
    <n v="1"/>
    <n v="0.06"/>
  </r>
  <r>
    <x v="3506"/>
    <s v="Valve Block (Plunger)"/>
    <s v="SMC"/>
    <s v="VQ1-LQF15"/>
    <s v="MYR"/>
    <n v="3500"/>
    <s v="ea"/>
    <n v="1"/>
    <n v="0.06"/>
  </r>
  <r>
    <x v="3507"/>
    <s v="Valve Block"/>
    <s v="SMC"/>
    <s v="VQ1-LQG007"/>
    <s v="MYR"/>
    <n v="1128.5999999999999"/>
    <s v="ea"/>
    <n v="1"/>
    <n v="0.06"/>
  </r>
  <r>
    <x v="3508"/>
    <s v="VALVE BLOCK CONVEYOR SO3000"/>
    <s v="SMC"/>
    <s v="VQ1-LQH022    "/>
    <s v="MYR"/>
    <n v="1385.56"/>
    <s v="ea"/>
    <n v="1"/>
    <n v="0.06"/>
  </r>
  <r>
    <x v="3509"/>
    <s v="Valve block Loader-Unloader slotted"/>
    <s v="SMC"/>
    <s v="VQ1-LQK001    "/>
    <s v="MYR"/>
    <n v="2248.41"/>
    <s v="ea"/>
    <n v="1"/>
    <n v="0.06"/>
  </r>
  <r>
    <x v="3510"/>
    <s v="Valve Block (Plunger) Dual Temp"/>
    <s v="SMC"/>
    <s v="VQ1-LQK010"/>
    <s v="MYR"/>
    <n v="4799.26"/>
    <s v="ea"/>
    <n v="1"/>
    <n v="0.06"/>
  </r>
  <r>
    <x v="3511"/>
    <s v="Valve Block"/>
    <s v="SMC"/>
    <s v="VQ1-LQL010/00466554"/>
    <s v="MYR"/>
    <n v="3890"/>
    <s v="ea"/>
    <n v="1"/>
    <n v="0.06"/>
  </r>
  <r>
    <x v="3512"/>
    <s v="Valve Block (12x 3/2-Wege) Plunger R"/>
    <s v="SMC"/>
    <s v="VQ1-LRL007"/>
    <s v="MYR"/>
    <n v="3007"/>
    <s v="ea"/>
    <n v="1"/>
    <n v="0.06"/>
  </r>
  <r>
    <x v="3513"/>
    <s v="Valve Block (6x 3/2-Wege)"/>
    <s v="SMC"/>
    <s v="VQ1-LRL008"/>
    <s v="MYR"/>
    <n v="3265.91"/>
    <s v="ea"/>
    <n v="1"/>
    <n v="0.06"/>
  </r>
  <r>
    <x v="3514"/>
    <s v="Valve Block (12x 3/2-Wege) Plunger L"/>
    <s v="SMC"/>
    <s v="VQ1-LRL009"/>
    <s v="MYR"/>
    <n v="3007"/>
    <s v="ea"/>
    <n v="1"/>
    <n v="0.06"/>
  </r>
  <r>
    <x v="3515"/>
    <s v="Valve (Fan Motor Cooling System)"/>
    <s v="SMC"/>
    <s v="VQ21A1-5YO-C6-Q"/>
    <s v="MYR"/>
    <n v="63.87"/>
    <s v="ea"/>
    <n v="1"/>
    <n v="0.06"/>
  </r>
  <r>
    <x v="3516"/>
    <s v="VALVE,SOLEND,2PORT,LGE ORIFICE"/>
    <s v="SMC"/>
    <s v="VQ31A1-5GZ-C10-F"/>
    <s v="MYR"/>
    <n v="94.72"/>
    <s v="ea"/>
    <n v="1"/>
    <n v="0.06"/>
  </r>
  <r>
    <x v="3517"/>
    <s v="VALVE SOL. 2PORT LGE ORF. 12MM"/>
    <s v="SMC"/>
    <s v="VQ31A1-5GZ-C12-F"/>
    <s v="MYR"/>
    <n v="94.72"/>
    <s v="ea"/>
    <n v="1"/>
    <n v="0.06"/>
  </r>
  <r>
    <x v="3518"/>
    <s v="Valve Speed Control"/>
    <s v="SMC"/>
    <s v="VQD 112 1U-5M-M5-Q    "/>
    <s v="MYR"/>
    <n v="89.8"/>
    <s v="ea"/>
    <n v="1"/>
    <n v="0.06"/>
  </r>
  <r>
    <x v="3519"/>
    <s v="ELECTROVALVE 4/2 MONOSTABLE 2M (STD)"/>
    <s v="SMC"/>
    <s v="VQD1121-5L-M5-Q"/>
    <s v="MYR"/>
    <n v="117.18"/>
    <s v="ea"/>
    <n v="1"/>
    <n v="0.06"/>
  </r>
  <r>
    <x v="3520"/>
    <s v="ELECTROVALVE 4/2 MONOSTABLE 2MS"/>
    <s v="SMC"/>
    <s v="VQD1121U-5MO-M5-Q"/>
    <s v="MYR"/>
    <n v="73.349999999999994"/>
    <s v="ea"/>
    <n v="1"/>
    <n v="0.06"/>
  </r>
  <r>
    <x v="3521"/>
    <s v="Pneumatic valve 4/2 high flow/vac"/>
    <s v="SMC"/>
    <s v="VQD1121W-5MO-M5-Q"/>
    <s v="MYR"/>
    <n v="124.02"/>
    <s v="ea"/>
    <n v="1"/>
    <n v="0.06"/>
  </r>
  <r>
    <x v="3522"/>
    <s v="ELECTROVALVE 4/2 HIGH-RATE"/>
    <s v="SMC"/>
    <s v="VQD1151U-5MO-Q"/>
    <s v="MYR"/>
    <n v="57.46"/>
    <s v="ea"/>
    <n v="1"/>
    <n v="0.06"/>
  </r>
  <r>
    <x v="3523"/>
    <s v="ELECTROVALVE 4/2 HIGH-RATE EMPTY"/>
    <s v="SMC"/>
    <s v="VQD1151V-5MO-Q"/>
    <s v="MYR"/>
    <n v="90.58"/>
    <s v="ea"/>
    <n v="1"/>
    <n v="0.06"/>
  </r>
  <r>
    <x v="3524"/>
    <s v="Valve"/>
    <s v="SMC"/>
    <s v="VQZ 115-5M1-C4-PR-Q    "/>
    <s v="MYR"/>
    <n v="126.84"/>
    <s v="ea"/>
    <n v="1"/>
    <n v="0.06"/>
  </r>
  <r>
    <x v="3525"/>
    <s v="VQZ CONV CONN ASSY, 24/12VDC"/>
    <s v="SMC"/>
    <s v="VQZ1000V-85-1A"/>
    <s v="MYR"/>
    <n v="9.41"/>
    <s v="ea"/>
    <n v="1"/>
    <n v="0.06"/>
  </r>
  <r>
    <x v="3526"/>
    <s v="VALVE,4WAY,4MM,NO LEAD WIRE"/>
    <s v="SMC"/>
    <s v="VQZ1121-5LO1-C4"/>
    <s v="MYR"/>
    <n v="121.74"/>
    <s v="ea"/>
    <n v="1"/>
    <n v="0.06"/>
  </r>
  <r>
    <x v="3527"/>
    <s v="VALVE,5 PORT 2 POSITION,24VDC"/>
    <s v="SMC"/>
    <s v="VQZ1121-5M1-N3"/>
    <s v="MYR"/>
    <n v="124.93"/>
    <s v="ea"/>
    <n v="1"/>
    <n v="0.06"/>
  </r>
  <r>
    <x v="3528"/>
    <s v="VALVE,3 PORT,SOL,L-CONN,BASE MNT"/>
    <s v="SMC"/>
    <s v="VQZ115-5L1-01T"/>
    <s v="MYR"/>
    <n v="103.98"/>
    <s v="ea"/>
    <n v="1"/>
    <n v="0.06"/>
  </r>
  <r>
    <x v="3529"/>
    <s v="VALVE,BASE MOUNT W/CVRSN CONN"/>
    <s v="SMC"/>
    <s v="VQZ115-5LJ1-CP"/>
    <s v="MYR"/>
    <n v="66.36"/>
    <s v="ea"/>
    <n v="1"/>
    <n v="0.06"/>
  </r>
  <r>
    <x v="3530"/>
    <s v="SOLENOID,3-PORT,BASE MOUNT"/>
    <s v="SMC"/>
    <s v="VQZ115-5LJ1-CP"/>
    <s v="MYR"/>
    <n v="66.36"/>
    <s v="ea"/>
    <n v="1"/>
    <n v="0.06"/>
  </r>
  <r>
    <x v="3531"/>
    <s v="SOLENOID VALVE, 3 PORT, 24V"/>
    <s v="SMC"/>
    <s v="VQZ115-5LO1-CP"/>
    <s v="MYR"/>
    <n v="48.02"/>
    <s v="ea"/>
    <n v="1"/>
    <n v="0.06"/>
  </r>
  <r>
    <x v="3532"/>
    <s v="VALVE,3 PORT SOLENOID,BASE MNT"/>
    <s v="SMC"/>
    <s v="VQZ115R-5MO1-C4-PR"/>
    <s v="MYR"/>
    <n v="93.289999999999992"/>
    <s v="ea"/>
    <n v="1"/>
    <n v="0.06"/>
  </r>
  <r>
    <x v="3533"/>
    <s v="3 PORT VALVE, BODY PORT, PILOT"/>
    <s v="SMC"/>
    <s v="VQZ115R-5MO1-C6-PR"/>
    <s v="MYR"/>
    <n v="84.79"/>
    <s v="ea"/>
    <n v="1"/>
    <n v="0.06"/>
  </r>
  <r>
    <x v="3534"/>
    <s v="VALVE SOLENOID AIR 24VDC"/>
    <s v="SMC"/>
    <s v="VQZ115RY-5F-X108"/>
    <s v="MYR"/>
    <n v="62.42"/>
    <s v="ea"/>
    <n v="1"/>
    <n v="0.06"/>
  </r>
  <r>
    <x v="3535"/>
    <s v="VALVE,2 POSITION DOUBLE"/>
    <s v="SMC"/>
    <s v="VQZ1221-5L-N3/ VQZ1221-5L1-N3"/>
    <s v="MYR"/>
    <n v="174.56"/>
    <s v="ea"/>
    <n v="1"/>
    <n v="0.06"/>
  </r>
  <r>
    <x v="3536"/>
    <s v="ELECTROVALVE 5/3 CENTER CLOSED BODY"/>
    <s v="SMC"/>
    <s v="VQZ1321-5L1-M5"/>
    <s v="MYR"/>
    <n v="174.9"/>
    <s v="ea"/>
    <n v="1"/>
    <n v="0.06"/>
  </r>
  <r>
    <x v="3537"/>
    <s v="SOLENOID,3POS,5 PORT,24VDC"/>
    <s v="SMC"/>
    <s v="VQZ1351-5LO1"/>
    <s v="MYR"/>
    <n v="192.38"/>
    <s v="ea"/>
    <n v="1"/>
    <n v="0.06"/>
  </r>
  <r>
    <x v="3538"/>
    <s v="ELECTROVALVE 5/3 CENTER OPENED BODY"/>
    <s v="SMC"/>
    <s v="VQZ1421-5LO1-M5-Q"/>
    <s v="MYR"/>
    <n v="192.61"/>
    <s v="ea"/>
    <n v="1"/>
    <n v="0.06"/>
  </r>
  <r>
    <x v="3539"/>
    <s v="VALVE,SOLENOID,3POS EC"/>
    <s v="SMC"/>
    <s v="VQZ1450-5LO1"/>
    <s v="MYR"/>
    <n v="180.36"/>
    <s v="ea"/>
    <n v="1"/>
    <n v="0.06"/>
  </r>
  <r>
    <x v="3540"/>
    <s v="VALVE 5 PORT,CENTER CLOSED"/>
    <s v="SMC"/>
    <s v="VQZ2350-5LO1"/>
    <s v="MYR"/>
    <n v="188.1"/>
    <s v="ea"/>
    <n v="1"/>
    <n v="0.06"/>
  </r>
  <r>
    <x v="3541"/>
    <s v="VALVE,SOLENOID,3 PORT,1/4 NPTF"/>
    <s v="SMC"/>
    <s v="VQZ312-5L1-02T"/>
    <s v="MYR"/>
    <n v="116.67"/>
    <s v="ea"/>
    <n v="1"/>
    <n v="0.06"/>
  </r>
  <r>
    <x v="3542"/>
    <s v="VALVE 3WAY, NC, 6MM, LEAD WIRE 0.3M"/>
    <s v="SMC"/>
    <s v="VQZ332-5L1-C6"/>
    <s v="MYR"/>
    <n v="165.63"/>
    <s v="ea"/>
    <n v="1"/>
    <n v="0.06"/>
  </r>
  <r>
    <x v="3543"/>
    <s v="VALVE,3WAY,NC,8MM,NO LEAD WIRE"/>
    <s v="SMC"/>
    <s v="VQZ332-5LO1-C8"/>
    <s v="MYR"/>
    <n v="167.63"/>
    <s v="ea"/>
    <n v="1"/>
    <n v="0.06"/>
  </r>
  <r>
    <x v="3544"/>
    <s v="VALVE,SOLENOID,3 PORT"/>
    <s v="SMC"/>
    <s v="VQZ335R-5LO1"/>
    <s v="MYR"/>
    <n v="160.22"/>
    <s v="ea"/>
    <n v="1"/>
    <n v="0.06"/>
  </r>
  <r>
    <x v="3545"/>
    <s v="VALVE,SHUTTLE ONE TOUCH 6MM"/>
    <s v="SMC"/>
    <s v="VR1210F-06"/>
    <s v="MYR"/>
    <n v="29.83"/>
    <s v="ea"/>
    <n v="1"/>
    <n v="0.06"/>
  </r>
  <r>
    <x v="3546"/>
    <s v="Or-Valve"/>
    <s v="SMC"/>
    <s v="VR1210F-23"/>
    <s v="MYR"/>
    <n v="35.39"/>
    <s v="ea"/>
    <n v="1"/>
    <n v="0.06"/>
  </r>
  <r>
    <x v="3547"/>
    <s v="SHUTTLE VALVE,10MM OD TUBING"/>
    <s v="SMC"/>
    <s v="VR1220F-10"/>
    <s v="MYR"/>
    <n v="41.09"/>
    <s v="ea"/>
    <n v="1"/>
    <n v="0.06"/>
  </r>
  <r>
    <x v="3548"/>
    <s v="Blind Plug"/>
    <s v="SMC"/>
    <s v="VSK18    "/>
    <s v="MYR"/>
    <n v="2.8499999999999996"/>
    <s v="ea"/>
    <n v="1"/>
    <n v="0.06"/>
  </r>
  <r>
    <x v="3549"/>
    <s v="Valve (main air)"/>
    <s v="SMC"/>
    <s v="VT 307-5DO1-01F-Q    "/>
    <s v="MYR"/>
    <n v="116.9"/>
    <s v="ea"/>
    <n v="1"/>
    <n v="0.06"/>
  </r>
  <r>
    <x v="3550"/>
    <s v="VALVE-SEALING"/>
    <s v="SMC"/>
    <s v="VT307-5DZ-01"/>
    <s v="MYR"/>
    <n v="70.069999999999993"/>
    <s v="ea"/>
    <n v="1"/>
    <n v="0.06"/>
  </r>
  <r>
    <x v="3551"/>
    <s v="Vacuum valve"/>
    <s v="SMC"/>
    <s v="VT307V-5DO1-02F-Q"/>
    <s v="MYR"/>
    <n v="117.03999999999999"/>
    <s v="ea"/>
    <n v="1"/>
    <n v="0.06"/>
  </r>
  <r>
    <x v="3552"/>
    <s v="MANIFOLD"/>
    <s v="SMC"/>
    <s v="VV100-S41-02-M5"/>
    <s v="MYR"/>
    <n v="49.97"/>
    <s v="ea"/>
    <n v="1"/>
    <n v="0.06"/>
  </r>
  <r>
    <x v="3553"/>
    <s v="MANIFOLD, NON PLUG-IN TYPE"/>
    <s v="SMC"/>
    <s v="VV3Q12-02"/>
    <s v="MYR"/>
    <n v="58.24"/>
    <s v="ea"/>
    <n v="1"/>
    <n v="0.06"/>
  </r>
  <r>
    <x v="3554"/>
    <s v="MANIFOLD,VQ100,3 VALVES"/>
    <s v="SMC"/>
    <s v="VV3Q12U-03"/>
    <s v="MYR"/>
    <n v="133.76"/>
    <s v="ea"/>
    <n v="1"/>
    <n v="0.06"/>
  </r>
  <r>
    <x v="3555"/>
    <s v="MANIFOLD ASY,FLT RIBON CON,CAN"/>
    <s v="SMC"/>
    <s v="VV3QZ15-09-DAK00648"/>
    <s v="MYR"/>
    <n v="1126.8"/>
    <s v="ea"/>
    <n v="1"/>
    <n v="0.06"/>
  </r>
  <r>
    <x v="3556"/>
    <s v="MANIFOLD ASSY,FLT RIBBON CONN"/>
    <s v="SMC"/>
    <s v="VV3QZ15-09-DAM00129"/>
    <s v="MYR"/>
    <n v="3101.56"/>
    <s v="ea"/>
    <n v="1"/>
    <n v="0.06"/>
  </r>
  <r>
    <x v="3557"/>
    <s v="MANIFOLD BASE ASSY, VACUUM"/>
    <s v="SMC"/>
    <s v="VV3QZ15-A01-DUQ02597"/>
    <s v="MYR"/>
    <n v="2287.84"/>
    <s v="ea"/>
    <n v="1"/>
    <n v="0.06"/>
  </r>
  <r>
    <x v="3558"/>
    <s v="PCB ASSY, VACUUM"/>
    <s v="SMC"/>
    <s v="VV3QZ15-C02-DUQ02597"/>
    <s v="MYR"/>
    <n v="1512.2099999999998"/>
    <s v="ea"/>
    <n v="1"/>
    <n v="0.06"/>
  </r>
  <r>
    <x v="3559"/>
    <s v="MANIF BASE, 4 STA VALV"/>
    <s v="SMC"/>
    <s v="VV3QZ35-0402C"/>
    <s v="MYR"/>
    <n v="139.13"/>
    <s v="ea"/>
    <n v="1"/>
    <n v="0.06"/>
  </r>
  <r>
    <x v="3560"/>
    <s v="SEATING 06 POSITIONS VQD1000"/>
    <s v="SMC"/>
    <s v="VV4QD15-06M5-Q"/>
    <s v="MYR"/>
    <n v="57.49"/>
    <s v="ea"/>
    <n v="1"/>
    <n v="0.06"/>
  </r>
  <r>
    <x v="3561"/>
    <s v="SEATING 10 POSITIONS VQD1000"/>
    <s v="SMC"/>
    <s v="VV4QD15-10M5-Q"/>
    <s v="MYR"/>
    <n v="104.7"/>
    <s v="ea"/>
    <n v="1"/>
    <n v="0.06"/>
  </r>
  <r>
    <x v="3562"/>
    <s v="SEATING 18 POSITIONS VQD1000"/>
    <s v="SMC"/>
    <s v="VV4QD15-18M5-Q"/>
    <s v="MYR"/>
    <n v="197.6"/>
    <s v="ea"/>
    <n v="1"/>
    <n v="0.06"/>
  </r>
  <r>
    <x v="3563"/>
    <s v="Valve Block Base (4x, wire)"/>
    <s v="SMC"/>
    <s v="VV5Q11-04C3LN1-Q    "/>
    <s v="MYR"/>
    <n v="351.64"/>
    <s v="ea"/>
    <n v="1"/>
    <n v="0.06"/>
  </r>
  <r>
    <x v="3564"/>
    <s v="Valve Block Base (4x, wire)"/>
    <s v="SMC"/>
    <s v="VV5Q11-04C3LN2-X1182-Q    "/>
    <s v="MYR"/>
    <n v="397.62"/>
    <s v="ea"/>
    <n v="1"/>
    <n v="0.06"/>
  </r>
  <r>
    <x v="3565"/>
    <s v="Ventilbatterie 4 Stationen"/>
    <s v="SMC"/>
    <s v="VV5Q11-04C4FU0-Q"/>
    <s v="MYR"/>
    <n v="300.52999999999997"/>
    <s v="ea"/>
    <n v="1"/>
    <n v="0.06"/>
  </r>
  <r>
    <x v="3566"/>
    <s v="Valve Block Base (6x, SubD)"/>
    <s v="SMC"/>
    <s v="VV5Q11-06C4FU0-Q"/>
    <s v="MYR"/>
    <n v="650.23"/>
    <s v="ea"/>
    <n v="1"/>
    <n v="0.06"/>
  </r>
  <r>
    <x v="3567"/>
    <s v="Valve Block Base (7x, wire)"/>
    <s v="SMC"/>
    <s v="VV5Q11-07C3LN2-X1182-Q"/>
    <s v="MYR"/>
    <n v="686.71"/>
    <s v="ea"/>
    <n v="1"/>
    <n v="0.06"/>
  </r>
  <r>
    <x v="3568"/>
    <s v="VALVE BATTERY"/>
    <s v="SMC"/>
    <s v="VV5Q11-08CMFU0-N-Q-CEI00134/CONT-TBL00025"/>
    <s v="MYR"/>
    <n v="1777.5"/>
    <s v="ea"/>
    <n v="1"/>
    <n v="0.06"/>
  </r>
  <r>
    <x v="3569"/>
    <s v="Base Mounted Manifold / Grundplatte SMC"/>
    <s v="SMC"/>
    <s v="VV5Q11-09C3FU0-Q    "/>
    <s v="MYR"/>
    <n v="554.52"/>
    <s v="ea"/>
    <n v="1"/>
    <n v="0.06"/>
  </r>
  <r>
    <x v="3570"/>
    <s v="Valve Block Base (10x, wire)"/>
    <s v="SMC"/>
    <s v="VV5Q11-10C3LN2-X1182-Q    "/>
    <s v="MYR"/>
    <n v="772.92"/>
    <s v="ea"/>
    <n v="1"/>
    <n v="0.06"/>
  </r>
  <r>
    <x v="3571"/>
    <s v="Valve Block Base (10x, SubD)"/>
    <s v="SMC"/>
    <s v="VV5Q11-10C4FU0-Q"/>
    <s v="MYR"/>
    <n v="978.85"/>
    <s v="ea"/>
    <n v="1"/>
    <n v="0.06"/>
  </r>
  <r>
    <x v="3572"/>
    <s v="Valve Block Base (11x, wire)"/>
    <s v="SMC"/>
    <s v="VV5Q11-11C3LN2-X1182-Q    "/>
    <s v="MYR"/>
    <n v="835.48"/>
    <s v="ea"/>
    <n v="1"/>
    <n v="0.06"/>
  </r>
  <r>
    <x v="3573"/>
    <s v="Valve Block Base (16x, SubD)"/>
    <s v="SMC"/>
    <s v="VV5Q11-11C4FU0-Q"/>
    <s v="MYR"/>
    <n v="1060.92"/>
    <s v="ea"/>
    <n v="1"/>
    <n v="0.06"/>
  </r>
  <r>
    <x v="3574"/>
    <s v="Base Mounted Manifold / Grundplatte SMC"/>
    <s v="SMC"/>
    <s v="VV5Q11-12C3FU0-Q    "/>
    <s v="MYR"/>
    <n v="705.76"/>
    <s v="ea"/>
    <n v="1"/>
    <n v="0.06"/>
  </r>
  <r>
    <x v="3575"/>
    <s v="Valve Block Base (16x, SubD)"/>
    <s v="SMC"/>
    <s v="VV5Q11-16C4FU0-K-Q    "/>
    <s v="MYR"/>
    <n v="908.39"/>
    <s v="ea"/>
    <n v="1"/>
    <n v="0.06"/>
  </r>
  <r>
    <x v="3576"/>
    <s v="MANIFOLD,5PORT,3 VALVES"/>
    <s v="SMC"/>
    <s v="VV5QZ15-03C6C"/>
    <s v="MYR"/>
    <n v="108.63"/>
    <s v="ea"/>
    <n v="1"/>
    <n v="0.06"/>
  </r>
  <r>
    <x v="3577"/>
    <s v="MANIFOLD,5PORT,4 VALVES"/>
    <s v="SMC"/>
    <s v="VV5QZ15-04C4C"/>
    <s v="MYR"/>
    <n v="148.34"/>
    <s v="ea"/>
    <n v="1"/>
    <n v="0.06"/>
  </r>
  <r>
    <x v="3578"/>
    <s v="MANIFOLD,6STA,W/CLIPS,W/O FIT"/>
    <s v="SMC"/>
    <s v="VV5QZ15-06C0TC"/>
    <s v="MYR"/>
    <n v="186.49"/>
    <s v="ea"/>
    <n v="1"/>
    <n v="0.06"/>
  </r>
  <r>
    <x v="3579"/>
    <s v="BLANK STATION,MANIFOLD"/>
    <s v="SMC"/>
    <s v="VVQ1000-10A-1"/>
    <s v="MYR"/>
    <n v="14.52"/>
    <s v="ea"/>
    <n v="1"/>
    <n v="0.06"/>
  </r>
  <r>
    <x v="3580"/>
    <s v="Pressure Block Plate"/>
    <s v="SMC"/>
    <s v="VVQ1000-16A"/>
    <s v="MYR"/>
    <n v="7.75"/>
    <s v="ea"/>
    <n v="1"/>
    <n v="0.06"/>
  </r>
  <r>
    <x v="3581"/>
    <s v="Non-Return Valve Insert"/>
    <s v="SMC"/>
    <s v="VVQ1000-18A"/>
    <s v="MYR"/>
    <n v="13.16"/>
    <s v="ea"/>
    <n v="1"/>
    <n v="0.06"/>
  </r>
  <r>
    <x v="3582"/>
    <s v="Valve EXH Block Plate"/>
    <s v="SMC"/>
    <s v="VVQ1000-19A-F0-C4"/>
    <s v="MYR"/>
    <n v="70.489999999999995"/>
    <s v="ea"/>
    <n v="1"/>
    <n v="0.06"/>
  </r>
  <r>
    <x v="3583"/>
    <s v="FITTING, 1 TOUCH, 4MM TUBING"/>
    <s v="SMC"/>
    <s v="VVQ1000-50A-C4"/>
    <s v="MYR"/>
    <n v="4.6100000000000003"/>
    <s v="ea"/>
    <n v="1"/>
    <n v="0.06"/>
  </r>
  <r>
    <x v="3584"/>
    <s v="EXCHANGE CONNECTION"/>
    <s v="SMC"/>
    <s v="VVQ1000-50A-C6"/>
    <s v="MYR"/>
    <n v="5.96"/>
    <s v="ea"/>
    <n v="1"/>
    <n v="0.06"/>
  </r>
  <r>
    <x v="3585"/>
    <s v="FITTING, 1 TOUCH, 1/8 TUBING"/>
    <s v="SMC"/>
    <s v="VVQ1000-50A-N1"/>
    <s v="MYR"/>
    <n v="5.8"/>
    <s v="ea"/>
    <n v="1"/>
    <n v="0.06"/>
  </r>
  <r>
    <x v="3586"/>
    <s v="Sealing (Valve SMC)"/>
    <s v="SMC"/>
    <s v="VVQ1000-80A-1"/>
    <s v="MYR"/>
    <n v="11.15"/>
    <s v="ea"/>
    <n v="1"/>
    <n v="0.06"/>
  </r>
  <r>
    <x v="3587"/>
    <s v="ASSY,BLANKING PLATE,VV3Q12"/>
    <s v="SMC"/>
    <s v="VVQ100-10A-2"/>
    <s v="MYR"/>
    <n v="13.35"/>
    <s v="ea"/>
    <n v="1"/>
    <n v="0.06"/>
  </r>
  <r>
    <x v="3588"/>
    <s v="PLATE-CLOSURE+SEAL+SCREW"/>
    <s v="SMC"/>
    <s v="VVQD1000-10A-5"/>
    <s v="MYR"/>
    <n v="5.45"/>
    <s v="ea"/>
    <n v="1"/>
    <n v="0.06"/>
  </r>
  <r>
    <x v="3589"/>
    <s v="PLATE,BLANKING,MANIFOLD"/>
    <s v="SMC"/>
    <s v="VVQZ1000-10A-2"/>
    <s v="MYR"/>
    <n v="15.01"/>
    <s v="ea"/>
    <n v="1"/>
    <n v="0.06"/>
  </r>
  <r>
    <x v="3590"/>
    <s v="BLANKING PLATE"/>
    <s v="SMC"/>
    <s v="VVQZ1000-10A-5"/>
    <s v="MYR"/>
    <n v="19.100000000000001"/>
    <s v="ea"/>
    <n v="1"/>
    <n v="0.06"/>
  </r>
  <r>
    <x v="3591"/>
    <s v="Valve 2/2 NC High flow"/>
    <s v="SMC"/>
    <s v="VX214CFAXB"/>
    <s v="MYR"/>
    <n v="184.73"/>
    <s v="ea"/>
    <n v="1"/>
    <n v="0.06"/>
  </r>
  <r>
    <x v="3592"/>
    <s v="ELECTROVALVE 2/2 NC"/>
    <s v="SMC"/>
    <s v="VX2240-02F-5D1"/>
    <s v="MYR"/>
    <n v="116.61"/>
    <s v="ea"/>
    <n v="1"/>
    <n v="0.06"/>
  </r>
  <r>
    <x v="3593"/>
    <s v="VALVE, 2-PORT 24VDC"/>
    <s v="SMC"/>
    <s v="VX230NA"/>
    <s v="MYR"/>
    <n v="97.23"/>
    <s v="ea"/>
    <n v="1"/>
    <n v="0.06"/>
  </r>
  <r>
    <x v="3594"/>
    <s v="ELECTROVALVE 3/2 NC"/>
    <s v="SMC"/>
    <s v="VZ110-5MOZ-M5"/>
    <s v="MYR"/>
    <n v="54.34"/>
    <s v="ea"/>
    <n v="1"/>
    <n v="0.06"/>
  </r>
  <r>
    <x v="3595"/>
    <s v="ELECTROVALVE 4/2 NC MONOSTABLE"/>
    <s v="SMC"/>
    <s v="VZ1120-5MOZ-M5"/>
    <s v="MYR"/>
    <n v="124.47"/>
    <s v="ea"/>
    <n v="1"/>
    <n v="0.06"/>
  </r>
  <r>
    <x v="3596"/>
    <s v="ELECTROVALVE 5/2 MONOSTABLE"/>
    <s v="SMC"/>
    <s v="VZ3143-5FZ"/>
    <s v="MYR"/>
    <n v="174.68"/>
    <s v="ea"/>
    <n v="1"/>
    <n v="0.06"/>
  </r>
  <r>
    <x v="3597"/>
    <s v="ELECTROVALVE 5/3 CENTER CLOSED"/>
    <s v="SMC"/>
    <s v="VZ3343-5FZ"/>
    <s v="MYR"/>
    <n v="366.56"/>
    <s v="ea"/>
    <n v="1"/>
    <n v="0.06"/>
  </r>
  <r>
    <x v="3598"/>
    <s v="CONNECTOR-VALVE PROGRES."/>
    <s v="SMC"/>
    <s v="X31"/>
    <s v="MYR"/>
    <n v="2.95"/>
    <s v="ea"/>
    <n v="1"/>
    <n v="0.06"/>
  </r>
  <r>
    <x v="3599"/>
    <s v="SPACER ATTACHMENT"/>
    <s v="SMC"/>
    <s v="Y200-A"/>
    <s v="MYR"/>
    <n v="12.26"/>
    <s v="ea"/>
    <n v="1"/>
    <n v="0.06"/>
  </r>
  <r>
    <x v="3600"/>
    <s v="SPACER ATTACHMENT WITH BRACKET"/>
    <s v="SMC"/>
    <s v="Y200T-A"/>
    <s v="MYR"/>
    <n v="16.34"/>
    <s v="ea"/>
    <n v="1"/>
    <n v="0.06"/>
  </r>
  <r>
    <x v="3601"/>
    <s v="'Y' SPACER"/>
    <s v="SMC"/>
    <s v="Y21-02"/>
    <s v="MYR"/>
    <n v="12.23"/>
    <s v="ea"/>
    <n v="1"/>
    <n v="0.06"/>
  </r>
  <r>
    <x v="3602"/>
    <s v="BRACKET-FASTENING TYPE L"/>
    <s v="SMC"/>
    <s v="Y30L"/>
    <s v="MYR"/>
    <n v="10.46"/>
    <s v="ea"/>
    <n v="1"/>
    <n v="0.06"/>
  </r>
  <r>
    <x v="3603"/>
    <s v="BRACKET-ANG-FAST. Y30T"/>
    <s v="SMC"/>
    <s v="Y30T"/>
    <s v="MYR"/>
    <n v="10.01"/>
    <s v="ea"/>
    <n v="1"/>
    <n v="0.06"/>
  </r>
  <r>
    <x v="3604"/>
    <s v="SPACER, REGULATOR TO"/>
    <s v="SMC"/>
    <s v="Y400A"/>
    <s v="MYR"/>
    <n v="11.59"/>
    <s v="ea"/>
    <n v="1"/>
    <n v="0.06"/>
  </r>
  <r>
    <x v="3605"/>
    <s v="FILTER-PNEUMATIC-VACUUM 06-06"/>
    <s v="SMC"/>
    <s v="ZFB100-06"/>
    <s v="MYR"/>
    <n v="39.299999999999997"/>
    <s v="ea"/>
    <n v="1"/>
    <n v="0.06"/>
  </r>
  <r>
    <x v="3606"/>
    <s v="FILTER,AIR,4MM TUBING"/>
    <s v="SMC"/>
    <s v="ZFC050-04"/>
    <s v="MYR"/>
    <n v="16.25"/>
    <s v="ea"/>
    <n v="1"/>
    <n v="0.06"/>
  </r>
  <r>
    <x v="3607"/>
    <s v="AIR SUCTION FILTER"/>
    <s v="SMC"/>
    <s v="ZFC050-04"/>
    <s v="MYR"/>
    <n v="16.25"/>
    <s v="ea"/>
    <n v="1"/>
    <n v="0.06"/>
  </r>
  <r>
    <x v="3608"/>
    <s v="AIR SUCTION FILTER"/>
    <s v="SMC"/>
    <s v="ZFC050-23"/>
    <s v="MYR"/>
    <n v="11.89"/>
    <s v="ea"/>
    <n v="1"/>
    <n v="0.06"/>
  </r>
  <r>
    <x v="3609"/>
    <s v="FILTER-PNEUMATIC-VACUUM 04-04"/>
    <s v="SMC"/>
    <s v="ZFC100-04B"/>
    <s v="MYR"/>
    <n v="32.44"/>
    <s v="ea"/>
    <n v="1"/>
    <n v="0.06"/>
  </r>
  <r>
    <x v="3610"/>
    <s v="FILTER,VACUUM, 6MM TUBE"/>
    <s v="SMC"/>
    <s v="ZFC100-06B"/>
    <s v="MYR"/>
    <n v="34.17"/>
    <s v="ea"/>
    <n v="1"/>
    <n v="0.06"/>
  </r>
  <r>
    <x v="3611"/>
    <s v="FILTER-PNEUMATIC-VACUUM D=6 30L/MIN"/>
    <s v="SMC"/>
    <s v="ZFC200-06B"/>
    <s v="MYR"/>
    <n v="32.020000000000003"/>
    <s v="ea"/>
    <n v="1"/>
    <n v="0.06"/>
  </r>
  <r>
    <x v="3612"/>
    <s v="FILTER-PNEUMATIC-VACUUM 0808"/>
    <s v="SMC"/>
    <s v="ZFC200-08B"/>
    <s v="MYR"/>
    <n v="52.28"/>
    <s v="ea"/>
    <n v="1"/>
    <n v="0.06"/>
  </r>
  <r>
    <x v="3613"/>
    <s v="FILTER,AIR,4MM TUBING"/>
    <s v="SMC"/>
    <s v="ZFC33-B"/>
    <s v="MYR"/>
    <n v="22"/>
    <s v="ea"/>
    <n v="1"/>
    <n v="0.06"/>
  </r>
  <r>
    <x v="3614"/>
    <s v="FILTER PNEUMATIC 04-04"/>
    <s v="SMC"/>
    <s v="ZFC53-B"/>
    <s v="MYR"/>
    <n v="33.119999999999997"/>
    <s v="ea"/>
    <n v="1"/>
    <n v="0.06"/>
  </r>
  <r>
    <x v="3615"/>
    <s v="FILTER-PNEUMATIC-VACUUM 08-08"/>
    <s v="SMC"/>
    <s v="ZFC75-B"/>
    <s v="MYR"/>
    <n v="53.34"/>
    <s v="ea"/>
    <n v="1"/>
    <n v="0.06"/>
  </r>
  <r>
    <x v="3616"/>
    <s v="FILTER PNEUMATIC VACUUM 10-10"/>
    <s v="SMC"/>
    <s v="ZFC76-B"/>
    <s v="MYR"/>
    <n v="58.66"/>
    <s v="ea"/>
    <n v="1"/>
    <n v="0.06"/>
  </r>
  <r>
    <x v="3617"/>
    <s v="FILTER-PNEUMATIC-VACUUM 5UM"/>
    <s v="SMC"/>
    <s v="ZFZ-03-002A"/>
    <s v="MYR"/>
    <n v="34.93"/>
    <s v="ea"/>
    <n v="1"/>
    <n v="0.06"/>
  </r>
  <r>
    <x v="3618"/>
    <s v="FILTER PNEUMATIC VACUUM 70UM"/>
    <s v="SMC"/>
    <s v="ZFZ-03-002E"/>
    <s v="MYR"/>
    <n v="35.65"/>
    <s v="ea"/>
    <n v="1"/>
    <n v="0.06"/>
  </r>
  <r>
    <x v="3619"/>
    <s v="Vacuum Ejector"/>
    <s v="SMC"/>
    <s v="ZH05BS-06-06"/>
    <s v="MYR"/>
    <n v="46.2"/>
    <s v="ea"/>
    <n v="1"/>
    <n v="0.06"/>
  </r>
  <r>
    <x v="3620"/>
    <s v="Vacuum Ejector"/>
    <s v="SMC"/>
    <s v="ZH05DS-06-06-06"/>
    <s v="MYR"/>
    <n v="27.73"/>
    <s v="ea"/>
    <n v="1"/>
    <n v="0.06"/>
  </r>
  <r>
    <x v="3621"/>
    <s v="VACUUM EJECTOR 06-06-06"/>
    <s v="SMC"/>
    <s v="ZH05DSA-06-06-06"/>
    <s v="MYR"/>
    <n v="38.619999999999997"/>
    <s v="ea"/>
    <n v="1"/>
    <n v="0.06"/>
  </r>
  <r>
    <x v="3622"/>
    <s v="Vacuum ejector"/>
    <s v="SMC"/>
    <s v="ZH07BS-06-06"/>
    <s v="MYR"/>
    <n v="53.88"/>
    <s v="ea"/>
    <n v="1"/>
    <n v="0.06"/>
  </r>
  <r>
    <x v="3623"/>
    <s v="Vacuum Ejector"/>
    <s v="SMC"/>
    <s v="ZH07DS-06-06-06"/>
    <s v="MYR"/>
    <n v="30.54"/>
    <s v="ea"/>
    <n v="1"/>
    <n v="0.06"/>
  </r>
  <r>
    <x v="3624"/>
    <s v="Vacuum Ejector"/>
    <s v="SMC"/>
    <s v="ZH07DSA-06-06-06"/>
    <s v="MYR"/>
    <n v="38.619999999999997"/>
    <s v="ea"/>
    <n v="1"/>
    <n v="0.06"/>
  </r>
  <r>
    <x v="3625"/>
    <s v="Vacuum Ejector"/>
    <s v="SMC"/>
    <s v="ZH10BS-06-06"/>
    <s v="MYR"/>
    <n v="67.78"/>
    <s v="ea"/>
    <n v="1"/>
    <n v="0.06"/>
  </r>
  <r>
    <x v="3626"/>
    <s v="VACUUM EJECTOR"/>
    <s v="SMC"/>
    <s v="ZH10DS-06-06-08"/>
    <s v="MYR"/>
    <n v="33.93"/>
    <s v="ea"/>
    <n v="1"/>
    <n v="0.06"/>
  </r>
  <r>
    <x v="3627"/>
    <s v="VENTURI-WITH-SILENCER-NOZZLE 1.3MM"/>
    <s v="SMC"/>
    <s v="ZH13BL-08-02"/>
    <s v="MYR"/>
    <n v="68.75"/>
    <s v="ea"/>
    <n v="1"/>
    <n v="0.06"/>
  </r>
  <r>
    <x v="3628"/>
    <s v="Vacuum Ejector"/>
    <s v="SMC"/>
    <s v="ZH13BS-08-10"/>
    <s v="MYR"/>
    <n v="59.64"/>
    <s v="ea"/>
    <n v="1"/>
    <n v="0.06"/>
  </r>
  <r>
    <x v="3629"/>
    <s v="Venturi Type L Nozzle 1.3mm"/>
    <s v="SMC"/>
    <s v="ZH13DL-08-02-10"/>
    <s v="MYR"/>
    <n v="47.78"/>
    <s v="ea"/>
    <n v="1"/>
    <n v="0.06"/>
  </r>
  <r>
    <x v="3630"/>
    <s v="Vacuum Ejector"/>
    <s v="SMC"/>
    <s v="ZH13DL-08-10-10"/>
    <s v="MYR"/>
    <n v="46.55"/>
    <s v="ea"/>
    <n v="1"/>
    <n v="0.06"/>
  </r>
  <r>
    <x v="3631"/>
    <s v="Venture type s-nozzle 1.3mm"/>
    <s v="SMC"/>
    <s v="ZH13DS-08-02-10"/>
    <s v="MYR"/>
    <n v="46.79"/>
    <s v="ea"/>
    <n v="1"/>
    <n v="0.06"/>
  </r>
  <r>
    <x v="3632"/>
    <s v="VENTURI-TYPE S-NOZZLE 1.3MM 08-10-10"/>
    <s v="SMC"/>
    <s v="ZH13DS-08-10-10"/>
    <s v="MYR"/>
    <n v="47.17"/>
    <s v="ea"/>
    <n v="1"/>
    <n v="0.06"/>
  </r>
  <r>
    <x v="3633"/>
    <s v="Vacuum Ejector"/>
    <s v="SMC"/>
    <s v="ZH13DS-08-10-10    "/>
    <s v="MYR"/>
    <n v="47.17"/>
    <s v="ea"/>
    <n v="1"/>
    <n v="0.06"/>
  </r>
  <r>
    <x v="3634"/>
    <s v="VACUUM GENERATOR NOZZLE 1.5MM"/>
    <s v="SMC"/>
    <s v="ZH15DS-10-12-12"/>
    <s v="MYR"/>
    <n v="44.12"/>
    <s v="ea"/>
    <n v="1"/>
    <n v="0.06"/>
  </r>
  <r>
    <x v="3635"/>
    <s v="VACUUM GENERATOR 10-12-12"/>
    <s v="SMC"/>
    <s v="ZH18DLA-10-12-12"/>
    <s v="MYR"/>
    <n v="98.75"/>
    <s v="ea"/>
    <n v="1"/>
    <n v="0.06"/>
  </r>
  <r>
    <x v="3636"/>
    <s v="VACUUM-GENERATOR MULTI-STAGE"/>
    <s v="SMC"/>
    <s v="ZL112-DNL-Q"/>
    <s v="MYR"/>
    <n v="754.95"/>
    <s v="ea"/>
    <n v="1"/>
    <n v="0.06"/>
  </r>
  <r>
    <x v="3637"/>
    <s v="Vacuum Ejector"/>
    <s v="SMC"/>
    <s v="ZL212-Q"/>
    <s v="MYR"/>
    <n v="641.26"/>
    <s v="ea"/>
    <n v="1"/>
    <n v="0.06"/>
  </r>
  <r>
    <x v="3638"/>
    <s v="Vacuum generator"/>
    <s v="SMC"/>
    <s v="ZM073HT-B5LZ-E55CL"/>
    <s v="MYR"/>
    <n v="850.73"/>
    <s v="ea"/>
    <n v="1"/>
    <n v="0.06"/>
  </r>
  <r>
    <x v="3639"/>
    <s v="VACUUM EJECTOR, 1/8&quot; PT, SFSV/"/>
    <s v="SMC"/>
    <s v="ZM101HT-B5LZ-E55C"/>
    <s v="MYR"/>
    <n v="765.99"/>
    <s v="ea"/>
    <n v="1"/>
    <n v="0.06"/>
  </r>
  <r>
    <x v="3640"/>
    <s v="VACUUM PAD 2MM DIAMETER"/>
    <s v="SMC"/>
    <s v="ZP02UGS"/>
    <s v="MYR"/>
    <n v="11.35"/>
    <s v="ea"/>
    <n v="1"/>
    <n v="0.06"/>
  </r>
  <r>
    <x v="3641"/>
    <s v="VACUUM PAD 4MM DIAMETER"/>
    <s v="SMC"/>
    <s v="ZP04UGS"/>
    <s v="MYR"/>
    <n v="10.1"/>
    <s v="ea"/>
    <n v="1"/>
    <n v="0.06"/>
  </r>
  <r>
    <x v="3642"/>
    <s v="VACUUM PAD 6MM DIAMETER"/>
    <s v="SMC"/>
    <s v="ZP06UGS"/>
    <s v="MYR"/>
    <n v="10.31"/>
    <s v="ea"/>
    <n v="1"/>
    <n v="0.06"/>
  </r>
  <r>
    <x v="3643"/>
    <s v="VACUUM PAD,8MM DIAMETER"/>
    <s v="SMC"/>
    <s v="ZP08UGS"/>
    <s v="MYR"/>
    <n v="10.1"/>
    <s v="ea"/>
    <n v="1"/>
    <n v="0.06"/>
  </r>
  <r>
    <x v="3644"/>
    <s v="SPONGE SUCTION CUP Ø10"/>
    <s v="SMC"/>
    <s v="ZP2-10SGS"/>
    <s v="MYR"/>
    <n v="9.44"/>
    <s v="ea"/>
    <n v="1"/>
    <n v="0.06"/>
  </r>
  <r>
    <x v="3645"/>
    <s v="NOZZLE PAD (SILICONE TIP D=2)"/>
    <s v="SMC"/>
    <s v="ZP2-11ANGS"/>
    <s v="MYR"/>
    <n v="16.48"/>
    <s v="ea"/>
    <n v="1"/>
    <n v="0.06"/>
  </r>
  <r>
    <x v="3646"/>
    <s v="FEEDER-SAVER-VACUUM"/>
    <s v="SMC"/>
    <s v="ZP2V-B5-03"/>
    <s v="MYR"/>
    <n v="30.29"/>
    <s v="ea"/>
    <n v="1"/>
    <n v="0.06"/>
  </r>
  <r>
    <x v="3647"/>
    <s v="CUP,VACUUM,4.3MM,ZP"/>
    <s v="SMC"/>
    <s v="ZP-B0004BM9Z9-DBK00575"/>
    <s v="MYR"/>
    <n v="16.559999999999999"/>
    <s v="ea"/>
    <n v="1"/>
    <n v="0.06"/>
  </r>
  <r>
    <x v="3648"/>
    <s v="CUP,VACUUM,5MM,ZP"/>
    <s v="SMC"/>
    <s v="ZP-B0005BM9Z9-DBK00576"/>
    <s v="MYR"/>
    <n v="14.45"/>
    <s v="ea"/>
    <n v="1"/>
    <n v="0.06"/>
  </r>
  <r>
    <x v="3649"/>
    <s v="CUP,VACUUM,6MM,ZP"/>
    <s v="SMC"/>
    <s v="ZP-B0006BM9Z9-DBK00561"/>
    <s v="MYR"/>
    <n v="13.33"/>
    <s v="ea"/>
    <n v="1"/>
    <n v="0.06"/>
  </r>
  <r>
    <x v="3650"/>
    <s v="CUP,VACUUM,2.5MM,ZP25"/>
    <s v="SMC"/>
    <s v="ZP-BZZZZBM9Z9-DBK00563"/>
    <s v="MYR"/>
    <n v="14.32"/>
    <s v="ea"/>
    <n v="1"/>
    <n v="0.06"/>
  </r>
  <r>
    <x v="3651"/>
    <s v="FITTING,VAC,MM,W/O BUFFER/PAD"/>
    <s v="SMC"/>
    <s v="ZPT1-A5"/>
    <s v="MYR"/>
    <n v="13.02"/>
    <s v="ea"/>
    <n v="1"/>
    <n v="0.06"/>
  </r>
  <r>
    <x v="3652"/>
    <s v="VACUUM PAD,VERTICAL,W/O BUFFER"/>
    <s v="SMC"/>
    <s v="ZPT25CN-A6"/>
    <s v="MYR"/>
    <n v="37.479999999999997"/>
    <s v="ea"/>
    <n v="1"/>
    <n v="0.06"/>
  </r>
  <r>
    <x v="3653"/>
    <s v="CONN,4 PIN,SS PNEU SWITCH"/>
    <s v="SMC"/>
    <s v="ZS-20-5A"/>
    <s v="MYR"/>
    <n v="22.04"/>
    <s v="ea"/>
    <n v="1"/>
    <n v="0.06"/>
  </r>
  <r>
    <x v="3654"/>
    <s v="POWER SUPPLY CABLE"/>
    <s v="SMC"/>
    <s v="ZS-26-A    "/>
    <s v="MYR"/>
    <n v="45.08"/>
    <s v="ea"/>
    <n v="1"/>
    <n v="0.06"/>
  </r>
  <r>
    <x v="3655"/>
    <s v="CBL, PRESSURE SWITCH 3M"/>
    <s v="SMC"/>
    <s v="ZS-27-A-30"/>
    <s v="MYR"/>
    <n v="170.81"/>
    <s v="ea"/>
    <n v="1"/>
    <n v="0.06"/>
  </r>
  <r>
    <x v="3656"/>
    <s v="MOUTING BRACKET PRESSURE DETECTOR"/>
    <s v="SMC"/>
    <s v="ZS-27-B"/>
    <s v="MYR"/>
    <n v="5.3"/>
    <s v="ea"/>
    <n v="1"/>
    <n v="0.06"/>
  </r>
  <r>
    <x v="3657"/>
    <s v="Panel Mount Adaptor"/>
    <s v="SMC"/>
    <s v="ZS-33-J"/>
    <s v="MYR"/>
    <n v="50.3"/>
    <s v="ea"/>
    <n v="1"/>
    <n v="0.06"/>
  </r>
  <r>
    <x v="3658"/>
    <s v="Holder Pressure switch"/>
    <s v="SMC"/>
    <s v="ZS-35-C    "/>
    <s v="MYR"/>
    <n v="22.08"/>
    <s v="ea"/>
    <n v="1"/>
    <n v="0.06"/>
  </r>
  <r>
    <x v="3659"/>
    <s v="Angle Plug"/>
    <s v="SMC"/>
    <s v="ZS-37-B  "/>
    <s v="MYR"/>
    <n v="166.4"/>
    <s v="ea"/>
    <n v="1"/>
    <n v="0.06"/>
  </r>
  <r>
    <x v="3660"/>
    <s v="CABLE WITH CONNECTOR SWITCH-PRES.ISE30A"/>
    <s v="SMC"/>
    <s v="ZS-38-3L"/>
    <s v="MYR"/>
    <n v="13.25"/>
    <s v="ea"/>
    <n v="1"/>
    <n v="0.06"/>
  </r>
  <r>
    <x v="3661"/>
    <s v="VACUUM SWITCH *"/>
    <s v="SMC"/>
    <s v="ZSE1-00-55CL"/>
    <s v="MYR"/>
    <n v="341.62"/>
    <s v="ea"/>
    <n v="1"/>
    <n v="0.06"/>
  </r>
  <r>
    <x v="3662"/>
    <s v="Vaccum Sensor 1x"/>
    <s v="SMC"/>
    <s v="ZSE30A-01-P-L"/>
    <s v="MYR"/>
    <n v="205.3"/>
    <s v="ea"/>
    <n v="1"/>
    <n v="0.06"/>
  </r>
  <r>
    <x v="3663"/>
    <s v="VACUOSTAT +/- 1BAR R1/8 PNP IP40"/>
    <s v="SMC"/>
    <s v="ZSE30AF-01-P-L"/>
    <s v="MYR"/>
    <n v="169.8"/>
    <s v="ea"/>
    <n v="1"/>
    <n v="0.06"/>
  </r>
  <r>
    <x v="3664"/>
    <s v="Vacuum Ejector"/>
    <s v="SMC"/>
    <s v="ZU05S"/>
    <s v="MYR"/>
    <n v="31.56"/>
    <s v="ea"/>
    <n v="1"/>
    <n v="0.06"/>
  </r>
  <r>
    <x v="3665"/>
    <s v="VACUUM UNIT"/>
    <s v="SMC"/>
    <s v="ZX1101-K15LZ-D21L"/>
    <s v="MYR"/>
    <n v="799.23"/>
    <s v="ea"/>
    <n v="1"/>
    <n v="0.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21C821-5984-4C41-A5FE-40888365E426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670" firstHeaderRow="1" firstDataRow="1" firstDataCol="1"/>
  <pivotFields count="9">
    <pivotField axis="axisRow" showAll="0">
      <items count="3667">
        <item x="0"/>
        <item x="1"/>
        <item x="2"/>
        <item x="3"/>
        <item x="349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725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1773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1763"/>
        <item x="320"/>
        <item x="321"/>
        <item x="322"/>
        <item x="323"/>
        <item x="324"/>
        <item x="325"/>
        <item x="326"/>
        <item x="327"/>
        <item x="328"/>
        <item x="329"/>
        <item x="1781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1785"/>
        <item x="1789"/>
        <item x="2986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1729"/>
        <item x="374"/>
        <item x="375"/>
        <item x="1732"/>
        <item x="376"/>
        <item x="377"/>
        <item x="378"/>
        <item x="379"/>
        <item x="1731"/>
        <item x="3216"/>
        <item x="3228"/>
        <item x="3229"/>
        <item x="3219"/>
        <item x="3220"/>
        <item x="3224"/>
        <item x="3225"/>
        <item x="3215"/>
        <item x="3218"/>
        <item x="3230"/>
        <item x="3231"/>
        <item x="3234"/>
        <item x="3233"/>
        <item x="3232"/>
        <item x="380"/>
        <item x="381"/>
        <item x="382"/>
        <item x="383"/>
        <item x="384"/>
        <item x="1733"/>
        <item x="385"/>
        <item x="386"/>
        <item x="2362"/>
        <item x="387"/>
        <item x="1939"/>
        <item x="388"/>
        <item x="3235"/>
        <item x="389"/>
        <item x="390"/>
        <item x="1746"/>
        <item x="391"/>
        <item x="392"/>
        <item x="393"/>
        <item x="394"/>
        <item x="395"/>
        <item x="396"/>
        <item x="397"/>
        <item x="398"/>
        <item x="399"/>
        <item x="400"/>
        <item x="2807"/>
        <item x="401"/>
        <item x="402"/>
        <item x="403"/>
        <item x="404"/>
        <item x="405"/>
        <item x="406"/>
        <item x="1871"/>
        <item x="1907"/>
        <item x="1931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1803"/>
        <item x="428"/>
        <item x="429"/>
        <item x="430"/>
        <item x="431"/>
        <item x="432"/>
        <item x="2864"/>
        <item x="433"/>
        <item x="434"/>
        <item x="435"/>
        <item x="436"/>
        <item x="3310"/>
        <item x="437"/>
        <item x="1838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3016"/>
        <item x="474"/>
        <item x="475"/>
        <item x="476"/>
        <item x="1814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2154"/>
        <item x="498"/>
        <item x="499"/>
        <item x="500"/>
        <item x="501"/>
        <item x="502"/>
        <item x="503"/>
        <item x="504"/>
        <item x="505"/>
        <item x="1797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1834"/>
        <item x="523"/>
        <item x="1836"/>
        <item x="524"/>
        <item x="525"/>
        <item x="526"/>
        <item x="1748"/>
        <item x="1735"/>
        <item x="1737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1758"/>
        <item x="1754"/>
        <item x="550"/>
        <item x="551"/>
        <item x="552"/>
        <item x="1739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1799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1899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1848"/>
        <item x="602"/>
        <item x="603"/>
        <item x="604"/>
        <item x="605"/>
        <item x="606"/>
        <item x="1741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1743"/>
        <item x="627"/>
        <item x="1745"/>
        <item x="1736"/>
        <item x="628"/>
        <item x="629"/>
        <item x="630"/>
        <item x="1883"/>
        <item x="631"/>
        <item x="1747"/>
        <item x="632"/>
        <item x="633"/>
        <item x="634"/>
        <item x="1749"/>
        <item x="635"/>
        <item x="636"/>
        <item x="637"/>
        <item x="638"/>
        <item x="1738"/>
        <item x="639"/>
        <item x="640"/>
        <item x="641"/>
        <item x="1850"/>
        <item x="1856"/>
        <item x="642"/>
        <item x="643"/>
        <item x="1862"/>
        <item x="1866"/>
        <item x="1868"/>
        <item x="1873"/>
        <item x="1875"/>
        <item x="644"/>
        <item x="645"/>
        <item x="1887"/>
        <item x="646"/>
        <item x="647"/>
        <item x="648"/>
        <item x="649"/>
        <item x="1869"/>
        <item x="1879"/>
        <item x="650"/>
        <item x="1889"/>
        <item x="1893"/>
        <item x="651"/>
        <item x="1903"/>
        <item x="1909"/>
        <item x="1911"/>
        <item x="652"/>
        <item x="1917"/>
        <item x="653"/>
        <item x="654"/>
        <item x="655"/>
        <item x="656"/>
        <item x="1921"/>
        <item x="657"/>
        <item x="658"/>
        <item x="659"/>
        <item x="1901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1881"/>
        <item x="681"/>
        <item x="1885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1895"/>
        <item x="1905"/>
        <item x="1915"/>
        <item x="701"/>
        <item x="1919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1923"/>
        <item x="1935"/>
        <item x="1943"/>
        <item x="1929"/>
        <item x="715"/>
        <item x="716"/>
        <item x="717"/>
        <item x="718"/>
        <item x="719"/>
        <item x="720"/>
        <item x="1858"/>
        <item x="1864"/>
        <item x="721"/>
        <item x="722"/>
        <item x="723"/>
        <item x="724"/>
        <item x="725"/>
        <item x="726"/>
        <item x="727"/>
        <item x="1846"/>
        <item x="728"/>
        <item x="729"/>
        <item x="1751"/>
        <item x="730"/>
        <item x="731"/>
        <item x="732"/>
        <item x="733"/>
        <item x="734"/>
        <item x="735"/>
        <item x="736"/>
        <item x="1753"/>
        <item x="737"/>
        <item x="738"/>
        <item x="739"/>
        <item x="740"/>
        <item x="741"/>
        <item x="1927"/>
        <item x="742"/>
        <item x="743"/>
        <item x="744"/>
        <item x="745"/>
        <item x="746"/>
        <item x="747"/>
        <item x="1752"/>
        <item x="748"/>
        <item x="749"/>
        <item x="750"/>
        <item x="751"/>
        <item x="1852"/>
        <item x="1877"/>
        <item x="1897"/>
        <item x="1913"/>
        <item x="752"/>
        <item x="1925"/>
        <item x="753"/>
        <item x="754"/>
        <item x="755"/>
        <item x="756"/>
        <item x="180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1755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1844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2035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197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1860"/>
        <item x="863"/>
        <item x="1757"/>
        <item x="1854"/>
        <item x="174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1761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760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2576"/>
        <item x="2581"/>
        <item x="2557"/>
        <item x="2360"/>
        <item x="2424"/>
        <item x="2392"/>
        <item x="2394"/>
        <item x="2422"/>
        <item x="2437"/>
        <item x="2429"/>
        <item x="2520"/>
        <item x="2492"/>
        <item x="2486"/>
        <item x="2488"/>
        <item x="2554"/>
        <item x="2436"/>
        <item x="2395"/>
        <item x="2425"/>
        <item x="2431"/>
        <item x="2679"/>
        <item x="2521"/>
        <item x="2438"/>
        <item x="2580"/>
        <item x="2413"/>
        <item x="2466"/>
        <item x="2661"/>
        <item x="2662"/>
        <item x="2560"/>
        <item x="2390"/>
        <item x="2518"/>
        <item x="2387"/>
        <item x="2548"/>
        <item x="2565"/>
        <item x="2373"/>
        <item x="2680"/>
        <item x="2546"/>
        <item x="3193"/>
        <item x="2411"/>
        <item x="3208"/>
        <item x="3209"/>
        <item x="3311"/>
        <item x="2351"/>
        <item x="2625"/>
        <item x="2627"/>
        <item x="2624"/>
        <item x="2622"/>
        <item x="2629"/>
        <item x="2377"/>
        <item x="1101"/>
        <item x="3183"/>
        <item x="1102"/>
        <item x="1103"/>
        <item x="2421"/>
        <item x="2564"/>
        <item x="3609"/>
        <item x="1104"/>
        <item x="1105"/>
        <item x="1106"/>
        <item x="3187"/>
        <item x="2626"/>
        <item x="2628"/>
        <item x="1107"/>
        <item x="3166"/>
        <item x="1108"/>
        <item x="3175"/>
        <item x="3418"/>
        <item x="1109"/>
        <item x="1110"/>
        <item x="2677"/>
        <item x="1111"/>
        <item x="2435"/>
        <item x="2391"/>
        <item x="1112"/>
        <item x="2495"/>
        <item x="1113"/>
        <item x="2396"/>
        <item x="2426"/>
        <item x="2570"/>
        <item x="2366"/>
        <item x="1114"/>
        <item x="1115"/>
        <item x="2509"/>
        <item x="1116"/>
        <item x="2535"/>
        <item x="2550"/>
        <item x="3221"/>
        <item x="1117"/>
        <item x="1118"/>
        <item x="1119"/>
        <item x="2444"/>
        <item x="3164"/>
        <item x="3171"/>
        <item x="3190"/>
        <item x="2619"/>
        <item x="3617"/>
        <item x="3168"/>
        <item x="2551"/>
        <item x="2430"/>
        <item x="2398"/>
        <item x="1120"/>
        <item x="3594"/>
        <item x="3595"/>
        <item x="2330"/>
        <item x="3596"/>
        <item x="2682"/>
        <item x="3480"/>
        <item x="3483"/>
        <item x="3597"/>
        <item x="3393"/>
        <item x="3390"/>
        <item x="3391"/>
        <item x="3337"/>
        <item x="3338"/>
        <item x="3339"/>
        <item x="3340"/>
        <item x="3388"/>
        <item x="3351"/>
        <item x="3352"/>
        <item x="3389"/>
        <item x="3358"/>
        <item x="3359"/>
        <item x="3353"/>
        <item x="3341"/>
        <item x="3392"/>
        <item x="3376"/>
        <item x="3380"/>
        <item x="3357"/>
        <item x="3395"/>
        <item x="3397"/>
        <item x="3361"/>
        <item x="3362"/>
        <item x="3363"/>
        <item x="2803"/>
        <item x="3475"/>
        <item x="3041"/>
        <item x="3052"/>
        <item x="3121"/>
        <item x="2989"/>
        <item x="2816"/>
        <item x="2987"/>
        <item x="2998"/>
        <item x="2982"/>
        <item x="2994"/>
        <item x="2833"/>
        <item x="3076"/>
        <item x="2983"/>
        <item x="2857"/>
        <item x="3124"/>
        <item x="3127"/>
        <item x="2846"/>
        <item x="2839"/>
        <item x="2772"/>
        <item x="2915"/>
        <item x="2907"/>
        <item x="3065"/>
        <item x="3069"/>
        <item x="3034"/>
        <item x="2996"/>
        <item x="2923"/>
        <item x="2958"/>
        <item x="2768"/>
        <item x="2357"/>
        <item x="2228"/>
        <item x="2227"/>
        <item x="2315"/>
        <item x="2318"/>
        <item x="2294"/>
        <item x="2277"/>
        <item x="2314"/>
        <item x="1121"/>
        <item x="2667"/>
        <item x="2335"/>
        <item x="2235"/>
        <item x="2234"/>
        <item x="2694"/>
        <item x="2753"/>
        <item x="2752"/>
        <item x="2342"/>
        <item x="3603"/>
        <item x="3601"/>
        <item x="3602"/>
        <item x="2724"/>
        <item x="2690"/>
        <item x="2688"/>
        <item x="2691"/>
        <item x="2689"/>
        <item x="2670"/>
        <item x="3598"/>
        <item x="3365"/>
        <item x="3437"/>
        <item x="3342"/>
        <item x="3236"/>
        <item x="2732"/>
        <item x="3605"/>
        <item x="2397"/>
        <item x="2961"/>
        <item x="2192"/>
        <item x="3438"/>
        <item x="3150"/>
        <item x="3181"/>
        <item x="1122"/>
        <item x="3347"/>
        <item x="2985"/>
        <item x="2991"/>
        <item x="2302"/>
        <item x="3356"/>
        <item x="2806"/>
        <item x="2317"/>
        <item x="3611"/>
        <item x="3270"/>
        <item x="3520"/>
        <item x="2687"/>
        <item x="2678"/>
        <item x="3180"/>
        <item x="2683"/>
        <item x="2712"/>
        <item x="2201"/>
        <item x="3348"/>
        <item x="2973"/>
        <item x="3495"/>
        <item x="2230"/>
        <item x="3634"/>
        <item x="2791"/>
        <item x="2787"/>
        <item x="3185"/>
        <item x="2797"/>
        <item x="2792"/>
        <item x="2209"/>
        <item x="2736"/>
        <item x="3417"/>
        <item x="3384"/>
        <item x="2208"/>
        <item x="3403"/>
        <item x="2873"/>
        <item x="2286"/>
        <item x="3610"/>
        <item x="2675"/>
        <item x="3588"/>
        <item x="3522"/>
        <item x="3561"/>
        <item x="3523"/>
        <item x="3562"/>
        <item x="2329"/>
        <item x="2728"/>
        <item x="3592"/>
        <item x="2957"/>
        <item x="3325"/>
        <item x="2889"/>
        <item x="3324"/>
        <item x="3317"/>
        <item x="3002"/>
        <item x="2819"/>
        <item x="2877"/>
        <item x="2776"/>
        <item x="3153"/>
        <item x="2279"/>
        <item x="1123"/>
        <item x="3636"/>
        <item x="3135"/>
        <item x="2722"/>
        <item x="2289"/>
        <item x="3655"/>
        <item x="2650"/>
        <item x="3032"/>
        <item x="3283"/>
        <item x="2642"/>
        <item x="3282"/>
        <item x="3430"/>
        <item x="2349"/>
        <item x="2644"/>
        <item x="1124"/>
        <item x="1125"/>
        <item x="1126"/>
        <item x="2672"/>
        <item x="2673"/>
        <item x="1127"/>
        <item x="1128"/>
        <item x="2671"/>
        <item x="2651"/>
        <item x="2641"/>
        <item x="2658"/>
        <item x="1129"/>
        <item x="2674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2634"/>
        <item x="1144"/>
        <item x="1145"/>
        <item x="1146"/>
        <item x="1147"/>
        <item x="1148"/>
        <item x="1734"/>
        <item x="1149"/>
        <item x="1150"/>
        <item x="1151"/>
        <item x="1152"/>
        <item x="1153"/>
        <item x="3424"/>
        <item x="3423"/>
        <item x="3421"/>
        <item x="3428"/>
        <item x="1762"/>
        <item x="3422"/>
        <item x="1154"/>
        <item x="3328"/>
        <item x="3425"/>
        <item x="3435"/>
        <item x="1155"/>
        <item x="1156"/>
        <item x="3432"/>
        <item x="3443"/>
        <item x="3371"/>
        <item x="3436"/>
        <item x="3369"/>
        <item x="3370"/>
        <item x="3451"/>
        <item x="3454"/>
        <item x="3453"/>
        <item x="3450"/>
        <item x="3446"/>
        <item x="1157"/>
        <item x="3444"/>
        <item x="1158"/>
        <item x="3415"/>
        <item x="3448"/>
        <item x="2988"/>
        <item x="3266"/>
        <item x="2809"/>
        <item x="280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3306"/>
        <item x="329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3305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3335"/>
        <item x="3334"/>
        <item x="1194"/>
        <item x="1195"/>
        <item x="1196"/>
        <item x="3275"/>
        <item x="1197"/>
        <item x="3287"/>
        <item x="3286"/>
        <item x="1198"/>
        <item x="3364"/>
        <item x="1199"/>
        <item x="2179"/>
        <item x="1200"/>
        <item x="3660"/>
        <item x="1201"/>
        <item x="1202"/>
        <item x="1203"/>
        <item x="1204"/>
        <item x="1205"/>
        <item x="3280"/>
        <item x="2795"/>
        <item x="2788"/>
        <item x="2789"/>
        <item x="3137"/>
        <item x="1206"/>
        <item x="2649"/>
        <item x="3196"/>
        <item x="1207"/>
        <item x="3646"/>
        <item x="2794"/>
        <item x="1208"/>
        <item x="1209"/>
        <item x="1210"/>
        <item x="1211"/>
        <item x="1212"/>
        <item x="1213"/>
        <item x="1214"/>
        <item x="2041"/>
        <item x="1215"/>
        <item x="1764"/>
        <item x="1216"/>
        <item x="1217"/>
        <item x="1218"/>
        <item x="1219"/>
        <item x="1220"/>
        <item x="2720"/>
        <item x="3019"/>
        <item x="1221"/>
        <item x="1222"/>
        <item x="2256"/>
        <item x="1223"/>
        <item x="1224"/>
        <item x="3191"/>
        <item x="1766"/>
        <item x="1225"/>
        <item x="1226"/>
        <item x="1227"/>
        <item x="3070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2370"/>
        <item x="1241"/>
        <item x="1242"/>
        <item x="1243"/>
        <item x="1244"/>
        <item x="3627"/>
        <item x="1245"/>
        <item x="2369"/>
        <item x="2299"/>
        <item x="2298"/>
        <item x="2305"/>
        <item x="3300"/>
        <item x="3304"/>
        <item x="1246"/>
        <item x="2304"/>
        <item x="3618"/>
        <item x="1247"/>
        <item x="3434"/>
        <item x="1248"/>
        <item x="1249"/>
        <item x="1250"/>
        <item x="1756"/>
        <item x="2029"/>
        <item x="1768"/>
        <item x="1251"/>
        <item x="1252"/>
        <item x="3631"/>
        <item x="1253"/>
        <item x="1254"/>
        <item x="1255"/>
        <item x="2012"/>
        <item x="2001"/>
        <item x="1256"/>
        <item x="1257"/>
        <item x="2831"/>
        <item x="1258"/>
        <item x="1259"/>
        <item x="1260"/>
        <item x="1770"/>
        <item x="1261"/>
        <item x="1262"/>
        <item x="1263"/>
        <item x="1264"/>
        <item x="2262"/>
        <item x="3496"/>
        <item x="1265"/>
        <item x="1266"/>
        <item x="1772"/>
        <item x="1267"/>
        <item x="1268"/>
        <item x="2443"/>
        <item x="1269"/>
        <item x="3227"/>
        <item x="3656"/>
        <item x="1270"/>
        <item x="1271"/>
        <item x="1272"/>
        <item x="1273"/>
        <item x="3207"/>
        <item x="2468"/>
        <item x="3629"/>
        <item x="1274"/>
        <item x="1275"/>
        <item x="1276"/>
        <item x="3519"/>
        <item x="2204"/>
        <item x="2217"/>
        <item x="1277"/>
        <item x="1278"/>
        <item x="2401"/>
        <item x="1279"/>
        <item x="1280"/>
        <item x="1281"/>
        <item x="1774"/>
        <item x="1776"/>
        <item x="1778"/>
        <item x="1282"/>
        <item x="1780"/>
        <item x="1782"/>
        <item x="1283"/>
        <item x="1786"/>
        <item x="1790"/>
        <item x="2078"/>
        <item x="1284"/>
        <item x="1792"/>
        <item x="1794"/>
        <item x="1285"/>
        <item x="1286"/>
        <item x="1287"/>
        <item x="1288"/>
        <item x="1289"/>
        <item x="1290"/>
        <item x="1291"/>
        <item x="1292"/>
        <item x="1293"/>
        <item x="1796"/>
        <item x="1294"/>
        <item x="1798"/>
        <item x="1295"/>
        <item x="1296"/>
        <item x="1297"/>
        <item x="1298"/>
        <item x="1299"/>
        <item x="1300"/>
        <item x="3136"/>
        <item x="1301"/>
        <item x="1800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791"/>
        <item x="1318"/>
        <item x="1802"/>
        <item x="1319"/>
        <item x="1320"/>
        <item x="1321"/>
        <item x="1322"/>
        <item x="1323"/>
        <item x="1324"/>
        <item x="2584"/>
        <item x="1804"/>
        <item x="3460"/>
        <item x="3458"/>
        <item x="2233"/>
        <item x="3373"/>
        <item x="3534"/>
        <item x="3320"/>
        <item x="3322"/>
        <item x="3535"/>
        <item x="3379"/>
        <item x="3516"/>
        <item x="3399"/>
        <item x="3472"/>
        <item x="2207"/>
        <item x="3329"/>
        <item x="3319"/>
        <item x="3547"/>
        <item x="3321"/>
        <item x="3474"/>
        <item x="3545"/>
        <item x="3383"/>
        <item x="3544"/>
        <item x="2310"/>
        <item x="3541"/>
        <item x="3494"/>
        <item x="3533"/>
        <item x="3531"/>
        <item x="3529"/>
        <item x="3539"/>
        <item x="3593"/>
        <item x="2271"/>
        <item x="2309"/>
        <item x="3471"/>
        <item x="3372"/>
        <item x="2177"/>
        <item x="2178"/>
        <item x="3517"/>
        <item x="3528"/>
        <item x="3198"/>
        <item x="3478"/>
        <item x="2771"/>
        <item x="3258"/>
        <item x="3653"/>
        <item x="2813"/>
        <item x="2754"/>
        <item x="2995"/>
        <item x="3381"/>
        <item x="3525"/>
        <item x="2338"/>
        <item x="3318"/>
        <item x="3587"/>
        <item x="2738"/>
        <item x="2321"/>
        <item x="3558"/>
        <item x="2312"/>
        <item x="1325"/>
        <item x="1326"/>
        <item x="1327"/>
        <item x="1328"/>
        <item x="1329"/>
        <item x="2453"/>
        <item x="1330"/>
        <item x="2504"/>
        <item x="3279"/>
        <item x="1331"/>
        <item x="3487"/>
        <item x="3413"/>
        <item x="3489"/>
        <item x="1332"/>
        <item x="3488"/>
        <item x="3426"/>
        <item x="3615"/>
        <item x="1333"/>
        <item x="2737"/>
        <item x="1334"/>
        <item x="3259"/>
        <item x="3260"/>
        <item x="3257"/>
        <item x="2796"/>
        <item x="3261"/>
        <item x="2895"/>
        <item x="2892"/>
        <item x="3013"/>
        <item x="3115"/>
        <item x="3108"/>
        <item x="2849"/>
        <item x="2832"/>
        <item x="2751"/>
        <item x="2805"/>
        <item x="3117"/>
        <item x="3020"/>
        <item x="2977"/>
        <item x="3486"/>
        <item x="2867"/>
        <item x="2218"/>
        <item x="2921"/>
        <item x="2326"/>
        <item x="2652"/>
        <item x="2942"/>
        <item x="3038"/>
        <item x="2896"/>
        <item x="3119"/>
        <item x="3640"/>
        <item x="3641"/>
        <item x="3642"/>
        <item x="3643"/>
        <item x="3651"/>
        <item x="3113"/>
        <item x="3029"/>
        <item x="2219"/>
        <item x="2804"/>
        <item x="2693"/>
        <item x="3242"/>
        <item x="2891"/>
        <item x="2886"/>
        <item x="2852"/>
        <item x="3204"/>
        <item x="3111"/>
        <item x="2920"/>
        <item x="2930"/>
        <item x="2967"/>
        <item x="3145"/>
        <item x="2184"/>
        <item x="3015"/>
        <item x="2946"/>
        <item x="2853"/>
        <item x="3252"/>
        <item x="3256"/>
        <item x="2814"/>
        <item x="2464"/>
        <item x="3241"/>
        <item x="1335"/>
        <item x="2799"/>
        <item x="2800"/>
        <item x="2821"/>
        <item x="1336"/>
        <item x="2205"/>
        <item x="2336"/>
        <item x="2774"/>
        <item x="2199"/>
        <item x="2206"/>
        <item x="2249"/>
        <item x="2919"/>
        <item x="2246"/>
        <item x="3459"/>
        <item x="2259"/>
        <item x="3217"/>
        <item x="2245"/>
        <item x="3040"/>
        <item x="3578"/>
        <item x="3583"/>
        <item x="3585"/>
        <item x="3014"/>
        <item x="3254"/>
        <item x="2887"/>
        <item x="2711"/>
        <item x="2238"/>
        <item x="2220"/>
        <item x="3039"/>
        <item x="3251"/>
        <item x="3250"/>
        <item x="2740"/>
        <item x="3301"/>
        <item x="3125"/>
        <item x="1337"/>
        <item x="3555"/>
        <item x="2333"/>
        <item x="2610"/>
        <item x="2588"/>
        <item x="3262"/>
        <item x="3650"/>
        <item x="3647"/>
        <item x="3648"/>
        <item x="3649"/>
        <item x="2710"/>
        <item x="3244"/>
        <item x="3246"/>
        <item x="3248"/>
        <item x="3652"/>
        <item x="2479"/>
        <item x="3031"/>
        <item x="2775"/>
        <item x="2540"/>
        <item x="2599"/>
        <item x="2617"/>
        <item x="2952"/>
        <item x="2517"/>
        <item x="3556"/>
        <item x="2631"/>
        <item x="2707"/>
        <item x="3613"/>
        <item x="3606"/>
        <item x="2863"/>
        <item x="2716"/>
        <item x="2717"/>
        <item x="2539"/>
        <item x="2181"/>
        <item x="2932"/>
        <item x="2937"/>
        <item x="3080"/>
        <item x="3441"/>
        <item x="2770"/>
        <item x="3083"/>
        <item x="2295"/>
        <item x="3142"/>
        <item x="3037"/>
        <item x="2591"/>
        <item x="2954"/>
        <item x="3012"/>
        <item x="3017"/>
        <item x="2696"/>
        <item x="2869"/>
        <item x="2990"/>
        <item x="3007"/>
        <item x="2820"/>
        <item x="3427"/>
        <item x="2734"/>
        <item x="3067"/>
        <item x="3058"/>
        <item x="2815"/>
        <item x="3316"/>
        <item x="3330"/>
        <item x="2723"/>
        <item x="3247"/>
        <item x="3036"/>
        <item x="3245"/>
        <item x="2278"/>
        <item x="2742"/>
        <item x="2225"/>
        <item x="2899"/>
        <item x="2890"/>
        <item x="2931"/>
        <item x="3253"/>
        <item x="2731"/>
        <item x="2928"/>
        <item x="3042"/>
        <item x="2528"/>
        <item x="3062"/>
        <item x="2709"/>
        <item x="2962"/>
        <item x="3011"/>
        <item x="2748"/>
        <item x="3001"/>
        <item x="3046"/>
        <item x="2320"/>
        <item x="3114"/>
        <item x="2237"/>
        <item x="3255"/>
        <item x="2773"/>
        <item x="3463"/>
        <item x="2714"/>
        <item x="2254"/>
        <item x="2491"/>
        <item x="3540"/>
        <item x="2883"/>
        <item x="2458"/>
        <item x="3553"/>
        <item x="2993"/>
        <item x="3557"/>
        <item x="3084"/>
        <item x="3045"/>
        <item x="2229"/>
        <item x="2255"/>
        <item x="3346"/>
        <item x="2247"/>
        <item x="3576"/>
        <item x="2529"/>
        <item x="2743"/>
        <item x="2183"/>
        <item x="2252"/>
        <item x="2868"/>
        <item x="3554"/>
        <item x="3192"/>
        <item x="3059"/>
        <item x="2850"/>
        <item x="2945"/>
        <item x="3082"/>
        <item x="2835"/>
        <item x="2861"/>
        <item x="3075"/>
        <item x="2894"/>
        <item x="2972"/>
        <item x="2182"/>
        <item x="2739"/>
        <item x="2502"/>
        <item x="3577"/>
        <item x="2418"/>
        <item x="2562"/>
        <item x="3018"/>
        <item x="2862"/>
        <item x="2941"/>
        <item x="2939"/>
        <item x="2918"/>
        <item x="2858"/>
        <item x="3044"/>
        <item x="2566"/>
        <item x="3104"/>
        <item x="2527"/>
        <item x="2701"/>
        <item x="2698"/>
        <item x="2442"/>
        <item x="2352"/>
        <item x="2416"/>
        <item x="2241"/>
        <item x="3043"/>
        <item x="2419"/>
        <item x="3003"/>
        <item x="2477"/>
        <item x="2186"/>
        <item x="2185"/>
        <item x="2189"/>
        <item x="3411"/>
        <item x="3559"/>
        <item x="2585"/>
        <item x="1338"/>
        <item x="1339"/>
        <item x="1340"/>
        <item x="1933"/>
        <item x="1937"/>
        <item x="1941"/>
        <item x="1341"/>
        <item x="1342"/>
        <item x="1945"/>
        <item x="1343"/>
        <item x="1344"/>
        <item x="1947"/>
        <item x="1959"/>
        <item x="1345"/>
        <item x="1346"/>
        <item x="1347"/>
        <item x="1348"/>
        <item x="1349"/>
        <item x="1784"/>
        <item x="1350"/>
        <item x="1351"/>
        <item x="1352"/>
        <item x="1353"/>
        <item x="1807"/>
        <item x="1354"/>
        <item x="1809"/>
        <item x="1355"/>
        <item x="1356"/>
        <item x="1357"/>
        <item x="1949"/>
        <item x="1793"/>
        <item x="1358"/>
        <item x="1359"/>
        <item x="1360"/>
        <item x="1361"/>
        <item x="1362"/>
        <item x="1363"/>
        <item x="1364"/>
        <item x="1365"/>
        <item x="1366"/>
        <item x="1367"/>
        <item x="1801"/>
        <item x="1368"/>
        <item x="2159"/>
        <item x="1369"/>
        <item x="1370"/>
        <item x="1371"/>
        <item x="1372"/>
        <item x="1373"/>
        <item x="1374"/>
        <item x="1375"/>
        <item x="1775"/>
        <item x="1771"/>
        <item x="1376"/>
        <item x="1377"/>
        <item x="1378"/>
        <item x="1379"/>
        <item x="1380"/>
        <item x="1381"/>
        <item x="1382"/>
        <item x="1383"/>
        <item x="1384"/>
        <item x="1385"/>
        <item x="1811"/>
        <item x="2157"/>
        <item x="1386"/>
        <item x="1387"/>
        <item x="1951"/>
        <item x="1388"/>
        <item x="1389"/>
        <item x="1777"/>
        <item x="1390"/>
        <item x="1391"/>
        <item x="1392"/>
        <item x="1393"/>
        <item x="1394"/>
        <item x="1395"/>
        <item x="1396"/>
        <item x="1397"/>
        <item x="3665"/>
        <item x="1398"/>
        <item x="1399"/>
        <item x="3004"/>
        <item x="2840"/>
        <item x="2489"/>
        <item x="2490"/>
        <item x="3333"/>
        <item x="1400"/>
        <item x="1401"/>
        <item x="2544"/>
        <item x="2637"/>
        <item x="1402"/>
        <item x="1403"/>
        <item x="2935"/>
        <item x="1404"/>
        <item x="2888"/>
        <item x="3131"/>
        <item x="1405"/>
        <item x="1406"/>
        <item x="1407"/>
        <item x="1408"/>
        <item x="3354"/>
        <item x="3349"/>
        <item x="3269"/>
        <item x="1409"/>
        <item x="1410"/>
        <item x="2414"/>
        <item x="1411"/>
        <item x="2866"/>
        <item x="3292"/>
        <item x="3293"/>
        <item x="2532"/>
        <item x="3281"/>
        <item x="3368"/>
        <item x="3345"/>
        <item x="3374"/>
        <item x="2236"/>
        <item x="2402"/>
        <item x="2545"/>
        <item x="2404"/>
        <item x="2533"/>
        <item x="2536"/>
        <item x="2460"/>
        <item x="3240"/>
        <item x="2354"/>
        <item x="3176"/>
        <item x="1412"/>
        <item x="2639"/>
        <item x="1413"/>
        <item x="3022"/>
        <item x="2676"/>
        <item x="3064"/>
        <item x="2196"/>
        <item x="2530"/>
        <item x="1414"/>
        <item x="2405"/>
        <item x="2706"/>
        <item x="3473"/>
        <item x="3387"/>
        <item x="3239"/>
        <item x="3560"/>
        <item x="2240"/>
        <item x="2439"/>
        <item x="2632"/>
        <item x="1415"/>
        <item x="3360"/>
        <item x="2543"/>
        <item x="2410"/>
        <item x="2412"/>
        <item x="2653"/>
        <item x="1416"/>
        <item x="2844"/>
        <item x="3178"/>
        <item x="2355"/>
        <item x="2356"/>
        <item x="2826"/>
        <item x="3173"/>
        <item x="2547"/>
        <item x="3157"/>
        <item x="2729"/>
        <item x="2498"/>
        <item x="1417"/>
        <item x="3626"/>
        <item x="3404"/>
        <item x="2534"/>
        <item x="1418"/>
        <item x="2260"/>
        <item x="1419"/>
        <item x="3167"/>
        <item x="2657"/>
        <item x="3165"/>
        <item x="3162"/>
        <item x="3172"/>
        <item x="3174"/>
        <item x="2072"/>
        <item x="2612"/>
        <item x="3645"/>
        <item x="1420"/>
        <item x="1421"/>
        <item x="3663"/>
        <item x="3189"/>
        <item x="1422"/>
        <item x="3375"/>
        <item x="2829"/>
        <item x="1423"/>
        <item x="1424"/>
        <item x="2721"/>
        <item x="3278"/>
        <item x="3332"/>
        <item x="2620"/>
        <item x="1425"/>
        <item x="1426"/>
        <item x="2692"/>
        <item x="1427"/>
        <item x="1428"/>
        <item x="2874"/>
        <item x="2785"/>
        <item x="2786"/>
        <item x="2780"/>
        <item x="3396"/>
        <item x="3350"/>
        <item x="2623"/>
        <item x="2654"/>
        <item x="3249"/>
        <item x="1429"/>
        <item x="2646"/>
        <item x="3155"/>
        <item x="2408"/>
        <item x="1430"/>
        <item x="2647"/>
        <item x="1431"/>
        <item x="1432"/>
        <item x="1433"/>
        <item x="1434"/>
        <item x="1435"/>
        <item x="2423"/>
        <item x="2440"/>
        <item x="1436"/>
        <item x="1437"/>
        <item x="3410"/>
        <item x="2577"/>
        <item x="2579"/>
        <item x="2467"/>
        <item x="3078"/>
        <item x="2469"/>
        <item x="2635"/>
        <item x="1438"/>
        <item x="1439"/>
        <item x="3612"/>
        <item x="2409"/>
        <item x="3408"/>
        <item x="1440"/>
        <item x="1441"/>
        <item x="1442"/>
        <item x="1443"/>
        <item x="1444"/>
        <item x="1445"/>
        <item x="1891"/>
        <item x="1446"/>
        <item x="1813"/>
        <item x="1447"/>
        <item x="1815"/>
        <item x="1817"/>
        <item x="1448"/>
        <item x="1449"/>
        <item x="1450"/>
        <item x="1819"/>
        <item x="1451"/>
        <item x="1452"/>
        <item x="1821"/>
        <item x="1453"/>
        <item x="1454"/>
        <item x="1823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3536"/>
        <item x="1486"/>
        <item x="1487"/>
        <item x="3484"/>
        <item x="3409"/>
        <item x="2948"/>
        <item x="1488"/>
        <item x="1825"/>
        <item x="1489"/>
        <item x="3614"/>
        <item x="1490"/>
        <item x="1491"/>
        <item x="3195"/>
        <item x="2655"/>
        <item x="1492"/>
        <item x="1493"/>
        <item x="3028"/>
        <item x="2251"/>
        <item x="1494"/>
        <item x="2188"/>
        <item x="2202"/>
        <item x="2239"/>
        <item x="2715"/>
        <item x="2343"/>
        <item x="3550"/>
        <item x="2898"/>
        <item x="2307"/>
        <item x="2406"/>
        <item x="2481"/>
        <item x="3470"/>
        <item x="2700"/>
        <item x="3291"/>
        <item x="1827"/>
        <item x="3604"/>
        <item x="1495"/>
        <item x="3323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2970"/>
        <item x="3214"/>
        <item x="3309"/>
        <item x="2470"/>
        <item x="3186"/>
        <item x="3263"/>
        <item x="2313"/>
        <item x="2818"/>
        <item x="2399"/>
        <item x="2478"/>
        <item x="2432"/>
        <item x="3161"/>
        <item x="2465"/>
        <item x="3206"/>
        <item x="3199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2618"/>
        <item x="3532"/>
        <item x="2473"/>
        <item x="2848"/>
        <item x="2893"/>
        <item x="2253"/>
        <item x="3537"/>
        <item x="2522"/>
        <item x="3527"/>
        <item x="2472"/>
        <item x="1529"/>
        <item x="2417"/>
        <item x="2699"/>
        <item x="2516"/>
        <item x="3551"/>
        <item x="3589"/>
        <item x="1530"/>
        <item x="1531"/>
        <item x="1532"/>
        <item x="1533"/>
        <item x="1534"/>
        <item x="2927"/>
        <item x="2929"/>
        <item x="3543"/>
        <item x="3526"/>
        <item x="1535"/>
        <item x="1536"/>
        <item x="2999"/>
        <item x="3000"/>
        <item x="1537"/>
        <item x="1538"/>
        <item x="1539"/>
        <item x="1540"/>
        <item x="1541"/>
        <item x="2427"/>
        <item x="3468"/>
        <item x="3491"/>
        <item x="3521"/>
        <item x="1542"/>
        <item x="3277"/>
        <item x="3094"/>
        <item x="3095"/>
        <item x="3092"/>
        <item x="1543"/>
        <item x="2459"/>
        <item x="1544"/>
        <item x="1545"/>
        <item x="1546"/>
        <item x="1547"/>
        <item x="2073"/>
        <item x="1548"/>
        <item x="2959"/>
        <item x="1549"/>
        <item x="3616"/>
        <item x="3632"/>
        <item x="1550"/>
        <item x="1551"/>
        <item x="1552"/>
        <item x="1553"/>
        <item x="1554"/>
        <item x="1555"/>
        <item x="1556"/>
        <item x="1557"/>
        <item x="1840"/>
        <item x="1842"/>
        <item x="1558"/>
        <item x="1559"/>
        <item x="1560"/>
        <item x="1561"/>
        <item x="1562"/>
        <item x="1822"/>
        <item x="1563"/>
        <item x="1564"/>
        <item x="1824"/>
        <item x="1816"/>
        <item x="1818"/>
        <item x="1820"/>
        <item x="2512"/>
        <item x="1565"/>
        <item x="1566"/>
        <item x="2075"/>
        <item x="1788"/>
        <item x="1567"/>
        <item x="1568"/>
        <item x="1569"/>
        <item x="3315"/>
        <item x="1570"/>
        <item x="3068"/>
        <item x="2702"/>
        <item x="2885"/>
        <item x="2257"/>
        <item x="1830"/>
        <item x="1571"/>
        <item x="3103"/>
        <item x="3205"/>
        <item x="1572"/>
        <item x="1573"/>
        <item x="1574"/>
        <item x="1575"/>
        <item x="1576"/>
        <item x="1577"/>
        <item x="1578"/>
        <item x="1579"/>
        <item x="1580"/>
        <item x="1581"/>
        <item x="1832"/>
        <item x="1582"/>
        <item x="1583"/>
        <item x="1584"/>
        <item x="1585"/>
        <item x="1586"/>
        <item x="3099"/>
        <item x="1587"/>
        <item x="1588"/>
        <item x="1589"/>
        <item x="3538"/>
        <item x="2763"/>
        <item x="2463"/>
        <item x="2759"/>
        <item x="2621"/>
        <item x="2388"/>
        <item x="1590"/>
        <item x="2415"/>
        <item x="2586"/>
        <item x="1591"/>
        <item x="1592"/>
        <item x="2389"/>
        <item x="1593"/>
        <item x="2324"/>
        <item x="1594"/>
        <item x="3177"/>
        <item x="1595"/>
        <item x="3284"/>
        <item x="3621"/>
        <item x="3182"/>
        <item x="2353"/>
        <item x="2870"/>
        <item x="2433"/>
        <item x="1596"/>
        <item x="2761"/>
        <item x="1597"/>
        <item x="3302"/>
        <item x="3087"/>
        <item x="3197"/>
        <item x="1598"/>
        <item x="3106"/>
        <item x="3490"/>
        <item x="3462"/>
        <item x="3073"/>
        <item x="3089"/>
        <item x="3090"/>
        <item x="1599"/>
        <item x="3466"/>
        <item x="1600"/>
        <item x="1601"/>
        <item x="2911"/>
        <item x="3051"/>
        <item x="2917"/>
        <item x="2261"/>
        <item x="2074"/>
        <item x="2290"/>
        <item x="1602"/>
        <item x="1603"/>
        <item x="1604"/>
        <item x="1605"/>
        <item x="1606"/>
        <item x="1607"/>
        <item x="3276"/>
        <item x="3079"/>
        <item x="3033"/>
        <item x="1608"/>
        <item x="1609"/>
        <item x="2287"/>
        <item x="2583"/>
        <item x="2615"/>
        <item x="1610"/>
        <item x="2176"/>
        <item x="3385"/>
        <item x="3386"/>
        <item x="3290"/>
        <item x="1611"/>
        <item x="1612"/>
        <item x="1613"/>
        <item x="1614"/>
        <item x="1615"/>
        <item x="3635"/>
        <item x="3184"/>
        <item x="3542"/>
        <item x="3163"/>
        <item x="1616"/>
        <item x="3624"/>
        <item x="1617"/>
        <item x="2697"/>
        <item x="2242"/>
        <item x="3477"/>
        <item x="2203"/>
        <item x="3599"/>
        <item x="3600"/>
        <item x="2790"/>
        <item x="2793"/>
        <item x="2798"/>
        <item x="1618"/>
        <item x="1619"/>
        <item x="1620"/>
        <item x="1621"/>
        <item x="1622"/>
        <item x="1623"/>
        <item x="1624"/>
        <item x="1808"/>
        <item x="1625"/>
        <item x="1626"/>
        <item x="1627"/>
        <item x="1628"/>
        <item x="1629"/>
        <item x="1630"/>
        <item x="1631"/>
        <item x="1829"/>
        <item x="1632"/>
        <item x="1831"/>
        <item x="1633"/>
        <item x="1833"/>
        <item x="1634"/>
        <item x="1835"/>
        <item x="1635"/>
        <item x="1636"/>
        <item x="1637"/>
        <item x="1638"/>
        <item x="1837"/>
        <item x="1639"/>
        <item x="1839"/>
        <item x="1759"/>
        <item x="1640"/>
        <item x="1641"/>
        <item x="1642"/>
        <item x="1841"/>
        <item x="1843"/>
        <item x="1643"/>
        <item x="1845"/>
        <item x="1644"/>
        <item x="1645"/>
        <item x="1744"/>
        <item x="1646"/>
        <item x="1647"/>
        <item x="1847"/>
        <item x="1750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849"/>
        <item x="1851"/>
        <item x="1853"/>
        <item x="1855"/>
        <item x="2118"/>
        <item x="1660"/>
        <item x="1661"/>
        <item x="1857"/>
        <item x="1859"/>
        <item x="1861"/>
        <item x="1863"/>
        <item x="1662"/>
        <item x="1865"/>
        <item x="1663"/>
        <item x="1664"/>
        <item x="1867"/>
        <item x="1870"/>
        <item x="1665"/>
        <item x="1872"/>
        <item x="1874"/>
        <item x="1876"/>
        <item x="1878"/>
        <item x="1880"/>
        <item x="1666"/>
        <item x="1882"/>
        <item x="1884"/>
        <item x="1667"/>
        <item x="1886"/>
        <item x="1888"/>
        <item x="1890"/>
        <item x="1668"/>
        <item x="1892"/>
        <item x="1669"/>
        <item x="1894"/>
        <item x="1896"/>
        <item x="1898"/>
        <item x="1900"/>
        <item x="1670"/>
        <item x="1902"/>
        <item x="1671"/>
        <item x="1672"/>
        <item x="1904"/>
        <item x="1906"/>
        <item x="1673"/>
        <item x="1908"/>
        <item x="1910"/>
        <item x="1912"/>
        <item x="1674"/>
        <item x="1914"/>
        <item x="1675"/>
        <item x="1676"/>
        <item x="1916"/>
        <item x="1918"/>
        <item x="1920"/>
        <item x="1922"/>
        <item x="1924"/>
        <item x="1740"/>
        <item x="1926"/>
        <item x="1677"/>
        <item x="1678"/>
        <item x="1928"/>
        <item x="1930"/>
        <item x="1932"/>
        <item x="1679"/>
        <item x="1934"/>
        <item x="1936"/>
        <item x="1938"/>
        <item x="1940"/>
        <item x="1680"/>
        <item x="1942"/>
        <item x="1681"/>
        <item x="1682"/>
        <item x="1683"/>
        <item x="1684"/>
        <item x="1685"/>
        <item x="1944"/>
        <item x="1686"/>
        <item x="1687"/>
        <item x="1946"/>
        <item x="1688"/>
        <item x="1948"/>
        <item x="1950"/>
        <item x="1952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2009"/>
        <item x="1779"/>
        <item x="2282"/>
        <item x="1726"/>
        <item x="1728"/>
        <item x="1805"/>
        <item x="2719"/>
        <item x="3530"/>
        <item x="3590"/>
        <item x="2851"/>
        <item x="2779"/>
        <item x="3455"/>
        <item x="3449"/>
        <item x="3638"/>
        <item x="3661"/>
        <item x="3264"/>
        <item x="3265"/>
        <item x="3479"/>
        <item x="3639"/>
        <item x="2901"/>
        <item x="2733"/>
        <item x="2600"/>
        <item x="1953"/>
        <item x="2519"/>
        <item x="2461"/>
        <item x="2393"/>
        <item x="2474"/>
        <item x="1954"/>
        <item x="2648"/>
        <item x="2817"/>
        <item x="2505"/>
        <item x="2950"/>
        <item x="3419"/>
        <item x="2609"/>
        <item x="2602"/>
        <item x="2513"/>
        <item x="2508"/>
        <item x="2636"/>
        <item x="1955"/>
        <item x="3057"/>
        <item x="2447"/>
        <item x="1956"/>
        <item x="1826"/>
        <item x="1957"/>
        <item x="1958"/>
        <item x="1960"/>
        <item x="2434"/>
        <item x="2755"/>
        <item x="2756"/>
        <item x="2569"/>
        <item x="2301"/>
        <item x="2367"/>
        <item x="2334"/>
        <item x="2703"/>
        <item x="2704"/>
        <item x="2293"/>
        <item x="3139"/>
        <item x="2332"/>
        <item x="2836"/>
        <item x="3549"/>
        <item x="3499"/>
        <item x="2347"/>
        <item x="2365"/>
        <item x="2681"/>
        <item x="2381"/>
        <item x="2555"/>
        <item x="2379"/>
        <item x="2374"/>
        <item x="2592"/>
        <item x="2359"/>
        <item x="3297"/>
        <item x="2604"/>
        <item x="1961"/>
        <item x="2960"/>
        <item x="3053"/>
        <item x="2897"/>
        <item x="3063"/>
        <item x="1962"/>
        <item x="2556"/>
        <item x="3502"/>
        <item x="3500"/>
        <item x="2515"/>
        <item x="2601"/>
        <item x="2497"/>
        <item x="2575"/>
        <item x="2500"/>
        <item x="1963"/>
        <item x="2501"/>
        <item x="2457"/>
        <item x="2456"/>
        <item x="1767"/>
        <item x="2611"/>
        <item x="3102"/>
        <item x="3493"/>
        <item x="3497"/>
        <item x="2420"/>
        <item x="1964"/>
        <item x="2884"/>
        <item x="3071"/>
        <item x="3326"/>
        <item x="2200"/>
        <item x="2345"/>
        <item x="2705"/>
        <item x="3023"/>
        <item x="3285"/>
        <item x="1965"/>
        <item x="2386"/>
        <item x="2191"/>
        <item x="2613"/>
        <item x="2616"/>
        <item x="3138"/>
        <item x="2496"/>
        <item x="3133"/>
        <item x="3518"/>
        <item x="2881"/>
        <item x="2778"/>
        <item x="3524"/>
        <item x="2913"/>
        <item x="2541"/>
        <item x="2358"/>
        <item x="3657"/>
        <item x="3501"/>
        <item x="3429"/>
        <item x="2248"/>
        <item x="2250"/>
        <item x="2243"/>
        <item x="2812"/>
        <item x="2823"/>
        <item x="3147"/>
        <item x="3146"/>
        <item x="2258"/>
        <item x="2956"/>
        <item x="3085"/>
        <item x="1966"/>
        <item x="3049"/>
        <item x="3091"/>
        <item x="2741"/>
        <item x="3659"/>
        <item x="3274"/>
        <item x="3132"/>
        <item x="3072"/>
        <item x="2938"/>
        <item x="3619"/>
        <item x="1967"/>
        <item x="1968"/>
        <item x="1969"/>
        <item x="1970"/>
        <item x="1971"/>
        <item x="2378"/>
        <item x="2380"/>
        <item x="1972"/>
        <item x="3591"/>
        <item x="2765"/>
        <item x="2766"/>
        <item x="2767"/>
        <item x="2757"/>
        <item x="3401"/>
        <item x="3498"/>
        <item x="3152"/>
        <item x="2783"/>
        <item x="2781"/>
        <item x="2784"/>
        <item x="1973"/>
        <item x="1974"/>
        <item x="3077"/>
        <item x="2288"/>
        <item x="3628"/>
        <item x="1975"/>
        <item x="2316"/>
        <item x="2568"/>
        <item x="2571"/>
        <item x="2598"/>
        <item x="2630"/>
        <item x="3566"/>
        <item x="3575"/>
        <item x="3573"/>
        <item x="3571"/>
        <item x="3572"/>
        <item x="3564"/>
        <item x="3570"/>
        <item x="3563"/>
        <item x="3574"/>
        <item x="3569"/>
        <item x="3567"/>
        <item x="3054"/>
        <item x="2825"/>
        <item x="3027"/>
        <item x="2194"/>
        <item x="2830"/>
        <item x="2947"/>
        <item x="2872"/>
        <item x="3445"/>
        <item x="2782"/>
        <item x="2964"/>
        <item x="3412"/>
        <item x="2475"/>
        <item x="2660"/>
        <item x="3476"/>
        <item x="2503"/>
        <item x="2371"/>
        <item x="3420"/>
        <item x="3414"/>
        <item x="3122"/>
        <item x="2223"/>
        <item x="3055"/>
        <item x="3086"/>
        <item x="2216"/>
        <item x="2198"/>
        <item x="2966"/>
        <item x="3343"/>
        <item x="3447"/>
        <item x="3452"/>
        <item x="2769"/>
        <item x="2685"/>
        <item x="2900"/>
        <item x="3515"/>
        <item x="2750"/>
        <item x="2382"/>
        <item x="2643"/>
        <item x="2506"/>
        <item x="2450"/>
        <item x="2232"/>
        <item x="2514"/>
        <item x="2372"/>
        <item x="1977"/>
        <item x="1978"/>
        <item x="1979"/>
        <item x="1980"/>
        <item x="1981"/>
        <item x="2589"/>
        <item x="3223"/>
        <item x="3226"/>
        <item x="3210"/>
        <item x="3212"/>
        <item x="3211"/>
        <item x="3213"/>
        <item x="2633"/>
        <item x="3565"/>
        <item x="1982"/>
        <item x="1983"/>
        <item x="1984"/>
        <item x="1985"/>
        <item x="1986"/>
        <item x="1987"/>
        <item x="1988"/>
        <item x="2487"/>
        <item x="2510"/>
        <item x="3201"/>
        <item x="1989"/>
        <item x="1990"/>
        <item x="1991"/>
        <item x="1992"/>
        <item x="1993"/>
        <item x="1994"/>
        <item x="1995"/>
        <item x="2713"/>
        <item x="3268"/>
        <item x="2726"/>
        <item x="2922"/>
        <item x="2908"/>
        <item x="3110"/>
        <item x="1996"/>
        <item x="2684"/>
        <item x="1997"/>
        <item x="1998"/>
        <item x="2668"/>
        <item x="1999"/>
        <item x="2000"/>
        <item x="2002"/>
        <item x="2003"/>
        <item x="2004"/>
        <item x="3238"/>
        <item x="3327"/>
        <item x="2005"/>
        <item x="2006"/>
        <item x="2190"/>
        <item x="3272"/>
        <item x="2007"/>
        <item x="2008"/>
        <item x="2010"/>
        <item x="2011"/>
        <item x="2013"/>
        <item x="2014"/>
        <item x="2015"/>
        <item x="2016"/>
        <item x="2017"/>
        <item x="2018"/>
        <item x="2608"/>
        <item x="2019"/>
        <item x="2020"/>
        <item x="2021"/>
        <item x="2022"/>
        <item x="2023"/>
        <item x="1769"/>
        <item x="2024"/>
        <item x="2025"/>
        <item x="2346"/>
        <item x="2403"/>
        <item x="2997"/>
        <item x="3061"/>
        <item x="2368"/>
        <item x="3344"/>
        <item x="3179"/>
        <item x="2777"/>
        <item x="2026"/>
        <item x="2027"/>
        <item x="2953"/>
        <item x="2383"/>
        <item x="2348"/>
        <item x="2384"/>
        <item x="2028"/>
        <item x="2030"/>
        <item x="2031"/>
        <item x="2032"/>
        <item x="2033"/>
        <item x="2859"/>
        <item x="2824"/>
        <item x="2337"/>
        <item x="2034"/>
        <item x="2364"/>
        <item x="2607"/>
        <item x="3158"/>
        <item x="3511"/>
        <item x="2493"/>
        <item x="2455"/>
        <item x="2525"/>
        <item x="2036"/>
        <item x="2037"/>
        <item x="2038"/>
        <item x="2039"/>
        <item x="2040"/>
        <item x="2042"/>
        <item x="1730"/>
        <item x="3148"/>
        <item x="2605"/>
        <item x="2195"/>
        <item x="2594"/>
        <item x="3088"/>
        <item x="2822"/>
        <item x="3658"/>
        <item x="2686"/>
        <item x="2669"/>
        <item x="2526"/>
        <item x="2300"/>
        <item x="2951"/>
        <item x="2880"/>
        <item x="2878"/>
        <item x="2971"/>
        <item x="2981"/>
        <item x="2596"/>
        <item x="3507"/>
        <item x="2606"/>
        <item x="2587"/>
        <item x="3506"/>
        <item x="2905"/>
        <item x="2445"/>
        <item x="2879"/>
        <item x="2603"/>
        <item x="2043"/>
        <item x="2538"/>
        <item x="3548"/>
        <item x="3203"/>
        <item x="3047"/>
        <item x="2452"/>
        <item x="3144"/>
        <item x="3134"/>
        <item x="3143"/>
        <item x="2303"/>
        <item x="3048"/>
        <item x="3367"/>
        <item x="2595"/>
        <item x="2375"/>
        <item x="2485"/>
        <item x="2482"/>
        <item x="2614"/>
        <item x="2284"/>
        <item x="2044"/>
        <item x="2296"/>
        <item x="2847"/>
        <item x="2590"/>
        <item x="2211"/>
        <item x="2537"/>
        <item x="3620"/>
        <item x="3664"/>
        <item x="2187"/>
        <item x="2949"/>
        <item x="2449"/>
        <item x="2045"/>
        <item x="2523"/>
        <item x="2454"/>
        <item x="3222"/>
        <item x="3331"/>
        <item x="2446"/>
        <item x="2727"/>
        <item x="3508"/>
        <item x="2593"/>
        <item x="3202"/>
        <item x="3622"/>
        <item x="2499"/>
        <item x="3200"/>
        <item x="3465"/>
        <item x="2597"/>
        <item x="2665"/>
        <item x="3509"/>
        <item x="3464"/>
        <item x="2215"/>
        <item x="2339"/>
        <item x="3394"/>
        <item x="2561"/>
        <item x="3336"/>
        <item x="2718"/>
        <item x="3504"/>
        <item x="3128"/>
        <item x="3156"/>
        <item x="2276"/>
        <item x="2046"/>
        <item x="2180"/>
        <item x="3546"/>
        <item x="2297"/>
        <item x="2876"/>
        <item x="3160"/>
        <item x="3581"/>
        <item x="2244"/>
        <item x="3582"/>
        <item x="2292"/>
        <item x="2273"/>
        <item x="2274"/>
        <item x="2266"/>
        <item x="2267"/>
        <item x="3194"/>
        <item x="2268"/>
        <item x="2047"/>
        <item x="2048"/>
        <item x="2049"/>
        <item x="2050"/>
        <item x="2051"/>
        <item x="3510"/>
        <item x="3398"/>
        <item x="2340"/>
        <item x="2052"/>
        <item x="3503"/>
        <item x="3505"/>
        <item x="3025"/>
        <item x="2933"/>
        <item x="2827"/>
        <item x="2828"/>
        <item x="2212"/>
        <item x="3580"/>
        <item x="2053"/>
        <item x="3512"/>
        <item x="3514"/>
        <item x="3513"/>
        <item x="2193"/>
        <item x="3625"/>
        <item x="3060"/>
        <item x="2054"/>
        <item x="2916"/>
        <item x="2281"/>
        <item x="2283"/>
        <item x="2269"/>
        <item x="2197"/>
        <item x="2264"/>
        <item x="2055"/>
        <item x="2462"/>
        <item x="3149"/>
        <item x="2270"/>
        <item x="2056"/>
        <item x="3130"/>
        <item x="2325"/>
        <item x="3081"/>
        <item x="2801"/>
        <item x="2484"/>
        <item x="2057"/>
        <item x="2980"/>
        <item x="2058"/>
        <item x="2059"/>
        <item x="2060"/>
        <item x="3467"/>
        <item x="3026"/>
        <item x="2061"/>
        <item x="2062"/>
        <item x="3105"/>
        <item x="2924"/>
        <item x="2213"/>
        <item x="3159"/>
        <item x="2280"/>
        <item x="2969"/>
        <item x="3101"/>
        <item x="2448"/>
        <item x="3098"/>
        <item x="2758"/>
        <item x="2762"/>
        <item x="2764"/>
        <item x="2574"/>
        <item x="3378"/>
        <item x="3100"/>
        <item x="3633"/>
        <item x="3129"/>
        <item x="3097"/>
        <item x="3402"/>
        <item x="3271"/>
        <item x="3586"/>
        <item x="3107"/>
        <item x="2063"/>
        <item x="2322"/>
        <item x="2323"/>
        <item x="3416"/>
        <item x="2064"/>
        <item x="3096"/>
        <item x="2275"/>
        <item x="2263"/>
        <item x="2065"/>
        <item x="2066"/>
        <item x="3630"/>
        <item x="3273"/>
        <item x="3469"/>
        <item x="2308"/>
        <item x="2865"/>
        <item x="3056"/>
        <item x="2965"/>
        <item x="2963"/>
        <item x="2760"/>
        <item x="2385"/>
        <item x="2666"/>
        <item x="3637"/>
        <item x="2875"/>
        <item x="3433"/>
        <item x="2944"/>
        <item x="3662"/>
        <item x="3298"/>
        <item x="3303"/>
        <item x="2067"/>
        <item x="3654"/>
        <item x="2285"/>
        <item x="2350"/>
        <item x="2068"/>
        <item x="2069"/>
        <item x="2070"/>
        <item x="1765"/>
        <item x="3623"/>
        <item x="2071"/>
        <item x="3024"/>
        <item x="2730"/>
        <item x="2076"/>
        <item x="2077"/>
        <item x="2079"/>
        <item x="1783"/>
        <item x="1787"/>
        <item x="2080"/>
        <item x="2081"/>
        <item x="2082"/>
        <item x="2524"/>
        <item x="3118"/>
        <item x="3243"/>
        <item x="3579"/>
        <item x="2640"/>
        <item x="3109"/>
        <item x="3066"/>
        <item x="2968"/>
        <item x="2992"/>
        <item x="3112"/>
        <item x="3442"/>
        <item x="2802"/>
        <item x="2978"/>
        <item x="3009"/>
        <item x="3021"/>
        <item x="3120"/>
        <item x="2925"/>
        <item x="3116"/>
        <item x="3030"/>
        <item x="3074"/>
        <item x="2306"/>
        <item x="2834"/>
        <item x="2843"/>
        <item x="2855"/>
        <item x="2856"/>
        <item x="2854"/>
        <item x="2975"/>
        <item x="2979"/>
        <item x="3005"/>
        <item x="2909"/>
        <item x="2934"/>
        <item x="2936"/>
        <item x="2976"/>
        <item x="2226"/>
        <item x="2955"/>
        <item x="3439"/>
        <item x="3355"/>
        <item x="2974"/>
        <item x="3440"/>
        <item x="2810"/>
        <item x="2344"/>
        <item x="2567"/>
        <item x="2940"/>
        <item x="2341"/>
        <item x="1727"/>
        <item x="2735"/>
        <item x="2659"/>
        <item x="3267"/>
        <item x="3485"/>
        <item x="2083"/>
        <item x="3313"/>
        <item x="3307"/>
        <item x="3308"/>
        <item x="3312"/>
        <item x="3314"/>
        <item x="3644"/>
        <item x="2221"/>
        <item x="2222"/>
        <item x="2749"/>
        <item x="2656"/>
        <item x="2638"/>
        <item x="2708"/>
        <item x="2224"/>
        <item x="3431"/>
        <item x="2695"/>
        <item x="2331"/>
        <item x="3294"/>
        <item x="3295"/>
        <item x="2910"/>
        <item x="3093"/>
        <item x="2327"/>
        <item x="2811"/>
        <item x="3010"/>
        <item x="3008"/>
        <item x="2272"/>
        <item x="3151"/>
        <item x="3050"/>
        <item x="2984"/>
        <item x="2837"/>
        <item x="2841"/>
        <item x="2842"/>
        <item x="2860"/>
        <item x="2903"/>
        <item x="2904"/>
        <item x="2912"/>
        <item x="2838"/>
        <item x="2906"/>
        <item x="2943"/>
        <item x="3035"/>
        <item x="2926"/>
        <item x="3456"/>
        <item x="3457"/>
        <item x="3140"/>
        <item x="3141"/>
        <item x="2319"/>
        <item x="3405"/>
        <item x="2663"/>
        <item x="2664"/>
        <item x="3126"/>
        <item x="2210"/>
        <item x="2871"/>
        <item x="3123"/>
        <item x="2902"/>
        <item x="3006"/>
        <item x="3407"/>
        <item x="2311"/>
        <item x="2645"/>
        <item x="2882"/>
        <item x="2265"/>
        <item x="2845"/>
        <item x="2914"/>
        <item x="3607"/>
        <item x="3608"/>
        <item x="3406"/>
        <item x="2328"/>
        <item x="2231"/>
        <item x="3482"/>
        <item x="3481"/>
        <item x="3377"/>
        <item x="3366"/>
        <item x="3584"/>
        <item x="3568"/>
        <item x="2291"/>
        <item x="3382"/>
        <item x="2214"/>
        <item x="3400"/>
        <item x="3461"/>
        <item x="3552"/>
        <item x="2744"/>
        <item x="2549"/>
        <item x="2542"/>
        <item x="2451"/>
        <item x="2471"/>
        <item x="2746"/>
        <item x="2558"/>
        <item x="2578"/>
        <item x="3296"/>
        <item x="2361"/>
        <item x="3154"/>
        <item x="2572"/>
        <item x="2476"/>
        <item x="2376"/>
        <item x="2483"/>
        <item x="2480"/>
        <item x="2441"/>
        <item x="2552"/>
        <item x="2559"/>
        <item x="2582"/>
        <item x="3169"/>
        <item x="3170"/>
        <item x="3237"/>
        <item x="2494"/>
        <item x="2400"/>
        <item x="2507"/>
        <item x="2511"/>
        <item x="2531"/>
        <item x="2407"/>
        <item x="2363"/>
        <item x="2563"/>
        <item x="2747"/>
        <item x="2745"/>
        <item x="3188"/>
        <item x="2573"/>
        <item x="2428"/>
        <item x="255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3288"/>
        <item x="3289"/>
        <item x="2095"/>
        <item x="2096"/>
        <item x="2097"/>
        <item x="2098"/>
        <item x="2099"/>
        <item x="2100"/>
        <item x="2101"/>
        <item x="2102"/>
        <item x="2103"/>
        <item x="1810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1828"/>
        <item x="2146"/>
        <item x="2147"/>
        <item x="2148"/>
        <item x="2149"/>
        <item x="2150"/>
        <item x="2151"/>
        <item x="2152"/>
        <item x="2153"/>
        <item x="2155"/>
        <item x="2156"/>
        <item x="2158"/>
        <item x="2160"/>
        <item x="2161"/>
        <item x="2162"/>
        <item x="2163"/>
        <item x="2164"/>
        <item x="2165"/>
        <item x="2166"/>
        <item x="2167"/>
        <item x="2168"/>
        <item x="2169"/>
        <item x="1812"/>
        <item x="2170"/>
        <item x="2171"/>
        <item x="2172"/>
        <item x="2173"/>
        <item x="2174"/>
        <item x="1795"/>
        <item x="2175"/>
        <item t="default"/>
      </items>
    </pivotField>
    <pivotField showAll="0"/>
    <pivotField showAll="0"/>
    <pivotField showAll="0"/>
    <pivotField dataField="1" showAll="0"/>
    <pivotField numFmtId="169" showAll="0"/>
    <pivotField showAll="0"/>
    <pivotField showAll="0"/>
    <pivotField numFmtId="9" showAll="0"/>
  </pivotFields>
  <rowFields count="1">
    <field x="0"/>
  </rowFields>
  <rowItems count="36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 t="grand">
      <x/>
    </i>
  </rowItems>
  <colItems count="1">
    <i/>
  </colItems>
  <dataFields count="1">
    <dataField name="Count of Currency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42C2-0B0A-4FBC-A5A8-51BB3104D088}">
  <dimension ref="B1:J3937"/>
  <sheetViews>
    <sheetView topLeftCell="B4" workbookViewId="0">
      <selection activeCell="B4" sqref="B4:J3670"/>
    </sheetView>
  </sheetViews>
  <sheetFormatPr defaultColWidth="9.1796875" defaultRowHeight="14.5" x14ac:dyDescent="0.35"/>
  <cols>
    <col min="2" max="2" width="16.453125" style="15" customWidth="1"/>
    <col min="3" max="3" width="83.81640625" customWidth="1"/>
    <col min="4" max="4" width="35.81640625" customWidth="1"/>
    <col min="5" max="5" width="30.26953125" customWidth="1"/>
    <col min="6" max="6" width="11.81640625" style="21" customWidth="1"/>
    <col min="7" max="7" width="21.453125" style="46" customWidth="1"/>
    <col min="8" max="8" width="10.1796875" style="15" bestFit="1" customWidth="1"/>
    <col min="9" max="9" width="13" style="15" customWidth="1"/>
    <col min="10" max="10" width="21.453125" customWidth="1"/>
  </cols>
  <sheetData>
    <row r="1" spans="2:10" s="15" customFormat="1" x14ac:dyDescent="0.35">
      <c r="B1" s="30"/>
      <c r="E1" s="32"/>
      <c r="F1" s="33"/>
      <c r="G1" s="47"/>
    </row>
    <row r="2" spans="2:10" s="15" customFormat="1" ht="15.5" x14ac:dyDescent="0.35">
      <c r="B2" s="31" t="s">
        <v>3572</v>
      </c>
      <c r="E2" s="32"/>
      <c r="F2" s="33"/>
      <c r="G2" s="47"/>
    </row>
    <row r="3" spans="2:10" s="15" customFormat="1" ht="12.75" customHeight="1" x14ac:dyDescent="0.35">
      <c r="B3" s="16" t="s">
        <v>0</v>
      </c>
      <c r="C3" s="16"/>
      <c r="D3" s="16"/>
      <c r="E3" s="16"/>
      <c r="F3" s="17"/>
      <c r="G3" s="48"/>
      <c r="H3" s="16"/>
      <c r="I3" s="16"/>
    </row>
    <row r="4" spans="2:10" s="15" customFormat="1" x14ac:dyDescent="0.35">
      <c r="B4" s="22" t="s">
        <v>1</v>
      </c>
      <c r="C4" s="22" t="s">
        <v>2</v>
      </c>
      <c r="D4" s="22" t="s">
        <v>3</v>
      </c>
      <c r="E4" s="22" t="s">
        <v>4</v>
      </c>
      <c r="F4" s="22" t="s">
        <v>3549</v>
      </c>
      <c r="G4" s="22" t="s">
        <v>3550</v>
      </c>
      <c r="H4" s="23" t="s">
        <v>3551</v>
      </c>
      <c r="I4" s="22" t="s">
        <v>3571</v>
      </c>
      <c r="J4" s="23" t="s">
        <v>3570</v>
      </c>
    </row>
    <row r="5" spans="2:10" s="37" customFormat="1" ht="12.75" customHeight="1" x14ac:dyDescent="0.35">
      <c r="B5" s="1">
        <v>200048</v>
      </c>
      <c r="C5" s="1" t="s">
        <v>75</v>
      </c>
      <c r="D5" s="1" t="s">
        <v>6</v>
      </c>
      <c r="E5" s="1" t="s">
        <v>76</v>
      </c>
      <c r="F5" s="34" t="s">
        <v>3552</v>
      </c>
      <c r="G5" s="24">
        <v>0.75</v>
      </c>
      <c r="H5" s="1" t="s">
        <v>3556</v>
      </c>
      <c r="I5" s="29">
        <v>100</v>
      </c>
      <c r="J5" s="36">
        <v>0.1</v>
      </c>
    </row>
    <row r="6" spans="2:10" s="37" customFormat="1" ht="29" x14ac:dyDescent="0.35">
      <c r="B6" s="1">
        <v>200056</v>
      </c>
      <c r="C6" s="1" t="s">
        <v>639</v>
      </c>
      <c r="D6" s="1" t="s">
        <v>116</v>
      </c>
      <c r="E6" s="1" t="s">
        <v>640</v>
      </c>
      <c r="F6" s="34" t="s">
        <v>3574</v>
      </c>
      <c r="G6" s="24">
        <v>3.55</v>
      </c>
      <c r="H6" s="1" t="s">
        <v>3556</v>
      </c>
      <c r="I6" s="13" t="s">
        <v>3555</v>
      </c>
      <c r="J6" s="36">
        <v>0.06</v>
      </c>
    </row>
    <row r="7" spans="2:10" s="37" customFormat="1" x14ac:dyDescent="0.35">
      <c r="B7" s="1">
        <v>200827</v>
      </c>
      <c r="C7" s="2" t="s">
        <v>776</v>
      </c>
      <c r="D7" s="2" t="s">
        <v>775</v>
      </c>
      <c r="E7" s="1" t="s">
        <v>777</v>
      </c>
      <c r="F7" s="34" t="s">
        <v>3574</v>
      </c>
      <c r="G7" s="24">
        <v>405</v>
      </c>
      <c r="H7" s="1" t="s">
        <v>774</v>
      </c>
      <c r="I7" s="1">
        <v>1</v>
      </c>
      <c r="J7" s="36">
        <v>0.06</v>
      </c>
    </row>
    <row r="8" spans="2:10" s="37" customFormat="1" ht="12.75" customHeight="1" x14ac:dyDescent="0.35">
      <c r="B8" s="1">
        <v>200834</v>
      </c>
      <c r="C8" s="2" t="s">
        <v>772</v>
      </c>
      <c r="D8" s="1" t="s">
        <v>6</v>
      </c>
      <c r="E8" s="1" t="s">
        <v>647</v>
      </c>
      <c r="F8" s="34" t="s">
        <v>3552</v>
      </c>
      <c r="G8" s="24">
        <v>106.87</v>
      </c>
      <c r="H8" s="3" t="s">
        <v>774</v>
      </c>
      <c r="I8" s="1">
        <v>1</v>
      </c>
      <c r="J8" s="36">
        <v>0.1</v>
      </c>
    </row>
    <row r="9" spans="2:10" s="37" customFormat="1" ht="12.75" customHeight="1" x14ac:dyDescent="0.35">
      <c r="B9" s="4">
        <v>200924</v>
      </c>
      <c r="C9" s="4" t="s">
        <v>781</v>
      </c>
      <c r="D9" s="4" t="s">
        <v>780</v>
      </c>
      <c r="E9" s="4" t="s">
        <v>782</v>
      </c>
      <c r="F9" s="34" t="s">
        <v>3574</v>
      </c>
      <c r="G9" s="25">
        <v>130</v>
      </c>
      <c r="H9" s="4" t="s">
        <v>774</v>
      </c>
      <c r="I9" s="4">
        <v>1</v>
      </c>
      <c r="J9" s="36">
        <v>0.06</v>
      </c>
    </row>
    <row r="10" spans="2:10" s="37" customFormat="1" ht="12.75" customHeight="1" x14ac:dyDescent="0.35">
      <c r="B10" s="1">
        <v>217001</v>
      </c>
      <c r="C10" s="1" t="s">
        <v>110</v>
      </c>
      <c r="D10" s="1" t="s">
        <v>109</v>
      </c>
      <c r="E10" s="1" t="s">
        <v>14</v>
      </c>
      <c r="F10" s="34" t="s">
        <v>3553</v>
      </c>
      <c r="G10" s="24">
        <v>0.5</v>
      </c>
      <c r="H10" s="4" t="s">
        <v>774</v>
      </c>
      <c r="I10" s="1">
        <v>1</v>
      </c>
      <c r="J10" s="36">
        <v>0.1</v>
      </c>
    </row>
    <row r="11" spans="2:10" s="37" customFormat="1" ht="12.75" customHeight="1" x14ac:dyDescent="0.35">
      <c r="B11" s="1">
        <v>500528</v>
      </c>
      <c r="C11" s="1" t="s">
        <v>509</v>
      </c>
      <c r="D11" s="1" t="s">
        <v>10</v>
      </c>
      <c r="E11" s="1" t="s">
        <v>509</v>
      </c>
      <c r="F11" s="34" t="s">
        <v>3574</v>
      </c>
      <c r="G11" s="24">
        <v>1.05</v>
      </c>
      <c r="H11" s="4" t="s">
        <v>3556</v>
      </c>
      <c r="I11" s="1">
        <v>100</v>
      </c>
      <c r="J11" s="36">
        <v>0.06</v>
      </c>
    </row>
    <row r="12" spans="2:10" s="37" customFormat="1" ht="12.75" customHeight="1" x14ac:dyDescent="0.35">
      <c r="B12" s="1">
        <v>500584</v>
      </c>
      <c r="C12" s="1" t="s">
        <v>211</v>
      </c>
      <c r="D12" s="1" t="s">
        <v>116</v>
      </c>
      <c r="E12" s="1" t="s">
        <v>212</v>
      </c>
      <c r="F12" s="34" t="s">
        <v>3574</v>
      </c>
      <c r="G12" s="24">
        <v>1.35</v>
      </c>
      <c r="H12" s="4" t="s">
        <v>774</v>
      </c>
      <c r="I12" s="1">
        <v>1</v>
      </c>
      <c r="J12" s="36">
        <v>0.06</v>
      </c>
    </row>
    <row r="13" spans="2:10" s="37" customFormat="1" ht="12.75" customHeight="1" x14ac:dyDescent="0.35">
      <c r="B13" s="1">
        <v>500596</v>
      </c>
      <c r="C13" s="1" t="s">
        <v>519</v>
      </c>
      <c r="D13" s="1" t="s">
        <v>11</v>
      </c>
      <c r="E13" s="1" t="s">
        <v>519</v>
      </c>
      <c r="F13" s="34" t="s">
        <v>3574</v>
      </c>
      <c r="G13" s="24">
        <v>9.5500000000000007</v>
      </c>
      <c r="H13" s="4" t="s">
        <v>774</v>
      </c>
      <c r="I13" s="1">
        <v>1</v>
      </c>
      <c r="J13" s="36">
        <v>0.06</v>
      </c>
    </row>
    <row r="14" spans="2:10" s="37" customFormat="1" ht="12.75" customHeight="1" x14ac:dyDescent="0.35">
      <c r="B14" s="1">
        <v>500975</v>
      </c>
      <c r="C14" s="1" t="s">
        <v>205</v>
      </c>
      <c r="D14" s="1" t="s">
        <v>116</v>
      </c>
      <c r="E14" s="1" t="s">
        <v>206</v>
      </c>
      <c r="F14" s="34" t="s">
        <v>3574</v>
      </c>
      <c r="G14" s="24">
        <v>3.74</v>
      </c>
      <c r="H14" s="4" t="s">
        <v>774</v>
      </c>
      <c r="I14" s="1">
        <v>1</v>
      </c>
      <c r="J14" s="36">
        <v>0.06</v>
      </c>
    </row>
    <row r="15" spans="2:10" s="37" customFormat="1" ht="12.75" customHeight="1" x14ac:dyDescent="0.35">
      <c r="B15" s="1">
        <v>502290</v>
      </c>
      <c r="C15" s="1" t="s">
        <v>198</v>
      </c>
      <c r="D15" s="1" t="s">
        <v>116</v>
      </c>
      <c r="E15" s="1" t="s">
        <v>199</v>
      </c>
      <c r="F15" s="34" t="s">
        <v>3574</v>
      </c>
      <c r="G15" s="24">
        <v>0.65400000000000003</v>
      </c>
      <c r="H15" s="4" t="s">
        <v>774</v>
      </c>
      <c r="I15" s="1">
        <v>1</v>
      </c>
      <c r="J15" s="36">
        <v>0.06</v>
      </c>
    </row>
    <row r="16" spans="2:10" s="37" customFormat="1" ht="12.75" customHeight="1" x14ac:dyDescent="0.35">
      <c r="B16" s="1">
        <v>502309</v>
      </c>
      <c r="C16" s="1" t="s">
        <v>479</v>
      </c>
      <c r="D16" s="1" t="s">
        <v>116</v>
      </c>
      <c r="E16" s="1">
        <v>320553</v>
      </c>
      <c r="F16" s="34" t="s">
        <v>3552</v>
      </c>
      <c r="G16" s="24">
        <v>0.46</v>
      </c>
      <c r="H16" s="4" t="s">
        <v>774</v>
      </c>
      <c r="I16" s="1">
        <v>1</v>
      </c>
      <c r="J16" s="36">
        <v>0.1</v>
      </c>
    </row>
    <row r="17" spans="2:10" s="37" customFormat="1" ht="12.75" customHeight="1" x14ac:dyDescent="0.35">
      <c r="B17" s="1">
        <v>502321</v>
      </c>
      <c r="C17" s="1" t="s">
        <v>168</v>
      </c>
      <c r="D17" s="1" t="s">
        <v>150</v>
      </c>
      <c r="E17" s="1" t="s">
        <v>169</v>
      </c>
      <c r="F17" s="34" t="s">
        <v>3574</v>
      </c>
      <c r="G17" s="24">
        <v>8.6300000000000008</v>
      </c>
      <c r="H17" s="39" t="s">
        <v>3554</v>
      </c>
      <c r="I17" s="1">
        <v>1535</v>
      </c>
      <c r="J17" s="36">
        <v>0.06</v>
      </c>
    </row>
    <row r="18" spans="2:10" s="37" customFormat="1" ht="12.75" customHeight="1" x14ac:dyDescent="0.35">
      <c r="B18" s="1">
        <v>502327</v>
      </c>
      <c r="C18" s="1" t="s">
        <v>149</v>
      </c>
      <c r="D18" s="1" t="s">
        <v>150</v>
      </c>
      <c r="E18" s="1" t="s">
        <v>151</v>
      </c>
      <c r="F18" s="34" t="s">
        <v>3574</v>
      </c>
      <c r="G18" s="24">
        <v>13.6</v>
      </c>
      <c r="H18" s="39" t="s">
        <v>3554</v>
      </c>
      <c r="I18" s="1">
        <v>305</v>
      </c>
      <c r="J18" s="36">
        <v>0.06</v>
      </c>
    </row>
    <row r="19" spans="2:10" s="37" customFormat="1" ht="12.75" customHeight="1" x14ac:dyDescent="0.35">
      <c r="B19" s="1">
        <v>502345</v>
      </c>
      <c r="C19" s="1" t="s">
        <v>215</v>
      </c>
      <c r="D19" s="1" t="s">
        <v>116</v>
      </c>
      <c r="E19" s="1" t="s">
        <v>216</v>
      </c>
      <c r="F19" s="34" t="s">
        <v>3574</v>
      </c>
      <c r="G19" s="24">
        <v>2.15</v>
      </c>
      <c r="H19" s="1" t="s">
        <v>774</v>
      </c>
      <c r="I19" s="1">
        <v>1</v>
      </c>
      <c r="J19" s="36">
        <v>0.06</v>
      </c>
    </row>
    <row r="20" spans="2:10" s="40" customFormat="1" ht="12.75" customHeight="1" x14ac:dyDescent="0.35">
      <c r="B20" s="1">
        <v>502861</v>
      </c>
      <c r="C20" s="1" t="s">
        <v>136</v>
      </c>
      <c r="D20" s="1" t="s">
        <v>118</v>
      </c>
      <c r="E20" s="1">
        <v>22231</v>
      </c>
      <c r="F20" s="34" t="s">
        <v>3574</v>
      </c>
      <c r="G20" s="24">
        <v>75.099999999999994</v>
      </c>
      <c r="H20" s="39" t="s">
        <v>774</v>
      </c>
      <c r="I20" s="1">
        <v>1</v>
      </c>
      <c r="J20" s="36">
        <v>0.06</v>
      </c>
    </row>
    <row r="21" spans="2:10" s="40" customFormat="1" ht="12.75" customHeight="1" x14ac:dyDescent="0.35">
      <c r="B21" s="1">
        <v>502983</v>
      </c>
      <c r="C21" s="1" t="s">
        <v>237</v>
      </c>
      <c r="D21" s="1" t="s">
        <v>118</v>
      </c>
      <c r="E21" s="1" t="s">
        <v>238</v>
      </c>
      <c r="F21" s="34" t="s">
        <v>3574</v>
      </c>
      <c r="G21" s="24">
        <v>122</v>
      </c>
      <c r="H21" s="1" t="s">
        <v>3557</v>
      </c>
      <c r="I21" s="1">
        <v>1</v>
      </c>
      <c r="J21" s="36">
        <v>0.06</v>
      </c>
    </row>
    <row r="22" spans="2:10" s="37" customFormat="1" ht="12.75" customHeight="1" x14ac:dyDescent="0.35">
      <c r="B22" s="1">
        <v>505944</v>
      </c>
      <c r="C22" s="1" t="s">
        <v>180</v>
      </c>
      <c r="D22" s="1" t="s">
        <v>117</v>
      </c>
      <c r="E22" s="1" t="s">
        <v>181</v>
      </c>
      <c r="F22" s="34" t="s">
        <v>3574</v>
      </c>
      <c r="G22" s="24">
        <v>1.74</v>
      </c>
      <c r="H22" s="39" t="s">
        <v>774</v>
      </c>
      <c r="I22" s="1">
        <v>1000</v>
      </c>
      <c r="J22" s="36">
        <v>0.06</v>
      </c>
    </row>
    <row r="23" spans="2:10" s="37" customFormat="1" ht="12.75" customHeight="1" x14ac:dyDescent="0.35">
      <c r="B23" s="1">
        <v>506206</v>
      </c>
      <c r="C23" s="1" t="s">
        <v>622</v>
      </c>
      <c r="D23" s="1" t="s">
        <v>111</v>
      </c>
      <c r="E23" s="1" t="s">
        <v>623</v>
      </c>
      <c r="F23" s="34" t="s">
        <v>3574</v>
      </c>
      <c r="G23" s="24">
        <v>0.18</v>
      </c>
      <c r="H23" s="39" t="s">
        <v>774</v>
      </c>
      <c r="I23" s="1">
        <v>100</v>
      </c>
      <c r="J23" s="36">
        <v>0.06</v>
      </c>
    </row>
    <row r="24" spans="2:10" s="37" customFormat="1" ht="12.75" customHeight="1" x14ac:dyDescent="0.35">
      <c r="B24" s="1">
        <v>506316</v>
      </c>
      <c r="C24" s="1" t="s">
        <v>482</v>
      </c>
      <c r="D24" s="1" t="s">
        <v>116</v>
      </c>
      <c r="E24" s="1" t="s">
        <v>483</v>
      </c>
      <c r="F24" s="34" t="s">
        <v>3552</v>
      </c>
      <c r="G24" s="24">
        <v>1.49</v>
      </c>
      <c r="H24" s="1" t="s">
        <v>774</v>
      </c>
      <c r="I24" s="1">
        <v>1</v>
      </c>
      <c r="J24" s="36">
        <v>0.1</v>
      </c>
    </row>
    <row r="25" spans="2:10" s="37" customFormat="1" ht="12.75" customHeight="1" x14ac:dyDescent="0.35">
      <c r="B25" s="1">
        <v>507209</v>
      </c>
      <c r="C25" s="1" t="s">
        <v>166</v>
      </c>
      <c r="D25" s="1" t="s">
        <v>150</v>
      </c>
      <c r="E25" s="1" t="s">
        <v>167</v>
      </c>
      <c r="F25" s="34" t="s">
        <v>3574</v>
      </c>
      <c r="G25" s="24">
        <v>9.24</v>
      </c>
      <c r="H25" s="39" t="s">
        <v>3554</v>
      </c>
      <c r="I25" s="1">
        <v>305</v>
      </c>
      <c r="J25" s="36">
        <v>0.06</v>
      </c>
    </row>
    <row r="26" spans="2:10" s="37" customFormat="1" ht="12.75" customHeight="1" x14ac:dyDescent="0.35">
      <c r="B26" s="1">
        <v>507382</v>
      </c>
      <c r="C26" s="1" t="s">
        <v>484</v>
      </c>
      <c r="D26" s="1" t="s">
        <v>116</v>
      </c>
      <c r="E26" s="1" t="s">
        <v>485</v>
      </c>
      <c r="F26" s="34" t="s">
        <v>3552</v>
      </c>
      <c r="G26" s="24">
        <v>2.17</v>
      </c>
      <c r="H26" s="1" t="s">
        <v>774</v>
      </c>
      <c r="I26" s="10">
        <v>111</v>
      </c>
      <c r="J26" s="36">
        <v>0.1</v>
      </c>
    </row>
    <row r="27" spans="2:10" s="37" customFormat="1" ht="12.75" customHeight="1" x14ac:dyDescent="0.35">
      <c r="B27" s="1">
        <v>507656</v>
      </c>
      <c r="C27" s="1" t="s">
        <v>510</v>
      </c>
      <c r="D27" s="1" t="s">
        <v>10</v>
      </c>
      <c r="E27" s="1" t="s">
        <v>510</v>
      </c>
      <c r="F27" s="34" t="s">
        <v>3574</v>
      </c>
      <c r="G27" s="24">
        <f>108.08/100</f>
        <v>1.0808</v>
      </c>
      <c r="H27" s="39" t="s">
        <v>3556</v>
      </c>
      <c r="I27" s="1">
        <v>100</v>
      </c>
      <c r="J27" s="36">
        <v>0.06</v>
      </c>
    </row>
    <row r="28" spans="2:10" s="37" customFormat="1" ht="12.75" customHeight="1" x14ac:dyDescent="0.35">
      <c r="B28" s="1">
        <v>507657</v>
      </c>
      <c r="C28" s="1" t="s">
        <v>511</v>
      </c>
      <c r="D28" s="1" t="s">
        <v>10</v>
      </c>
      <c r="E28" s="1" t="s">
        <v>511</v>
      </c>
      <c r="F28" s="34" t="s">
        <v>3574</v>
      </c>
      <c r="G28" s="24">
        <f>160.18/100</f>
        <v>1.6018000000000001</v>
      </c>
      <c r="H28" s="39" t="s">
        <v>3556</v>
      </c>
      <c r="I28" s="1">
        <v>100</v>
      </c>
      <c r="J28" s="36">
        <v>0.06</v>
      </c>
    </row>
    <row r="29" spans="2:10" s="37" customFormat="1" ht="12.75" customHeight="1" x14ac:dyDescent="0.35">
      <c r="B29" s="1">
        <v>507660</v>
      </c>
      <c r="C29" s="1" t="s">
        <v>512</v>
      </c>
      <c r="D29" s="1" t="s">
        <v>10</v>
      </c>
      <c r="E29" s="1" t="s">
        <v>512</v>
      </c>
      <c r="F29" s="34" t="s">
        <v>3574</v>
      </c>
      <c r="G29" s="24">
        <f>108.08/100</f>
        <v>1.0808</v>
      </c>
      <c r="H29" s="39" t="s">
        <v>3556</v>
      </c>
      <c r="I29" s="1">
        <v>100</v>
      </c>
      <c r="J29" s="36">
        <v>0.06</v>
      </c>
    </row>
    <row r="30" spans="2:10" s="37" customFormat="1" ht="12.75" customHeight="1" x14ac:dyDescent="0.35">
      <c r="B30" s="1">
        <v>507725</v>
      </c>
      <c r="C30" s="1" t="s">
        <v>239</v>
      </c>
      <c r="D30" s="1" t="s">
        <v>118</v>
      </c>
      <c r="E30" s="1">
        <v>56747</v>
      </c>
      <c r="F30" s="34" t="s">
        <v>3574</v>
      </c>
      <c r="G30" s="24">
        <v>67</v>
      </c>
      <c r="H30" s="1" t="s">
        <v>774</v>
      </c>
      <c r="I30" s="1">
        <v>1</v>
      </c>
      <c r="J30" s="36">
        <v>0.06</v>
      </c>
    </row>
    <row r="31" spans="2:10" s="37" customFormat="1" ht="12.75" customHeight="1" x14ac:dyDescent="0.35">
      <c r="B31" s="9">
        <v>509672</v>
      </c>
      <c r="C31" s="9" t="s">
        <v>517</v>
      </c>
      <c r="D31" s="9" t="s">
        <v>9</v>
      </c>
      <c r="E31" s="9" t="s">
        <v>518</v>
      </c>
      <c r="F31" s="34" t="s">
        <v>3574</v>
      </c>
      <c r="G31" s="26">
        <v>1.05</v>
      </c>
      <c r="H31" s="9" t="s">
        <v>774</v>
      </c>
      <c r="I31" s="9">
        <v>100</v>
      </c>
      <c r="J31" s="36">
        <v>0.06</v>
      </c>
    </row>
    <row r="32" spans="2:10" s="37" customFormat="1" ht="12.75" customHeight="1" x14ac:dyDescent="0.35">
      <c r="B32" s="1">
        <v>512107</v>
      </c>
      <c r="C32" s="1" t="s">
        <v>358</v>
      </c>
      <c r="D32" s="1" t="s">
        <v>116</v>
      </c>
      <c r="E32" s="1" t="s">
        <v>359</v>
      </c>
      <c r="F32" s="34" t="s">
        <v>3552</v>
      </c>
      <c r="G32" s="24">
        <v>0.52</v>
      </c>
      <c r="H32" s="9" t="s">
        <v>774</v>
      </c>
      <c r="I32" s="1">
        <v>1</v>
      </c>
      <c r="J32" s="36">
        <v>0.1</v>
      </c>
    </row>
    <row r="33" spans="2:10" s="37" customFormat="1" ht="12.75" customHeight="1" x14ac:dyDescent="0.35">
      <c r="B33" s="1">
        <v>512542</v>
      </c>
      <c r="C33" s="1" t="s">
        <v>346</v>
      </c>
      <c r="D33" s="1" t="s">
        <v>116</v>
      </c>
      <c r="E33" s="1" t="s">
        <v>347</v>
      </c>
      <c r="F33" s="34" t="s">
        <v>3552</v>
      </c>
      <c r="G33" s="24">
        <v>0.21</v>
      </c>
      <c r="H33" s="9" t="s">
        <v>774</v>
      </c>
      <c r="I33" s="1">
        <v>1</v>
      </c>
      <c r="J33" s="36">
        <v>0.1</v>
      </c>
    </row>
    <row r="34" spans="2:10" s="37" customFormat="1" ht="12.75" customHeight="1" x14ac:dyDescent="0.35">
      <c r="B34" s="1">
        <v>512543</v>
      </c>
      <c r="C34" s="1" t="s">
        <v>348</v>
      </c>
      <c r="D34" s="1" t="s">
        <v>116</v>
      </c>
      <c r="E34" s="1" t="s">
        <v>349</v>
      </c>
      <c r="F34" s="34" t="s">
        <v>3552</v>
      </c>
      <c r="G34" s="24">
        <v>0.2</v>
      </c>
      <c r="H34" s="9" t="s">
        <v>774</v>
      </c>
      <c r="I34" s="1">
        <v>1</v>
      </c>
      <c r="J34" s="36">
        <v>0.1</v>
      </c>
    </row>
    <row r="35" spans="2:10" s="37" customFormat="1" ht="12.75" customHeight="1" x14ac:dyDescent="0.35">
      <c r="B35" s="1">
        <v>512549</v>
      </c>
      <c r="C35" s="1" t="s">
        <v>350</v>
      </c>
      <c r="D35" s="1" t="s">
        <v>116</v>
      </c>
      <c r="E35" s="1" t="s">
        <v>351</v>
      </c>
      <c r="F35" s="34" t="s">
        <v>3552</v>
      </c>
      <c r="G35" s="24">
        <v>0.3</v>
      </c>
      <c r="H35" s="9" t="s">
        <v>774</v>
      </c>
      <c r="I35" s="1">
        <v>1</v>
      </c>
      <c r="J35" s="36">
        <v>0.1</v>
      </c>
    </row>
    <row r="36" spans="2:10" s="37" customFormat="1" ht="12.75" customHeight="1" x14ac:dyDescent="0.35">
      <c r="B36" s="1">
        <v>512550</v>
      </c>
      <c r="C36" s="1" t="s">
        <v>354</v>
      </c>
      <c r="D36" s="1" t="s">
        <v>116</v>
      </c>
      <c r="E36" s="1" t="s">
        <v>355</v>
      </c>
      <c r="F36" s="34" t="s">
        <v>3552</v>
      </c>
      <c r="G36" s="24">
        <v>0.36</v>
      </c>
      <c r="H36" s="9" t="s">
        <v>774</v>
      </c>
      <c r="I36" s="1">
        <v>1</v>
      </c>
      <c r="J36" s="36">
        <v>0.1</v>
      </c>
    </row>
    <row r="37" spans="2:10" s="37" customFormat="1" ht="12.75" customHeight="1" x14ac:dyDescent="0.35">
      <c r="B37" s="1">
        <v>513061</v>
      </c>
      <c r="C37" s="1" t="s">
        <v>391</v>
      </c>
      <c r="D37" s="1" t="s">
        <v>10</v>
      </c>
      <c r="E37" s="1" t="s">
        <v>392</v>
      </c>
      <c r="F37" s="34" t="s">
        <v>3574</v>
      </c>
      <c r="G37" s="24">
        <v>1.55</v>
      </c>
      <c r="H37" s="1" t="s">
        <v>774</v>
      </c>
      <c r="I37" s="1">
        <v>100</v>
      </c>
      <c r="J37" s="36">
        <v>0.06</v>
      </c>
    </row>
    <row r="38" spans="2:10" s="37" customFormat="1" ht="12.75" customHeight="1" x14ac:dyDescent="0.35">
      <c r="B38" s="1">
        <v>513234</v>
      </c>
      <c r="C38" s="1" t="s">
        <v>360</v>
      </c>
      <c r="D38" s="1" t="s">
        <v>116</v>
      </c>
      <c r="E38" s="1" t="s">
        <v>361</v>
      </c>
      <c r="F38" s="34" t="s">
        <v>3552</v>
      </c>
      <c r="G38" s="24">
        <v>0.46</v>
      </c>
      <c r="H38" s="41" t="s">
        <v>774</v>
      </c>
      <c r="I38" s="1">
        <v>1</v>
      </c>
      <c r="J38" s="36">
        <v>0.1</v>
      </c>
    </row>
    <row r="39" spans="2:10" s="37" customFormat="1" x14ac:dyDescent="0.35">
      <c r="B39" s="9">
        <v>514407</v>
      </c>
      <c r="C39" s="9" t="s">
        <v>235</v>
      </c>
      <c r="D39" s="9" t="s">
        <v>9</v>
      </c>
      <c r="E39" s="9" t="s">
        <v>236</v>
      </c>
      <c r="F39" s="34" t="s">
        <v>3574</v>
      </c>
      <c r="G39" s="26">
        <f>130/100</f>
        <v>1.3</v>
      </c>
      <c r="H39" s="9" t="s">
        <v>774</v>
      </c>
      <c r="I39" s="9">
        <v>100</v>
      </c>
      <c r="J39" s="36">
        <v>0.06</v>
      </c>
    </row>
    <row r="40" spans="2:10" s="37" customFormat="1" ht="12.75" customHeight="1" x14ac:dyDescent="0.35">
      <c r="B40" s="1">
        <v>514408</v>
      </c>
      <c r="C40" s="1" t="s">
        <v>141</v>
      </c>
      <c r="D40" s="1" t="s">
        <v>111</v>
      </c>
      <c r="E40" s="1" t="s">
        <v>142</v>
      </c>
      <c r="F40" s="34" t="s">
        <v>3574</v>
      </c>
      <c r="G40" s="24">
        <v>0.315</v>
      </c>
      <c r="H40" s="1" t="s">
        <v>774</v>
      </c>
      <c r="I40" s="1">
        <v>1</v>
      </c>
      <c r="J40" s="36">
        <v>0.06</v>
      </c>
    </row>
    <row r="41" spans="2:10" s="37" customFormat="1" ht="12.75" customHeight="1" x14ac:dyDescent="0.35">
      <c r="B41" s="9">
        <v>514532</v>
      </c>
      <c r="C41" s="9" t="s">
        <v>555</v>
      </c>
      <c r="D41" s="9" t="s">
        <v>9</v>
      </c>
      <c r="E41" s="9" t="s">
        <v>556</v>
      </c>
      <c r="F41" s="34" t="s">
        <v>3574</v>
      </c>
      <c r="G41" s="26">
        <f>0.25</f>
        <v>0.25</v>
      </c>
      <c r="H41" s="1" t="s">
        <v>774</v>
      </c>
      <c r="I41" s="9">
        <v>100</v>
      </c>
      <c r="J41" s="36">
        <v>0.06</v>
      </c>
    </row>
    <row r="42" spans="2:10" s="37" customFormat="1" ht="12.75" customHeight="1" x14ac:dyDescent="0.35">
      <c r="B42" s="9">
        <v>514533</v>
      </c>
      <c r="C42" s="9" t="s">
        <v>559</v>
      </c>
      <c r="D42" s="9" t="s">
        <v>9</v>
      </c>
      <c r="E42" s="9" t="s">
        <v>560</v>
      </c>
      <c r="F42" s="34" t="s">
        <v>3574</v>
      </c>
      <c r="G42" s="26">
        <v>0.221</v>
      </c>
      <c r="H42" s="1" t="s">
        <v>774</v>
      </c>
      <c r="I42" s="9">
        <v>100</v>
      </c>
      <c r="J42" s="36">
        <v>0.06</v>
      </c>
    </row>
    <row r="43" spans="2:10" s="37" customFormat="1" x14ac:dyDescent="0.35">
      <c r="B43" s="9">
        <v>514534</v>
      </c>
      <c r="C43" s="9" t="s">
        <v>561</v>
      </c>
      <c r="D43" s="9" t="s">
        <v>9</v>
      </c>
      <c r="E43" s="9" t="s">
        <v>562</v>
      </c>
      <c r="F43" s="34" t="s">
        <v>3574</v>
      </c>
      <c r="G43" s="26">
        <v>0.64400000000000002</v>
      </c>
      <c r="H43" s="1" t="s">
        <v>774</v>
      </c>
      <c r="I43" s="9">
        <v>100</v>
      </c>
      <c r="J43" s="36">
        <v>0.06</v>
      </c>
    </row>
    <row r="44" spans="2:10" s="37" customFormat="1" ht="12.75" customHeight="1" x14ac:dyDescent="0.35">
      <c r="B44" s="1">
        <v>514537</v>
      </c>
      <c r="C44" s="1" t="s">
        <v>526</v>
      </c>
      <c r="D44" s="1" t="s">
        <v>111</v>
      </c>
      <c r="E44" s="1" t="s">
        <v>527</v>
      </c>
      <c r="F44" s="34" t="s">
        <v>3574</v>
      </c>
      <c r="G44" s="24">
        <v>7.0000000000000007E-2</v>
      </c>
      <c r="H44" s="1" t="s">
        <v>774</v>
      </c>
      <c r="I44" s="1">
        <v>100</v>
      </c>
      <c r="J44" s="36">
        <v>0.06</v>
      </c>
    </row>
    <row r="45" spans="2:10" s="37" customFormat="1" x14ac:dyDescent="0.35">
      <c r="B45" s="9">
        <v>514541</v>
      </c>
      <c r="C45" s="9" t="s">
        <v>603</v>
      </c>
      <c r="D45" s="9" t="s">
        <v>9</v>
      </c>
      <c r="E45" s="9" t="s">
        <v>596</v>
      </c>
      <c r="F45" s="34" t="s">
        <v>3574</v>
      </c>
      <c r="G45" s="26">
        <v>0.33400000000000002</v>
      </c>
      <c r="H45" s="9" t="s">
        <v>774</v>
      </c>
      <c r="I45" s="9">
        <v>100</v>
      </c>
      <c r="J45" s="36">
        <v>0.06</v>
      </c>
    </row>
    <row r="46" spans="2:10" s="37" customFormat="1" ht="12.75" customHeight="1" x14ac:dyDescent="0.35">
      <c r="B46" s="1">
        <v>514543</v>
      </c>
      <c r="C46" s="1" t="s">
        <v>614</v>
      </c>
      <c r="D46" s="1" t="s">
        <v>111</v>
      </c>
      <c r="E46" s="1" t="s">
        <v>615</v>
      </c>
      <c r="F46" s="34" t="s">
        <v>3574</v>
      </c>
      <c r="G46" s="24">
        <v>0.02</v>
      </c>
      <c r="H46" s="9" t="s">
        <v>774</v>
      </c>
      <c r="I46" s="1">
        <v>100</v>
      </c>
      <c r="J46" s="36">
        <v>0.06</v>
      </c>
    </row>
    <row r="47" spans="2:10" s="37" customFormat="1" x14ac:dyDescent="0.35">
      <c r="B47" s="9">
        <v>514546</v>
      </c>
      <c r="C47" s="9" t="s">
        <v>539</v>
      </c>
      <c r="D47" s="9" t="s">
        <v>9</v>
      </c>
      <c r="E47" s="9" t="s">
        <v>540</v>
      </c>
      <c r="F47" s="34" t="s">
        <v>3574</v>
      </c>
      <c r="G47" s="26">
        <v>0.18</v>
      </c>
      <c r="H47" s="9" t="s">
        <v>774</v>
      </c>
      <c r="I47" s="9">
        <v>100</v>
      </c>
      <c r="J47" s="36">
        <v>0.06</v>
      </c>
    </row>
    <row r="48" spans="2:10" s="37" customFormat="1" x14ac:dyDescent="0.35">
      <c r="B48" s="9">
        <v>514548</v>
      </c>
      <c r="C48" s="9" t="s">
        <v>583</v>
      </c>
      <c r="D48" s="9" t="s">
        <v>9</v>
      </c>
      <c r="E48" s="9" t="s">
        <v>584</v>
      </c>
      <c r="F48" s="34" t="s">
        <v>3574</v>
      </c>
      <c r="G48" s="26">
        <f>0.11</f>
        <v>0.11</v>
      </c>
      <c r="H48" s="9" t="s">
        <v>774</v>
      </c>
      <c r="I48" s="9">
        <v>100</v>
      </c>
      <c r="J48" s="36">
        <v>0.06</v>
      </c>
    </row>
    <row r="49" spans="2:10" s="37" customFormat="1" x14ac:dyDescent="0.35">
      <c r="B49" s="9">
        <v>514549</v>
      </c>
      <c r="C49" s="9" t="s">
        <v>573</v>
      </c>
      <c r="D49" s="9" t="s">
        <v>9</v>
      </c>
      <c r="E49" s="9" t="s">
        <v>574</v>
      </c>
      <c r="F49" s="34" t="s">
        <v>3574</v>
      </c>
      <c r="G49" s="26">
        <v>0.20499999999999999</v>
      </c>
      <c r="H49" s="9" t="s">
        <v>774</v>
      </c>
      <c r="I49" s="9">
        <v>100</v>
      </c>
      <c r="J49" s="36">
        <v>0.06</v>
      </c>
    </row>
    <row r="50" spans="2:10" s="37" customFormat="1" x14ac:dyDescent="0.35">
      <c r="B50" s="9">
        <v>514550</v>
      </c>
      <c r="C50" s="9" t="s">
        <v>575</v>
      </c>
      <c r="D50" s="9" t="s">
        <v>9</v>
      </c>
      <c r="E50" s="9" t="s">
        <v>576</v>
      </c>
      <c r="F50" s="34" t="s">
        <v>3574</v>
      </c>
      <c r="G50" s="26">
        <v>0.21199999999999999</v>
      </c>
      <c r="H50" s="9" t="s">
        <v>774</v>
      </c>
      <c r="I50" s="9">
        <v>100</v>
      </c>
      <c r="J50" s="36">
        <v>0.06</v>
      </c>
    </row>
    <row r="51" spans="2:10" s="37" customFormat="1" x14ac:dyDescent="0.35">
      <c r="B51" s="9">
        <v>514551</v>
      </c>
      <c r="C51" s="9" t="s">
        <v>579</v>
      </c>
      <c r="D51" s="9" t="s">
        <v>9</v>
      </c>
      <c r="E51" s="9" t="s">
        <v>580</v>
      </c>
      <c r="F51" s="34" t="s">
        <v>3574</v>
      </c>
      <c r="G51" s="26">
        <v>0.191</v>
      </c>
      <c r="H51" s="9" t="s">
        <v>774</v>
      </c>
      <c r="I51" s="9">
        <v>100</v>
      </c>
      <c r="J51" s="36">
        <v>0.06</v>
      </c>
    </row>
    <row r="52" spans="2:10" s="37" customFormat="1" ht="12.75" customHeight="1" x14ac:dyDescent="0.35">
      <c r="B52" s="9">
        <v>514553</v>
      </c>
      <c r="C52" s="9" t="s">
        <v>537</v>
      </c>
      <c r="D52" s="9" t="s">
        <v>9</v>
      </c>
      <c r="E52" s="9" t="s">
        <v>538</v>
      </c>
      <c r="F52" s="34" t="s">
        <v>3574</v>
      </c>
      <c r="G52" s="26">
        <v>8.5999999999999993E-2</v>
      </c>
      <c r="H52" s="9" t="s">
        <v>774</v>
      </c>
      <c r="I52" s="9">
        <v>100</v>
      </c>
      <c r="J52" s="36">
        <v>0.06</v>
      </c>
    </row>
    <row r="53" spans="2:10" s="37" customFormat="1" x14ac:dyDescent="0.35">
      <c r="B53" s="9">
        <v>514555</v>
      </c>
      <c r="C53" s="9" t="s">
        <v>531</v>
      </c>
      <c r="D53" s="9" t="s">
        <v>9</v>
      </c>
      <c r="E53" s="9" t="s">
        <v>532</v>
      </c>
      <c r="F53" s="34" t="s">
        <v>3574</v>
      </c>
      <c r="G53" s="26">
        <v>0.126</v>
      </c>
      <c r="H53" s="9" t="s">
        <v>774</v>
      </c>
      <c r="I53" s="9">
        <v>100</v>
      </c>
      <c r="J53" s="36">
        <v>0.06</v>
      </c>
    </row>
    <row r="54" spans="2:10" s="37" customFormat="1" x14ac:dyDescent="0.35">
      <c r="B54" s="9">
        <v>514558</v>
      </c>
      <c r="C54" s="9" t="s">
        <v>618</v>
      </c>
      <c r="D54" s="9" t="s">
        <v>9</v>
      </c>
      <c r="E54" s="9" t="s">
        <v>619</v>
      </c>
      <c r="F54" s="34" t="s">
        <v>3574</v>
      </c>
      <c r="G54" s="26">
        <v>5.3999999999999999E-2</v>
      </c>
      <c r="H54" s="9" t="s">
        <v>774</v>
      </c>
      <c r="I54" s="9">
        <v>100</v>
      </c>
      <c r="J54" s="36">
        <v>0.06</v>
      </c>
    </row>
    <row r="55" spans="2:10" s="37" customFormat="1" ht="12.75" customHeight="1" x14ac:dyDescent="0.35">
      <c r="B55" s="1">
        <v>514559</v>
      </c>
      <c r="C55" s="1" t="s">
        <v>612</v>
      </c>
      <c r="D55" s="1" t="s">
        <v>111</v>
      </c>
      <c r="E55" s="1" t="s">
        <v>613</v>
      </c>
      <c r="F55" s="34" t="s">
        <v>3574</v>
      </c>
      <c r="G55" s="24">
        <v>0.04</v>
      </c>
      <c r="H55" s="9" t="s">
        <v>774</v>
      </c>
      <c r="I55" s="1">
        <v>100</v>
      </c>
      <c r="J55" s="36">
        <v>0.06</v>
      </c>
    </row>
    <row r="56" spans="2:10" s="37" customFormat="1" x14ac:dyDescent="0.35">
      <c r="B56" s="9">
        <v>514565</v>
      </c>
      <c r="C56" s="9" t="s">
        <v>585</v>
      </c>
      <c r="D56" s="9" t="s">
        <v>9</v>
      </c>
      <c r="E56" s="9" t="s">
        <v>586</v>
      </c>
      <c r="F56" s="34" t="s">
        <v>3574</v>
      </c>
      <c r="G56" s="26">
        <v>0.20399999999999999</v>
      </c>
      <c r="H56" s="9" t="s">
        <v>774</v>
      </c>
      <c r="I56" s="9">
        <v>100</v>
      </c>
      <c r="J56" s="36">
        <v>0.06</v>
      </c>
    </row>
    <row r="57" spans="2:10" s="37" customFormat="1" ht="12.75" customHeight="1" x14ac:dyDescent="0.35">
      <c r="B57" s="9">
        <v>514566</v>
      </c>
      <c r="C57" s="9" t="s">
        <v>589</v>
      </c>
      <c r="D57" s="9" t="s">
        <v>9</v>
      </c>
      <c r="E57" s="9" t="s">
        <v>590</v>
      </c>
      <c r="F57" s="34" t="s">
        <v>3574</v>
      </c>
      <c r="G57" s="26">
        <v>0.22900000000000001</v>
      </c>
      <c r="H57" s="9" t="s">
        <v>774</v>
      </c>
      <c r="I57" s="9">
        <v>100</v>
      </c>
      <c r="J57" s="36">
        <v>0.06</v>
      </c>
    </row>
    <row r="58" spans="2:10" s="37" customFormat="1" x14ac:dyDescent="0.35">
      <c r="B58" s="9">
        <v>514567</v>
      </c>
      <c r="C58" s="9" t="s">
        <v>593</v>
      </c>
      <c r="D58" s="9" t="s">
        <v>9</v>
      </c>
      <c r="E58" s="9" t="s">
        <v>594</v>
      </c>
      <c r="F58" s="34" t="s">
        <v>3574</v>
      </c>
      <c r="G58" s="26">
        <v>0.19400000000000001</v>
      </c>
      <c r="H58" s="9" t="s">
        <v>774</v>
      </c>
      <c r="I58" s="9">
        <v>100</v>
      </c>
      <c r="J58" s="36">
        <v>0.06</v>
      </c>
    </row>
    <row r="59" spans="2:10" s="37" customFormat="1" x14ac:dyDescent="0.35">
      <c r="B59" s="9">
        <v>514570</v>
      </c>
      <c r="C59" s="9" t="s">
        <v>604</v>
      </c>
      <c r="D59" s="9" t="s">
        <v>9</v>
      </c>
      <c r="E59" s="9" t="s">
        <v>605</v>
      </c>
      <c r="F59" s="34" t="s">
        <v>3574</v>
      </c>
      <c r="G59" s="26">
        <v>9.9000000000000005E-2</v>
      </c>
      <c r="H59" s="9" t="s">
        <v>774</v>
      </c>
      <c r="I59" s="9">
        <v>100</v>
      </c>
      <c r="J59" s="36">
        <v>0.06</v>
      </c>
    </row>
    <row r="60" spans="2:10" s="37" customFormat="1" ht="12.75" customHeight="1" x14ac:dyDescent="0.35">
      <c r="B60" s="1">
        <v>514572</v>
      </c>
      <c r="C60" s="1" t="s">
        <v>616</v>
      </c>
      <c r="D60" s="1" t="s">
        <v>111</v>
      </c>
      <c r="E60" s="1" t="s">
        <v>617</v>
      </c>
      <c r="F60" s="34" t="s">
        <v>3574</v>
      </c>
      <c r="G60" s="24">
        <v>0.02</v>
      </c>
      <c r="H60" s="9" t="s">
        <v>774</v>
      </c>
      <c r="I60" s="1">
        <v>100</v>
      </c>
      <c r="J60" s="36">
        <v>0.06</v>
      </c>
    </row>
    <row r="61" spans="2:10" s="37" customFormat="1" ht="12.75" customHeight="1" x14ac:dyDescent="0.35">
      <c r="B61" s="9">
        <v>514573</v>
      </c>
      <c r="C61" s="9" t="s">
        <v>610</v>
      </c>
      <c r="D61" s="9" t="s">
        <v>9</v>
      </c>
      <c r="E61" s="9" t="s">
        <v>611</v>
      </c>
      <c r="F61" s="34" t="s">
        <v>3574</v>
      </c>
      <c r="G61" s="26">
        <v>3.5999999999999997E-2</v>
      </c>
      <c r="H61" s="9" t="s">
        <v>774</v>
      </c>
      <c r="I61" s="9">
        <v>200</v>
      </c>
      <c r="J61" s="36">
        <v>0.06</v>
      </c>
    </row>
    <row r="62" spans="2:10" s="37" customFormat="1" ht="12.75" customHeight="1" x14ac:dyDescent="0.35">
      <c r="B62" s="1">
        <v>514576</v>
      </c>
      <c r="C62" s="1" t="s">
        <v>599</v>
      </c>
      <c r="D62" s="1" t="s">
        <v>111</v>
      </c>
      <c r="E62" s="1" t="s">
        <v>600</v>
      </c>
      <c r="F62" s="34" t="s">
        <v>3574</v>
      </c>
      <c r="G62" s="24">
        <v>0.4</v>
      </c>
      <c r="H62" s="9" t="s">
        <v>774</v>
      </c>
      <c r="I62" s="1">
        <v>100</v>
      </c>
      <c r="J62" s="36">
        <v>0.06</v>
      </c>
    </row>
    <row r="63" spans="2:10" s="37" customFormat="1" ht="12.75" customHeight="1" x14ac:dyDescent="0.35">
      <c r="B63" s="1">
        <v>514606</v>
      </c>
      <c r="C63" s="1" t="s">
        <v>524</v>
      </c>
      <c r="D63" s="1" t="s">
        <v>111</v>
      </c>
      <c r="E63" s="1" t="s">
        <v>525</v>
      </c>
      <c r="F63" s="34" t="s">
        <v>3574</v>
      </c>
      <c r="G63" s="24">
        <v>0.08</v>
      </c>
      <c r="H63" s="9" t="s">
        <v>774</v>
      </c>
      <c r="I63" s="1">
        <v>100</v>
      </c>
      <c r="J63" s="36">
        <v>0.06</v>
      </c>
    </row>
    <row r="64" spans="2:10" s="37" customFormat="1" ht="12.75" customHeight="1" x14ac:dyDescent="0.35">
      <c r="B64" s="1">
        <v>514625</v>
      </c>
      <c r="C64" s="1" t="s">
        <v>520</v>
      </c>
      <c r="D64" s="1" t="s">
        <v>111</v>
      </c>
      <c r="E64" s="1" t="s">
        <v>521</v>
      </c>
      <c r="F64" s="34" t="s">
        <v>3574</v>
      </c>
      <c r="G64" s="24">
        <v>0.44</v>
      </c>
      <c r="H64" s="9" t="s">
        <v>774</v>
      </c>
      <c r="I64" s="1">
        <v>100</v>
      </c>
      <c r="J64" s="36">
        <v>0.06</v>
      </c>
    </row>
    <row r="65" spans="2:10" s="37" customFormat="1" x14ac:dyDescent="0.35">
      <c r="B65" s="9">
        <v>514640</v>
      </c>
      <c r="C65" s="9" t="s">
        <v>608</v>
      </c>
      <c r="D65" s="9" t="s">
        <v>9</v>
      </c>
      <c r="E65" s="9" t="s">
        <v>609</v>
      </c>
      <c r="F65" s="34" t="s">
        <v>3574</v>
      </c>
      <c r="G65" s="26">
        <v>0.105</v>
      </c>
      <c r="H65" s="9" t="s">
        <v>774</v>
      </c>
      <c r="I65" s="9">
        <v>100</v>
      </c>
      <c r="J65" s="36">
        <v>0.06</v>
      </c>
    </row>
    <row r="66" spans="2:10" s="37" customFormat="1" x14ac:dyDescent="0.35">
      <c r="B66" s="9">
        <v>514682</v>
      </c>
      <c r="C66" s="9" t="s">
        <v>620</v>
      </c>
      <c r="D66" s="9" t="s">
        <v>9</v>
      </c>
      <c r="E66" s="9" t="s">
        <v>621</v>
      </c>
      <c r="F66" s="34" t="s">
        <v>3574</v>
      </c>
      <c r="G66" s="26">
        <v>0.23100000000000001</v>
      </c>
      <c r="H66" s="9" t="s">
        <v>774</v>
      </c>
      <c r="I66" s="9">
        <v>100</v>
      </c>
      <c r="J66" s="36">
        <v>0.06</v>
      </c>
    </row>
    <row r="67" spans="2:10" s="37" customFormat="1" ht="12.75" customHeight="1" x14ac:dyDescent="0.35">
      <c r="B67" s="1">
        <v>514684</v>
      </c>
      <c r="C67" s="1" t="s">
        <v>352</v>
      </c>
      <c r="D67" s="1" t="s">
        <v>116</v>
      </c>
      <c r="E67" s="1" t="s">
        <v>353</v>
      </c>
      <c r="F67" s="34" t="s">
        <v>3552</v>
      </c>
      <c r="G67" s="24">
        <v>0.43</v>
      </c>
      <c r="H67" s="9" t="s">
        <v>774</v>
      </c>
      <c r="I67" s="1">
        <v>1</v>
      </c>
      <c r="J67" s="36">
        <v>0.1</v>
      </c>
    </row>
    <row r="68" spans="2:10" s="37" customFormat="1" x14ac:dyDescent="0.35">
      <c r="B68" s="9">
        <v>514701</v>
      </c>
      <c r="C68" s="9" t="s">
        <v>557</v>
      </c>
      <c r="D68" s="9" t="s">
        <v>9</v>
      </c>
      <c r="E68" s="9" t="s">
        <v>558</v>
      </c>
      <c r="F68" s="34" t="s">
        <v>3574</v>
      </c>
      <c r="G68" s="26">
        <v>0.126</v>
      </c>
      <c r="H68" s="9" t="s">
        <v>774</v>
      </c>
      <c r="I68" s="9">
        <v>100</v>
      </c>
      <c r="J68" s="36">
        <v>0.06</v>
      </c>
    </row>
    <row r="69" spans="2:10" s="37" customFormat="1" x14ac:dyDescent="0.35">
      <c r="B69" s="9">
        <v>514702</v>
      </c>
      <c r="C69" s="9" t="s">
        <v>563</v>
      </c>
      <c r="D69" s="9" t="s">
        <v>9</v>
      </c>
      <c r="E69" s="9" t="s">
        <v>564</v>
      </c>
      <c r="F69" s="34" t="s">
        <v>3574</v>
      </c>
      <c r="G69" s="26">
        <v>0.16500000000000001</v>
      </c>
      <c r="H69" s="9" t="s">
        <v>774</v>
      </c>
      <c r="I69" s="9">
        <v>100</v>
      </c>
      <c r="J69" s="36">
        <v>0.06</v>
      </c>
    </row>
    <row r="70" spans="2:10" s="37" customFormat="1" ht="12.75" customHeight="1" x14ac:dyDescent="0.35">
      <c r="B70" s="9">
        <v>514704</v>
      </c>
      <c r="C70" s="9" t="s">
        <v>565</v>
      </c>
      <c r="D70" s="9" t="s">
        <v>9</v>
      </c>
      <c r="E70" s="9" t="s">
        <v>566</v>
      </c>
      <c r="F70" s="34" t="s">
        <v>3574</v>
      </c>
      <c r="G70" s="26">
        <v>0.158</v>
      </c>
      <c r="H70" s="9" t="s">
        <v>774</v>
      </c>
      <c r="I70" s="9">
        <v>100</v>
      </c>
      <c r="J70" s="36">
        <v>0.06</v>
      </c>
    </row>
    <row r="71" spans="2:10" s="37" customFormat="1" ht="12.75" customHeight="1" x14ac:dyDescent="0.35">
      <c r="B71" s="9">
        <v>514705</v>
      </c>
      <c r="C71" s="9" t="s">
        <v>571</v>
      </c>
      <c r="D71" s="9" t="s">
        <v>9</v>
      </c>
      <c r="E71" s="9" t="s">
        <v>572</v>
      </c>
      <c r="F71" s="34" t="s">
        <v>3574</v>
      </c>
      <c r="G71" s="26">
        <v>0.107</v>
      </c>
      <c r="H71" s="9" t="s">
        <v>774</v>
      </c>
      <c r="I71" s="9">
        <v>100</v>
      </c>
      <c r="J71" s="36">
        <v>0.06</v>
      </c>
    </row>
    <row r="72" spans="2:10" s="37" customFormat="1" x14ac:dyDescent="0.35">
      <c r="B72" s="9">
        <v>514706</v>
      </c>
      <c r="C72" s="9" t="s">
        <v>577</v>
      </c>
      <c r="D72" s="9" t="s">
        <v>9</v>
      </c>
      <c r="E72" s="9" t="s">
        <v>578</v>
      </c>
      <c r="F72" s="34" t="s">
        <v>3574</v>
      </c>
      <c r="G72" s="26">
        <v>0.191</v>
      </c>
      <c r="H72" s="9" t="s">
        <v>774</v>
      </c>
      <c r="I72" s="9">
        <v>100</v>
      </c>
      <c r="J72" s="36">
        <v>0.06</v>
      </c>
    </row>
    <row r="73" spans="2:10" s="37" customFormat="1" ht="12.75" customHeight="1" x14ac:dyDescent="0.35">
      <c r="B73" s="1">
        <v>514733</v>
      </c>
      <c r="C73" s="1" t="s">
        <v>362</v>
      </c>
      <c r="D73" s="1" t="s">
        <v>116</v>
      </c>
      <c r="E73" s="1" t="s">
        <v>363</v>
      </c>
      <c r="F73" s="34" t="s">
        <v>3552</v>
      </c>
      <c r="G73" s="24">
        <v>0.21</v>
      </c>
      <c r="H73" s="9" t="s">
        <v>774</v>
      </c>
      <c r="I73" s="1">
        <v>1</v>
      </c>
      <c r="J73" s="36">
        <v>0.1</v>
      </c>
    </row>
    <row r="74" spans="2:10" s="37" customFormat="1" ht="12.75" customHeight="1" x14ac:dyDescent="0.35">
      <c r="B74" s="1">
        <v>514734</v>
      </c>
      <c r="C74" s="1" t="s">
        <v>364</v>
      </c>
      <c r="D74" s="1" t="s">
        <v>116</v>
      </c>
      <c r="E74" s="1" t="s">
        <v>365</v>
      </c>
      <c r="F74" s="34" t="s">
        <v>3552</v>
      </c>
      <c r="G74" s="24">
        <v>0.21</v>
      </c>
      <c r="H74" s="9" t="s">
        <v>774</v>
      </c>
      <c r="I74" s="1">
        <v>1</v>
      </c>
      <c r="J74" s="36">
        <v>0.1</v>
      </c>
    </row>
    <row r="75" spans="2:10" s="37" customFormat="1" x14ac:dyDescent="0.35">
      <c r="B75" s="9">
        <v>514743</v>
      </c>
      <c r="C75" s="9" t="s">
        <v>528</v>
      </c>
      <c r="D75" s="9" t="s">
        <v>9</v>
      </c>
      <c r="E75" s="9" t="s">
        <v>529</v>
      </c>
      <c r="F75" s="34" t="s">
        <v>3574</v>
      </c>
      <c r="G75" s="26">
        <v>0.13800000000000001</v>
      </c>
      <c r="H75" s="9" t="s">
        <v>774</v>
      </c>
      <c r="I75" s="9">
        <v>100</v>
      </c>
      <c r="J75" s="36">
        <v>0.06</v>
      </c>
    </row>
    <row r="76" spans="2:10" s="37" customFormat="1" ht="12.75" customHeight="1" x14ac:dyDescent="0.35">
      <c r="B76" s="1">
        <v>514746</v>
      </c>
      <c r="C76" s="1" t="s">
        <v>240</v>
      </c>
      <c r="D76" s="1" t="s">
        <v>7</v>
      </c>
      <c r="E76" s="1" t="s">
        <v>241</v>
      </c>
      <c r="F76" s="34" t="s">
        <v>3553</v>
      </c>
      <c r="G76" s="24">
        <v>0.20799999999999999</v>
      </c>
      <c r="H76" s="39" t="s">
        <v>774</v>
      </c>
      <c r="I76" s="1">
        <v>100</v>
      </c>
      <c r="J76" s="36">
        <v>0.1</v>
      </c>
    </row>
    <row r="77" spans="2:10" s="37" customFormat="1" ht="12.75" customHeight="1" x14ac:dyDescent="0.35">
      <c r="B77" s="1">
        <v>514922</v>
      </c>
      <c r="C77" s="1" t="s">
        <v>545</v>
      </c>
      <c r="D77" s="1" t="s">
        <v>111</v>
      </c>
      <c r="E77" s="1" t="s">
        <v>546</v>
      </c>
      <c r="F77" s="34" t="s">
        <v>3574</v>
      </c>
      <c r="G77" s="24">
        <v>0.6</v>
      </c>
      <c r="H77" s="39" t="s">
        <v>774</v>
      </c>
      <c r="I77" s="1">
        <v>100</v>
      </c>
      <c r="J77" s="36">
        <v>0.06</v>
      </c>
    </row>
    <row r="78" spans="2:10" s="37" customFormat="1" ht="12.75" customHeight="1" x14ac:dyDescent="0.35">
      <c r="B78" s="1">
        <v>515478</v>
      </c>
      <c r="C78" s="1" t="s">
        <v>377</v>
      </c>
      <c r="D78" s="1" t="s">
        <v>116</v>
      </c>
      <c r="E78" s="1" t="s">
        <v>378</v>
      </c>
      <c r="F78" s="34" t="s">
        <v>3552</v>
      </c>
      <c r="G78" s="24">
        <v>0.46</v>
      </c>
      <c r="H78" s="39" t="s">
        <v>774</v>
      </c>
      <c r="I78" s="1">
        <v>1</v>
      </c>
      <c r="J78" s="36">
        <v>0.1</v>
      </c>
    </row>
    <row r="79" spans="2:10" s="37" customFormat="1" ht="12.75" customHeight="1" x14ac:dyDescent="0.35">
      <c r="B79" s="1">
        <v>515479</v>
      </c>
      <c r="C79" s="1" t="s">
        <v>379</v>
      </c>
      <c r="D79" s="1" t="s">
        <v>116</v>
      </c>
      <c r="E79" s="1" t="s">
        <v>380</v>
      </c>
      <c r="F79" s="34" t="s">
        <v>3552</v>
      </c>
      <c r="G79" s="24">
        <v>0.46</v>
      </c>
      <c r="H79" s="39" t="s">
        <v>774</v>
      </c>
      <c r="I79" s="1">
        <v>1</v>
      </c>
      <c r="J79" s="36">
        <v>0.1</v>
      </c>
    </row>
    <row r="80" spans="2:10" s="37" customFormat="1" ht="12.75" customHeight="1" x14ac:dyDescent="0.35">
      <c r="B80" s="1">
        <v>515504</v>
      </c>
      <c r="C80" s="1" t="s">
        <v>375</v>
      </c>
      <c r="D80" s="1" t="s">
        <v>116</v>
      </c>
      <c r="E80" s="1" t="s">
        <v>376</v>
      </c>
      <c r="F80" s="34" t="s">
        <v>3552</v>
      </c>
      <c r="G80" s="24">
        <v>0.73</v>
      </c>
      <c r="H80" s="39" t="s">
        <v>774</v>
      </c>
      <c r="I80" s="1">
        <v>1</v>
      </c>
      <c r="J80" s="36">
        <v>0.1</v>
      </c>
    </row>
    <row r="81" spans="2:10" s="37" customFormat="1" ht="12.75" customHeight="1" x14ac:dyDescent="0.35">
      <c r="B81" s="1">
        <v>515519</v>
      </c>
      <c r="C81" s="1" t="s">
        <v>340</v>
      </c>
      <c r="D81" s="1" t="s">
        <v>116</v>
      </c>
      <c r="E81" s="1" t="s">
        <v>341</v>
      </c>
      <c r="F81" s="34" t="s">
        <v>3552</v>
      </c>
      <c r="G81" s="24">
        <v>0.26</v>
      </c>
      <c r="H81" s="39" t="s">
        <v>774</v>
      </c>
      <c r="I81" s="1">
        <v>1</v>
      </c>
      <c r="J81" s="36">
        <v>0.1</v>
      </c>
    </row>
    <row r="82" spans="2:10" s="37" customFormat="1" x14ac:dyDescent="0.35">
      <c r="B82" s="9">
        <v>515652</v>
      </c>
      <c r="C82" s="9" t="s">
        <v>533</v>
      </c>
      <c r="D82" s="9" t="s">
        <v>9</v>
      </c>
      <c r="E82" s="9" t="s">
        <v>534</v>
      </c>
      <c r="F82" s="34" t="s">
        <v>3574</v>
      </c>
      <c r="G82" s="26">
        <v>0.16</v>
      </c>
      <c r="H82" s="39" t="s">
        <v>774</v>
      </c>
      <c r="I82" s="9">
        <v>100</v>
      </c>
      <c r="J82" s="36">
        <v>0.06</v>
      </c>
    </row>
    <row r="83" spans="2:10" s="37" customFormat="1" ht="12.75" customHeight="1" x14ac:dyDescent="0.35">
      <c r="B83" s="1">
        <v>515696</v>
      </c>
      <c r="C83" s="1" t="s">
        <v>468</v>
      </c>
      <c r="D83" s="1" t="s">
        <v>116</v>
      </c>
      <c r="E83" s="1">
        <v>322418</v>
      </c>
      <c r="F83" s="34" t="s">
        <v>3552</v>
      </c>
      <c r="G83" s="24">
        <v>0.28999999999999998</v>
      </c>
      <c r="H83" s="39" t="s">
        <v>774</v>
      </c>
      <c r="I83" s="1">
        <v>1</v>
      </c>
      <c r="J83" s="36">
        <v>0.1</v>
      </c>
    </row>
    <row r="84" spans="2:10" s="37" customFormat="1" x14ac:dyDescent="0.35">
      <c r="B84" s="9">
        <v>515728</v>
      </c>
      <c r="C84" s="9" t="s">
        <v>587</v>
      </c>
      <c r="D84" s="9" t="s">
        <v>9</v>
      </c>
      <c r="E84" s="9" t="s">
        <v>588</v>
      </c>
      <c r="F84" s="34" t="s">
        <v>3574</v>
      </c>
      <c r="G84" s="26">
        <v>0.23300000000000001</v>
      </c>
      <c r="H84" s="39" t="s">
        <v>774</v>
      </c>
      <c r="I84" s="9">
        <v>100</v>
      </c>
      <c r="J84" s="36">
        <v>0.06</v>
      </c>
    </row>
    <row r="85" spans="2:10" s="37" customFormat="1" x14ac:dyDescent="0.35">
      <c r="B85" s="9">
        <v>515729</v>
      </c>
      <c r="C85" s="9" t="s">
        <v>591</v>
      </c>
      <c r="D85" s="9" t="s">
        <v>9</v>
      </c>
      <c r="E85" s="9" t="s">
        <v>592</v>
      </c>
      <c r="F85" s="34" t="s">
        <v>3574</v>
      </c>
      <c r="G85" s="26">
        <v>0.2</v>
      </c>
      <c r="H85" s="39" t="s">
        <v>774</v>
      </c>
      <c r="I85" s="9">
        <v>100</v>
      </c>
      <c r="J85" s="36">
        <v>0.06</v>
      </c>
    </row>
    <row r="86" spans="2:10" s="37" customFormat="1" ht="12.75" customHeight="1" x14ac:dyDescent="0.35">
      <c r="B86" s="1">
        <v>515777</v>
      </c>
      <c r="C86" s="1" t="s">
        <v>395</v>
      </c>
      <c r="D86" s="1" t="s">
        <v>13</v>
      </c>
      <c r="E86" s="1" t="s">
        <v>396</v>
      </c>
      <c r="F86" s="34" t="s">
        <v>3574</v>
      </c>
      <c r="G86" s="24">
        <v>16.5</v>
      </c>
      <c r="H86" s="39" t="s">
        <v>774</v>
      </c>
      <c r="I86" s="1">
        <v>25</v>
      </c>
      <c r="J86" s="36">
        <v>0.06</v>
      </c>
    </row>
    <row r="87" spans="2:10" s="37" customFormat="1" x14ac:dyDescent="0.35">
      <c r="B87" s="9">
        <v>515796</v>
      </c>
      <c r="C87" s="9" t="s">
        <v>549</v>
      </c>
      <c r="D87" s="9" t="s">
        <v>9</v>
      </c>
      <c r="E87" s="9" t="s">
        <v>550</v>
      </c>
      <c r="F87" s="34" t="s">
        <v>3574</v>
      </c>
      <c r="G87" s="26">
        <v>0.11</v>
      </c>
      <c r="H87" s="39" t="s">
        <v>774</v>
      </c>
      <c r="I87" s="9">
        <v>100</v>
      </c>
      <c r="J87" s="36">
        <v>0.06</v>
      </c>
    </row>
    <row r="88" spans="2:10" s="37" customFormat="1" ht="12.75" customHeight="1" x14ac:dyDescent="0.35">
      <c r="B88" s="9">
        <v>515894</v>
      </c>
      <c r="C88" s="9" t="s">
        <v>547</v>
      </c>
      <c r="D88" s="9" t="s">
        <v>9</v>
      </c>
      <c r="E88" s="9" t="s">
        <v>548</v>
      </c>
      <c r="F88" s="34" t="s">
        <v>3574</v>
      </c>
      <c r="G88" s="26">
        <v>0.56000000000000005</v>
      </c>
      <c r="H88" s="39" t="s">
        <v>774</v>
      </c>
      <c r="I88" s="9">
        <v>100</v>
      </c>
      <c r="J88" s="36">
        <v>0.06</v>
      </c>
    </row>
    <row r="89" spans="2:10" s="37" customFormat="1" ht="12.75" customHeight="1" x14ac:dyDescent="0.35">
      <c r="B89" s="1">
        <v>515895</v>
      </c>
      <c r="C89" s="1" t="s">
        <v>543</v>
      </c>
      <c r="D89" s="1" t="s">
        <v>111</v>
      </c>
      <c r="E89" s="1" t="s">
        <v>544</v>
      </c>
      <c r="F89" s="34" t="s">
        <v>3574</v>
      </c>
      <c r="G89" s="24">
        <v>0.54</v>
      </c>
      <c r="H89" s="39" t="s">
        <v>774</v>
      </c>
      <c r="I89" s="1">
        <v>100</v>
      </c>
      <c r="J89" s="36">
        <v>0.06</v>
      </c>
    </row>
    <row r="90" spans="2:10" s="37" customFormat="1" ht="12.75" customHeight="1" x14ac:dyDescent="0.35">
      <c r="B90" s="1">
        <v>515934</v>
      </c>
      <c r="C90" s="1" t="s">
        <v>370</v>
      </c>
      <c r="D90" s="1" t="s">
        <v>116</v>
      </c>
      <c r="E90" s="1" t="s">
        <v>371</v>
      </c>
      <c r="F90" s="34" t="s">
        <v>3552</v>
      </c>
      <c r="G90" s="24">
        <v>0.18</v>
      </c>
      <c r="H90" s="39" t="s">
        <v>774</v>
      </c>
      <c r="I90" s="1" t="s">
        <v>372</v>
      </c>
      <c r="J90" s="36">
        <v>0.1</v>
      </c>
    </row>
    <row r="91" spans="2:10" s="37" customFormat="1" ht="12.75" customHeight="1" x14ac:dyDescent="0.35">
      <c r="B91" s="1">
        <v>515935</v>
      </c>
      <c r="C91" s="1" t="s">
        <v>373</v>
      </c>
      <c r="D91" s="1" t="s">
        <v>116</v>
      </c>
      <c r="E91" s="1" t="s">
        <v>374</v>
      </c>
      <c r="F91" s="34" t="s">
        <v>3552</v>
      </c>
      <c r="G91" s="24">
        <v>0.3</v>
      </c>
      <c r="H91" s="39" t="s">
        <v>774</v>
      </c>
      <c r="I91" s="1" t="s">
        <v>372</v>
      </c>
      <c r="J91" s="36">
        <v>0.1</v>
      </c>
    </row>
    <row r="92" spans="2:10" s="37" customFormat="1" ht="12.75" customHeight="1" x14ac:dyDescent="0.35">
      <c r="B92" s="9">
        <v>515956</v>
      </c>
      <c r="C92" s="9" t="s">
        <v>522</v>
      </c>
      <c r="D92" s="9" t="s">
        <v>9</v>
      </c>
      <c r="E92" s="9" t="s">
        <v>523</v>
      </c>
      <c r="F92" s="34" t="s">
        <v>3574</v>
      </c>
      <c r="G92" s="26">
        <v>0.3</v>
      </c>
      <c r="H92" s="9" t="s">
        <v>774</v>
      </c>
      <c r="I92" s="9">
        <v>100</v>
      </c>
      <c r="J92" s="36">
        <v>0.06</v>
      </c>
    </row>
    <row r="93" spans="2:10" s="37" customFormat="1" ht="12.75" customHeight="1" x14ac:dyDescent="0.35">
      <c r="B93" s="1">
        <v>515957</v>
      </c>
      <c r="C93" s="1" t="s">
        <v>231</v>
      </c>
      <c r="D93" s="8" t="s">
        <v>748</v>
      </c>
      <c r="E93" s="1" t="s">
        <v>232</v>
      </c>
      <c r="F93" s="34" t="s">
        <v>3552</v>
      </c>
      <c r="G93" s="24">
        <v>2.34</v>
      </c>
      <c r="H93" s="1" t="s">
        <v>3556</v>
      </c>
      <c r="I93" s="34">
        <v>5</v>
      </c>
      <c r="J93" s="36">
        <v>0.1</v>
      </c>
    </row>
    <row r="94" spans="2:10" s="37" customFormat="1" ht="12.75" customHeight="1" x14ac:dyDescent="0.35">
      <c r="B94" s="1">
        <v>516054</v>
      </c>
      <c r="C94" s="1" t="s">
        <v>202</v>
      </c>
      <c r="D94" s="1" t="s">
        <v>203</v>
      </c>
      <c r="E94" s="1" t="s">
        <v>204</v>
      </c>
      <c r="F94" s="34" t="s">
        <v>3574</v>
      </c>
      <c r="G94" s="24">
        <v>350</v>
      </c>
      <c r="H94" s="9" t="s">
        <v>774</v>
      </c>
      <c r="I94" s="1">
        <v>1</v>
      </c>
      <c r="J94" s="36">
        <v>0.06</v>
      </c>
    </row>
    <row r="95" spans="2:10" s="37" customFormat="1" ht="12.75" customHeight="1" x14ac:dyDescent="0.35">
      <c r="B95" s="1">
        <v>516067</v>
      </c>
      <c r="C95" s="1" t="s">
        <v>137</v>
      </c>
      <c r="D95" s="1" t="s">
        <v>111</v>
      </c>
      <c r="E95" s="1" t="s">
        <v>138</v>
      </c>
      <c r="F95" s="34" t="s">
        <v>3574</v>
      </c>
      <c r="G95" s="24">
        <v>0.13</v>
      </c>
      <c r="H95" s="9" t="s">
        <v>774</v>
      </c>
      <c r="I95" s="1">
        <v>1</v>
      </c>
      <c r="J95" s="36">
        <v>0.06</v>
      </c>
    </row>
    <row r="96" spans="2:10" s="37" customFormat="1" ht="12.75" customHeight="1" x14ac:dyDescent="0.35">
      <c r="B96" s="1">
        <v>516072</v>
      </c>
      <c r="C96" s="1" t="s">
        <v>597</v>
      </c>
      <c r="D96" s="1" t="s">
        <v>111</v>
      </c>
      <c r="E96" s="1" t="s">
        <v>598</v>
      </c>
      <c r="F96" s="34" t="s">
        <v>3574</v>
      </c>
      <c r="G96" s="24">
        <v>0.36</v>
      </c>
      <c r="H96" s="9" t="s">
        <v>774</v>
      </c>
      <c r="I96" s="1">
        <v>100</v>
      </c>
      <c r="J96" s="36">
        <v>0.06</v>
      </c>
    </row>
    <row r="97" spans="2:10" s="37" customFormat="1" ht="12.75" customHeight="1" x14ac:dyDescent="0.35">
      <c r="B97" s="1">
        <v>516091</v>
      </c>
      <c r="C97" s="1" t="s">
        <v>530</v>
      </c>
      <c r="D97" s="1" t="s">
        <v>11</v>
      </c>
      <c r="E97" s="1" t="s">
        <v>530</v>
      </c>
      <c r="F97" s="34" t="s">
        <v>3574</v>
      </c>
      <c r="G97" s="24">
        <v>1.51</v>
      </c>
      <c r="H97" s="9" t="s">
        <v>774</v>
      </c>
      <c r="I97" s="1">
        <v>1</v>
      </c>
      <c r="J97" s="36">
        <v>0.06</v>
      </c>
    </row>
    <row r="98" spans="2:10" s="37" customFormat="1" ht="12.75" customHeight="1" x14ac:dyDescent="0.35">
      <c r="B98" s="9">
        <v>516107</v>
      </c>
      <c r="C98" s="9" t="s">
        <v>601</v>
      </c>
      <c r="D98" s="9" t="s">
        <v>9</v>
      </c>
      <c r="E98" s="9" t="s">
        <v>602</v>
      </c>
      <c r="F98" s="34" t="s">
        <v>3574</v>
      </c>
      <c r="G98" s="26">
        <v>0.53600000000000003</v>
      </c>
      <c r="H98" s="9" t="s">
        <v>774</v>
      </c>
      <c r="I98" s="9">
        <v>100</v>
      </c>
      <c r="J98" s="36">
        <v>0.06</v>
      </c>
    </row>
    <row r="99" spans="2:10" s="37" customFormat="1" x14ac:dyDescent="0.35">
      <c r="B99" s="9">
        <v>516125</v>
      </c>
      <c r="C99" s="9" t="s">
        <v>513</v>
      </c>
      <c r="D99" s="9" t="s">
        <v>9</v>
      </c>
      <c r="E99" s="9" t="s">
        <v>514</v>
      </c>
      <c r="F99" s="34" t="s">
        <v>3574</v>
      </c>
      <c r="G99" s="26">
        <v>0.216</v>
      </c>
      <c r="H99" s="9" t="s">
        <v>774</v>
      </c>
      <c r="I99" s="9">
        <v>100</v>
      </c>
      <c r="J99" s="36">
        <v>0.06</v>
      </c>
    </row>
    <row r="100" spans="2:10" s="37" customFormat="1" x14ac:dyDescent="0.35">
      <c r="B100" s="9">
        <v>516128</v>
      </c>
      <c r="C100" s="9" t="s">
        <v>535</v>
      </c>
      <c r="D100" s="9" t="s">
        <v>9</v>
      </c>
      <c r="E100" s="9" t="s">
        <v>536</v>
      </c>
      <c r="F100" s="34" t="s">
        <v>3574</v>
      </c>
      <c r="G100" s="26">
        <v>0.25800000000000001</v>
      </c>
      <c r="H100" s="9" t="s">
        <v>774</v>
      </c>
      <c r="I100" s="9">
        <v>100</v>
      </c>
      <c r="J100" s="36">
        <v>0.06</v>
      </c>
    </row>
    <row r="101" spans="2:10" s="37" customFormat="1" ht="12.75" customHeight="1" x14ac:dyDescent="0.35">
      <c r="B101" s="1">
        <v>516352</v>
      </c>
      <c r="C101" s="1" t="s">
        <v>541</v>
      </c>
      <c r="D101" s="1" t="s">
        <v>111</v>
      </c>
      <c r="E101" s="1" t="s">
        <v>542</v>
      </c>
      <c r="F101" s="34" t="s">
        <v>3574</v>
      </c>
      <c r="G101" s="24">
        <v>0.48</v>
      </c>
      <c r="H101" s="9" t="s">
        <v>774</v>
      </c>
      <c r="I101" s="1">
        <v>100</v>
      </c>
      <c r="J101" s="36">
        <v>0.06</v>
      </c>
    </row>
    <row r="102" spans="2:10" s="37" customFormat="1" ht="12.75" customHeight="1" x14ac:dyDescent="0.35">
      <c r="B102" s="9">
        <v>516355</v>
      </c>
      <c r="C102" s="9" t="s">
        <v>595</v>
      </c>
      <c r="D102" s="9" t="s">
        <v>9</v>
      </c>
      <c r="E102" s="9" t="s">
        <v>596</v>
      </c>
      <c r="F102" s="34" t="s">
        <v>3574</v>
      </c>
      <c r="G102" s="26">
        <v>0.33400000000000002</v>
      </c>
      <c r="H102" s="9" t="s">
        <v>774</v>
      </c>
      <c r="I102" s="9">
        <v>100</v>
      </c>
      <c r="J102" s="36">
        <v>0.06</v>
      </c>
    </row>
    <row r="103" spans="2:10" s="37" customFormat="1" ht="12.75" customHeight="1" x14ac:dyDescent="0.35">
      <c r="B103" s="1">
        <v>516501</v>
      </c>
      <c r="C103" s="1" t="s">
        <v>492</v>
      </c>
      <c r="D103" s="1" t="s">
        <v>203</v>
      </c>
      <c r="E103" s="1" t="s">
        <v>493</v>
      </c>
      <c r="F103" s="34" t="s">
        <v>3574</v>
      </c>
      <c r="G103" s="24">
        <v>190</v>
      </c>
      <c r="H103" s="9" t="s">
        <v>774</v>
      </c>
      <c r="I103" s="1">
        <v>1</v>
      </c>
      <c r="J103" s="36">
        <v>0.06</v>
      </c>
    </row>
    <row r="104" spans="2:10" s="37" customFormat="1" ht="12.75" customHeight="1" x14ac:dyDescent="0.35">
      <c r="B104" s="1">
        <v>516503</v>
      </c>
      <c r="C104" s="1" t="s">
        <v>494</v>
      </c>
      <c r="D104" s="1" t="s">
        <v>6</v>
      </c>
      <c r="E104" s="1" t="s">
        <v>495</v>
      </c>
      <c r="F104" s="34" t="s">
        <v>3552</v>
      </c>
      <c r="G104" s="24">
        <v>12.56</v>
      </c>
      <c r="H104" s="9" t="s">
        <v>774</v>
      </c>
      <c r="I104" s="1">
        <v>1</v>
      </c>
      <c r="J104" s="36">
        <v>0.1</v>
      </c>
    </row>
    <row r="105" spans="2:10" s="37" customFormat="1" ht="12.75" customHeight="1" x14ac:dyDescent="0.35">
      <c r="B105" s="9">
        <v>516538</v>
      </c>
      <c r="C105" s="9" t="s">
        <v>553</v>
      </c>
      <c r="D105" s="9" t="s">
        <v>9</v>
      </c>
      <c r="E105" s="9" t="s">
        <v>554</v>
      </c>
      <c r="F105" s="34" t="s">
        <v>3574</v>
      </c>
      <c r="G105" s="26">
        <f>0.059</f>
        <v>5.8999999999999997E-2</v>
      </c>
      <c r="H105" s="9" t="s">
        <v>774</v>
      </c>
      <c r="I105" s="9">
        <v>100</v>
      </c>
      <c r="J105" s="36">
        <v>0.06</v>
      </c>
    </row>
    <row r="106" spans="2:10" s="37" customFormat="1" ht="12.75" customHeight="1" x14ac:dyDescent="0.35">
      <c r="B106" s="9">
        <v>516539</v>
      </c>
      <c r="C106" s="9" t="s">
        <v>567</v>
      </c>
      <c r="D106" s="9" t="s">
        <v>9</v>
      </c>
      <c r="E106" s="9" t="s">
        <v>568</v>
      </c>
      <c r="F106" s="34" t="s">
        <v>3574</v>
      </c>
      <c r="G106" s="26">
        <f>0.162</f>
        <v>0.16200000000000001</v>
      </c>
      <c r="H106" s="9" t="s">
        <v>774</v>
      </c>
      <c r="I106" s="9">
        <v>100</v>
      </c>
      <c r="J106" s="36">
        <v>0.06</v>
      </c>
    </row>
    <row r="107" spans="2:10" s="37" customFormat="1" ht="12.75" customHeight="1" x14ac:dyDescent="0.35">
      <c r="B107" s="9">
        <v>516545</v>
      </c>
      <c r="C107" s="9" t="s">
        <v>569</v>
      </c>
      <c r="D107" s="9" t="s">
        <v>9</v>
      </c>
      <c r="E107" s="9" t="s">
        <v>570</v>
      </c>
      <c r="F107" s="34" t="s">
        <v>3574</v>
      </c>
      <c r="G107" s="26">
        <v>0.23499999999999999</v>
      </c>
      <c r="H107" s="9" t="s">
        <v>774</v>
      </c>
      <c r="I107" s="9">
        <v>100</v>
      </c>
      <c r="J107" s="36">
        <v>0.06</v>
      </c>
    </row>
    <row r="108" spans="2:10" s="37" customFormat="1" ht="12.75" customHeight="1" x14ac:dyDescent="0.35">
      <c r="B108" s="1">
        <v>516546</v>
      </c>
      <c r="C108" s="1" t="s">
        <v>143</v>
      </c>
      <c r="D108" s="1" t="s">
        <v>111</v>
      </c>
      <c r="E108" s="1" t="s">
        <v>144</v>
      </c>
      <c r="F108" s="34" t="s">
        <v>3574</v>
      </c>
      <c r="G108" s="24">
        <v>0.22</v>
      </c>
      <c r="H108" s="9" t="s">
        <v>774</v>
      </c>
      <c r="I108" s="1">
        <v>1</v>
      </c>
      <c r="J108" s="36">
        <v>0.06</v>
      </c>
    </row>
    <row r="109" spans="2:10" s="37" customFormat="1" ht="12.75" customHeight="1" x14ac:dyDescent="0.35">
      <c r="B109" s="1">
        <v>516547</v>
      </c>
      <c r="C109" s="1" t="s">
        <v>134</v>
      </c>
      <c r="D109" s="1" t="s">
        <v>111</v>
      </c>
      <c r="E109" s="1" t="s">
        <v>135</v>
      </c>
      <c r="F109" s="34" t="s">
        <v>3574</v>
      </c>
      <c r="G109" s="24">
        <v>0.26</v>
      </c>
      <c r="H109" s="9" t="s">
        <v>774</v>
      </c>
      <c r="I109" s="1">
        <v>1</v>
      </c>
      <c r="J109" s="36">
        <v>0.06</v>
      </c>
    </row>
    <row r="110" spans="2:10" s="37" customFormat="1" ht="12.75" customHeight="1" x14ac:dyDescent="0.35">
      <c r="B110" s="1">
        <v>516549</v>
      </c>
      <c r="C110" s="1" t="s">
        <v>581</v>
      </c>
      <c r="D110" s="1" t="s">
        <v>111</v>
      </c>
      <c r="E110" s="1" t="s">
        <v>582</v>
      </c>
      <c r="F110" s="34" t="s">
        <v>3574</v>
      </c>
      <c r="G110" s="24">
        <v>0.33</v>
      </c>
      <c r="H110" s="9" t="s">
        <v>774</v>
      </c>
      <c r="I110" s="1">
        <v>100</v>
      </c>
      <c r="J110" s="36">
        <v>0.06</v>
      </c>
    </row>
    <row r="111" spans="2:10" s="37" customFormat="1" ht="12.75" customHeight="1" x14ac:dyDescent="0.35">
      <c r="B111" s="1">
        <v>516669</v>
      </c>
      <c r="C111" s="1" t="s">
        <v>381</v>
      </c>
      <c r="D111" s="1" t="s">
        <v>383</v>
      </c>
      <c r="E111" s="1" t="s">
        <v>382</v>
      </c>
      <c r="F111" s="34" t="s">
        <v>3552</v>
      </c>
      <c r="G111" s="24">
        <v>3.25</v>
      </c>
      <c r="H111" s="1" t="s">
        <v>3556</v>
      </c>
      <c r="I111" s="1">
        <v>1000</v>
      </c>
      <c r="J111" s="36">
        <v>0.1</v>
      </c>
    </row>
    <row r="112" spans="2:10" s="37" customFormat="1" ht="12.75" customHeight="1" x14ac:dyDescent="0.35">
      <c r="B112" s="9">
        <v>516685</v>
      </c>
      <c r="C112" s="9" t="s">
        <v>551</v>
      </c>
      <c r="D112" s="9" t="s">
        <v>9</v>
      </c>
      <c r="E112" s="9" t="s">
        <v>552</v>
      </c>
      <c r="F112" s="34" t="s">
        <v>3574</v>
      </c>
      <c r="G112" s="26">
        <f>36.8/100</f>
        <v>0.36799999999999999</v>
      </c>
      <c r="H112" s="9" t="s">
        <v>774</v>
      </c>
      <c r="I112" s="9">
        <v>100</v>
      </c>
      <c r="J112" s="36">
        <v>0.06</v>
      </c>
    </row>
    <row r="113" spans="2:10" s="37" customFormat="1" ht="12.75" customHeight="1" x14ac:dyDescent="0.35">
      <c r="B113" s="1">
        <v>517004</v>
      </c>
      <c r="C113" s="1" t="s">
        <v>389</v>
      </c>
      <c r="D113" s="1" t="s">
        <v>10</v>
      </c>
      <c r="E113" s="1" t="s">
        <v>390</v>
      </c>
      <c r="F113" s="34" t="s">
        <v>3574</v>
      </c>
      <c r="G113" s="24">
        <f>238.74/1000</f>
        <v>0.23874000000000001</v>
      </c>
      <c r="H113" s="39" t="s">
        <v>774</v>
      </c>
      <c r="I113" s="1">
        <v>1000</v>
      </c>
      <c r="J113" s="36">
        <v>0.06</v>
      </c>
    </row>
    <row r="114" spans="2:10" s="37" customFormat="1" ht="12.75" customHeight="1" x14ac:dyDescent="0.35">
      <c r="B114" s="1">
        <v>517074</v>
      </c>
      <c r="C114" s="1" t="s">
        <v>174</v>
      </c>
      <c r="D114" s="1" t="s">
        <v>93</v>
      </c>
      <c r="E114" s="1" t="s">
        <v>175</v>
      </c>
      <c r="F114" s="34" t="s">
        <v>3553</v>
      </c>
      <c r="G114" s="24">
        <v>16.2</v>
      </c>
      <c r="H114" s="39" t="s">
        <v>774</v>
      </c>
      <c r="I114" s="1">
        <v>1</v>
      </c>
      <c r="J114" s="36">
        <v>0.1</v>
      </c>
    </row>
    <row r="115" spans="2:10" s="37" customFormat="1" ht="12.75" customHeight="1" x14ac:dyDescent="0.35">
      <c r="B115" s="1">
        <v>517218</v>
      </c>
      <c r="C115" s="1" t="s">
        <v>182</v>
      </c>
      <c r="D115" s="1" t="s">
        <v>117</v>
      </c>
      <c r="E115" s="1" t="s">
        <v>183</v>
      </c>
      <c r="F115" s="34" t="s">
        <v>3574</v>
      </c>
      <c r="G115" s="24">
        <f>1740.8/5000</f>
        <v>0.34815999999999997</v>
      </c>
      <c r="H115" s="39" t="s">
        <v>774</v>
      </c>
      <c r="I115" s="1">
        <v>5000</v>
      </c>
      <c r="J115" s="36">
        <v>0.06</v>
      </c>
    </row>
    <row r="116" spans="2:10" s="37" customFormat="1" ht="12.75" customHeight="1" x14ac:dyDescent="0.35">
      <c r="B116" s="1">
        <v>517319</v>
      </c>
      <c r="C116" s="1" t="s">
        <v>139</v>
      </c>
      <c r="D116" s="1" t="s">
        <v>111</v>
      </c>
      <c r="E116" s="1" t="s">
        <v>140</v>
      </c>
      <c r="F116" s="34" t="s">
        <v>3574</v>
      </c>
      <c r="G116" s="24">
        <v>0.36</v>
      </c>
      <c r="H116" s="39" t="s">
        <v>774</v>
      </c>
      <c r="I116" s="1">
        <v>1</v>
      </c>
      <c r="J116" s="36">
        <v>0.06</v>
      </c>
    </row>
    <row r="117" spans="2:10" s="37" customFormat="1" ht="12.75" customHeight="1" x14ac:dyDescent="0.35">
      <c r="B117" s="1">
        <v>517320</v>
      </c>
      <c r="C117" s="1" t="s">
        <v>515</v>
      </c>
      <c r="D117" s="1" t="s">
        <v>111</v>
      </c>
      <c r="E117" s="1" t="s">
        <v>516</v>
      </c>
      <c r="F117" s="34" t="s">
        <v>3574</v>
      </c>
      <c r="G117" s="24">
        <v>0.26</v>
      </c>
      <c r="H117" s="39" t="s">
        <v>774</v>
      </c>
      <c r="I117" s="1">
        <v>100</v>
      </c>
      <c r="J117" s="36">
        <v>0.06</v>
      </c>
    </row>
    <row r="118" spans="2:10" s="37" customFormat="1" ht="12.75" customHeight="1" x14ac:dyDescent="0.35">
      <c r="B118" s="1">
        <v>517652</v>
      </c>
      <c r="C118" s="1" t="s">
        <v>393</v>
      </c>
      <c r="D118" s="1" t="s">
        <v>10</v>
      </c>
      <c r="E118" s="1" t="s">
        <v>394</v>
      </c>
      <c r="F118" s="34" t="s">
        <v>3574</v>
      </c>
      <c r="G118" s="24">
        <f>116.26/100</f>
        <v>1.1626000000000001</v>
      </c>
      <c r="H118" s="39" t="s">
        <v>774</v>
      </c>
      <c r="I118" s="1">
        <v>100</v>
      </c>
      <c r="J118" s="36">
        <v>0.06</v>
      </c>
    </row>
    <row r="119" spans="2:10" s="37" customFormat="1" ht="12.75" customHeight="1" x14ac:dyDescent="0.35">
      <c r="B119" s="1">
        <v>517759</v>
      </c>
      <c r="C119" s="1" t="s">
        <v>196</v>
      </c>
      <c r="D119" s="1" t="s">
        <v>116</v>
      </c>
      <c r="E119" s="1" t="s">
        <v>197</v>
      </c>
      <c r="F119" s="34" t="s">
        <v>3574</v>
      </c>
      <c r="G119" s="24">
        <v>6.63</v>
      </c>
      <c r="H119" s="39" t="s">
        <v>774</v>
      </c>
      <c r="I119" s="1">
        <v>1</v>
      </c>
      <c r="J119" s="36">
        <v>0.06</v>
      </c>
    </row>
    <row r="120" spans="2:10" s="37" customFormat="1" ht="12.75" customHeight="1" x14ac:dyDescent="0.35">
      <c r="B120" s="1">
        <v>517789</v>
      </c>
      <c r="C120" s="1" t="s">
        <v>366</v>
      </c>
      <c r="D120" s="1" t="s">
        <v>116</v>
      </c>
      <c r="E120" s="1" t="s">
        <v>367</v>
      </c>
      <c r="F120" s="34" t="s">
        <v>3552</v>
      </c>
      <c r="G120" s="24">
        <v>0.76</v>
      </c>
      <c r="H120" s="39" t="s">
        <v>774</v>
      </c>
      <c r="I120" s="1">
        <v>1</v>
      </c>
      <c r="J120" s="36">
        <v>0.1</v>
      </c>
    </row>
    <row r="121" spans="2:10" s="37" customFormat="1" ht="12.75" customHeight="1" x14ac:dyDescent="0.35">
      <c r="B121" s="1">
        <v>517790</v>
      </c>
      <c r="C121" s="1" t="s">
        <v>368</v>
      </c>
      <c r="D121" s="1" t="s">
        <v>116</v>
      </c>
      <c r="E121" s="1" t="s">
        <v>369</v>
      </c>
      <c r="F121" s="34" t="s">
        <v>3552</v>
      </c>
      <c r="G121" s="24">
        <v>0.55000000000000004</v>
      </c>
      <c r="H121" s="39" t="s">
        <v>774</v>
      </c>
      <c r="I121" s="1">
        <v>1</v>
      </c>
      <c r="J121" s="36">
        <v>0.1</v>
      </c>
    </row>
    <row r="122" spans="2:10" s="37" customFormat="1" ht="12.75" customHeight="1" x14ac:dyDescent="0.35">
      <c r="B122" s="1">
        <v>517839</v>
      </c>
      <c r="C122" s="1" t="s">
        <v>402</v>
      </c>
      <c r="D122" s="1" t="s">
        <v>116</v>
      </c>
      <c r="E122" s="1" t="s">
        <v>403</v>
      </c>
      <c r="F122" s="34" t="s">
        <v>3552</v>
      </c>
      <c r="G122" s="24">
        <v>93.14</v>
      </c>
      <c r="H122" s="39" t="s">
        <v>774</v>
      </c>
      <c r="I122" s="1">
        <v>1</v>
      </c>
      <c r="J122" s="36">
        <v>0.1</v>
      </c>
    </row>
    <row r="123" spans="2:10" s="37" customFormat="1" ht="12.75" customHeight="1" x14ac:dyDescent="0.35">
      <c r="B123" s="1">
        <v>518018</v>
      </c>
      <c r="C123" s="1" t="s">
        <v>200</v>
      </c>
      <c r="D123" s="1" t="s">
        <v>116</v>
      </c>
      <c r="E123" s="1" t="s">
        <v>201</v>
      </c>
      <c r="F123" s="34" t="s">
        <v>3574</v>
      </c>
      <c r="G123" s="24">
        <v>17.05</v>
      </c>
      <c r="H123" s="39" t="s">
        <v>774</v>
      </c>
      <c r="I123" s="1">
        <v>1</v>
      </c>
      <c r="J123" s="36">
        <v>0.06</v>
      </c>
    </row>
    <row r="124" spans="2:10" s="37" customFormat="1" ht="12.75" customHeight="1" x14ac:dyDescent="0.35">
      <c r="B124" s="1">
        <v>518105</v>
      </c>
      <c r="C124" s="1" t="s">
        <v>209</v>
      </c>
      <c r="D124" s="1" t="s">
        <v>6</v>
      </c>
      <c r="E124" s="1" t="s">
        <v>210</v>
      </c>
      <c r="F124" s="34" t="s">
        <v>3552</v>
      </c>
      <c r="G124" s="24">
        <v>0.51500000000000001</v>
      </c>
      <c r="H124" s="1" t="s">
        <v>3556</v>
      </c>
      <c r="I124" s="1">
        <v>500</v>
      </c>
      <c r="J124" s="36">
        <v>0.1</v>
      </c>
    </row>
    <row r="125" spans="2:10" s="37" customFormat="1" ht="12.75" customHeight="1" x14ac:dyDescent="0.35">
      <c r="B125" s="1">
        <v>518241</v>
      </c>
      <c r="C125" s="1" t="s">
        <v>384</v>
      </c>
      <c r="D125" s="1" t="s">
        <v>6</v>
      </c>
      <c r="E125" s="1" t="s">
        <v>385</v>
      </c>
      <c r="F125" s="34" t="s">
        <v>3552</v>
      </c>
      <c r="G125" s="24">
        <v>21.56</v>
      </c>
      <c r="H125" s="1" t="s">
        <v>774</v>
      </c>
      <c r="I125" s="13">
        <v>1</v>
      </c>
      <c r="J125" s="36">
        <v>0.1</v>
      </c>
    </row>
    <row r="126" spans="2:10" s="37" customFormat="1" ht="12.75" customHeight="1" x14ac:dyDescent="0.35">
      <c r="B126" s="1">
        <v>518625</v>
      </c>
      <c r="C126" s="1" t="s">
        <v>415</v>
      </c>
      <c r="D126" s="1" t="s">
        <v>94</v>
      </c>
      <c r="E126" s="1" t="s">
        <v>416</v>
      </c>
      <c r="F126" s="34" t="s">
        <v>3552</v>
      </c>
      <c r="G126" s="24">
        <v>465.8</v>
      </c>
      <c r="H126" s="1" t="s">
        <v>774</v>
      </c>
      <c r="I126" s="1">
        <v>1</v>
      </c>
      <c r="J126" s="36">
        <v>0.1</v>
      </c>
    </row>
    <row r="127" spans="2:10" s="37" customFormat="1" ht="12.75" customHeight="1" x14ac:dyDescent="0.35">
      <c r="B127" s="1">
        <v>518655</v>
      </c>
      <c r="C127" s="1" t="s">
        <v>435</v>
      </c>
      <c r="D127" s="1" t="s">
        <v>6</v>
      </c>
      <c r="E127" s="1" t="s">
        <v>436</v>
      </c>
      <c r="F127" s="34" t="s">
        <v>3552</v>
      </c>
      <c r="G127" s="24">
        <v>528.24</v>
      </c>
      <c r="H127" s="1" t="s">
        <v>774</v>
      </c>
      <c r="I127" s="1">
        <v>1</v>
      </c>
      <c r="J127" s="36">
        <v>0.1</v>
      </c>
    </row>
    <row r="128" spans="2:10" s="37" customFormat="1" ht="12.75" customHeight="1" x14ac:dyDescent="0.35">
      <c r="B128" s="1">
        <v>518770</v>
      </c>
      <c r="C128" s="1" t="s">
        <v>207</v>
      </c>
      <c r="D128" s="1" t="s">
        <v>6789</v>
      </c>
      <c r="E128" s="1" t="s">
        <v>208</v>
      </c>
      <c r="F128" s="34" t="s">
        <v>3574</v>
      </c>
      <c r="G128" s="24">
        <v>8.65</v>
      </c>
      <c r="H128" s="1" t="s">
        <v>774</v>
      </c>
      <c r="I128" s="1">
        <v>10</v>
      </c>
      <c r="J128" s="36">
        <v>0.06</v>
      </c>
    </row>
    <row r="129" spans="2:10" s="37" customFormat="1" ht="12.75" customHeight="1" x14ac:dyDescent="0.35">
      <c r="B129" s="1">
        <v>519066</v>
      </c>
      <c r="C129" s="1" t="s">
        <v>404</v>
      </c>
      <c r="D129" s="1" t="s">
        <v>116</v>
      </c>
      <c r="E129" s="1" t="s">
        <v>405</v>
      </c>
      <c r="F129" s="34" t="s">
        <v>3552</v>
      </c>
      <c r="G129" s="24">
        <v>89.06</v>
      </c>
      <c r="H129" s="1" t="s">
        <v>774</v>
      </c>
      <c r="I129" s="1">
        <v>1</v>
      </c>
      <c r="J129" s="36">
        <v>0.1</v>
      </c>
    </row>
    <row r="130" spans="2:10" s="37" customFormat="1" ht="12.75" customHeight="1" x14ac:dyDescent="0.35">
      <c r="B130" s="1">
        <v>519105</v>
      </c>
      <c r="C130" s="1" t="s">
        <v>161</v>
      </c>
      <c r="D130" s="1" t="s">
        <v>157</v>
      </c>
      <c r="E130" s="1" t="s">
        <v>162</v>
      </c>
      <c r="F130" s="34" t="s">
        <v>3574</v>
      </c>
      <c r="G130" s="24">
        <v>26</v>
      </c>
      <c r="H130" s="1" t="s">
        <v>774</v>
      </c>
      <c r="I130" s="1">
        <v>50</v>
      </c>
      <c r="J130" s="36">
        <v>0.06</v>
      </c>
    </row>
    <row r="131" spans="2:10" s="37" customFormat="1" ht="12.75" customHeight="1" x14ac:dyDescent="0.35">
      <c r="B131" s="1">
        <v>519189</v>
      </c>
      <c r="C131" s="1" t="s">
        <v>170</v>
      </c>
      <c r="D131" s="1" t="s">
        <v>7</v>
      </c>
      <c r="E131" s="1" t="s">
        <v>171</v>
      </c>
      <c r="F131" s="34" t="s">
        <v>3553</v>
      </c>
      <c r="G131" s="24">
        <f>31.9/100</f>
        <v>0.31900000000000001</v>
      </c>
      <c r="H131" s="1" t="s">
        <v>774</v>
      </c>
      <c r="I131" s="1">
        <v>100</v>
      </c>
      <c r="J131" s="36">
        <v>0.1</v>
      </c>
    </row>
    <row r="132" spans="2:10" s="37" customFormat="1" ht="12.75" customHeight="1" x14ac:dyDescent="0.35">
      <c r="B132" s="1">
        <v>519291</v>
      </c>
      <c r="C132" s="1" t="s">
        <v>386</v>
      </c>
      <c r="D132" s="6" t="s">
        <v>387</v>
      </c>
      <c r="E132" s="1" t="s">
        <v>388</v>
      </c>
      <c r="F132" s="34" t="s">
        <v>3574</v>
      </c>
      <c r="G132" s="24">
        <v>245</v>
      </c>
      <c r="H132" s="1" t="s">
        <v>774</v>
      </c>
      <c r="I132" s="34">
        <v>1</v>
      </c>
      <c r="J132" s="36">
        <v>0.06</v>
      </c>
    </row>
    <row r="133" spans="2:10" s="37" customFormat="1" ht="12.75" customHeight="1" x14ac:dyDescent="0.35">
      <c r="B133" s="9">
        <v>519329</v>
      </c>
      <c r="C133" s="9" t="s">
        <v>606</v>
      </c>
      <c r="D133" s="9" t="s">
        <v>9</v>
      </c>
      <c r="E133" s="9" t="s">
        <v>607</v>
      </c>
      <c r="F133" s="34" t="s">
        <v>3574</v>
      </c>
      <c r="G133" s="26">
        <f>35/100</f>
        <v>0.35</v>
      </c>
      <c r="H133" s="1" t="s">
        <v>774</v>
      </c>
      <c r="I133" s="9">
        <v>100</v>
      </c>
      <c r="J133" s="36">
        <v>0.06</v>
      </c>
    </row>
    <row r="134" spans="2:10" s="37" customFormat="1" ht="12.75" customHeight="1" x14ac:dyDescent="0.35">
      <c r="B134" s="1">
        <v>519334</v>
      </c>
      <c r="C134" s="1" t="s">
        <v>419</v>
      </c>
      <c r="D134" s="1" t="s">
        <v>6</v>
      </c>
      <c r="E134" s="1" t="s">
        <v>420</v>
      </c>
      <c r="F134" s="34" t="s">
        <v>3552</v>
      </c>
      <c r="G134" s="24">
        <v>208</v>
      </c>
      <c r="H134" s="1" t="s">
        <v>774</v>
      </c>
      <c r="I134" s="1">
        <v>2</v>
      </c>
      <c r="J134" s="36">
        <v>0.1</v>
      </c>
    </row>
    <row r="135" spans="2:10" s="37" customFormat="1" ht="12.75" customHeight="1" x14ac:dyDescent="0.35">
      <c r="B135" s="1">
        <v>519335</v>
      </c>
      <c r="C135" s="1" t="s">
        <v>132</v>
      </c>
      <c r="D135" s="1" t="s">
        <v>106</v>
      </c>
      <c r="E135" s="1" t="s">
        <v>133</v>
      </c>
      <c r="F135" s="34" t="s">
        <v>3574</v>
      </c>
      <c r="G135" s="24">
        <f>181.82</f>
        <v>181.82</v>
      </c>
      <c r="H135" s="1" t="s">
        <v>774</v>
      </c>
      <c r="I135" s="1">
        <v>1</v>
      </c>
      <c r="J135" s="36">
        <v>0.06</v>
      </c>
    </row>
    <row r="136" spans="2:10" s="37" customFormat="1" ht="12.75" customHeight="1" x14ac:dyDescent="0.35">
      <c r="B136" s="1">
        <v>519376</v>
      </c>
      <c r="C136" s="1" t="s">
        <v>427</v>
      </c>
      <c r="D136" s="1" t="s">
        <v>8</v>
      </c>
      <c r="E136" s="1" t="s">
        <v>428</v>
      </c>
      <c r="F136" s="34" t="s">
        <v>3574</v>
      </c>
      <c r="G136" s="24">
        <v>105</v>
      </c>
      <c r="H136" s="1" t="s">
        <v>774</v>
      </c>
      <c r="I136" s="1">
        <v>1</v>
      </c>
      <c r="J136" s="36">
        <v>0.06</v>
      </c>
    </row>
    <row r="137" spans="2:10" s="37" customFormat="1" ht="12.75" customHeight="1" x14ac:dyDescent="0.35">
      <c r="B137" s="1">
        <v>519423</v>
      </c>
      <c r="C137" s="1" t="s">
        <v>356</v>
      </c>
      <c r="D137" s="1" t="s">
        <v>116</v>
      </c>
      <c r="E137" s="1" t="s">
        <v>357</v>
      </c>
      <c r="F137" s="34" t="s">
        <v>3552</v>
      </c>
      <c r="G137" s="24">
        <v>1.08</v>
      </c>
      <c r="H137" s="1" t="s">
        <v>774</v>
      </c>
      <c r="I137" s="1">
        <v>1</v>
      </c>
      <c r="J137" s="36">
        <v>0.1</v>
      </c>
    </row>
    <row r="138" spans="2:10" s="37" customFormat="1" ht="12.75" customHeight="1" x14ac:dyDescent="0.35">
      <c r="B138" s="1">
        <v>519425</v>
      </c>
      <c r="C138" s="1" t="s">
        <v>229</v>
      </c>
      <c r="D138" s="1" t="s">
        <v>6</v>
      </c>
      <c r="E138" s="1" t="s">
        <v>230</v>
      </c>
      <c r="F138" s="34" t="s">
        <v>3552</v>
      </c>
      <c r="G138" s="24">
        <v>53.95</v>
      </c>
      <c r="H138" s="1" t="s">
        <v>774</v>
      </c>
      <c r="I138" s="1">
        <v>2</v>
      </c>
      <c r="J138" s="36">
        <v>0.1</v>
      </c>
    </row>
    <row r="139" spans="2:10" s="37" customFormat="1" ht="12.75" customHeight="1" x14ac:dyDescent="0.35">
      <c r="B139" s="1">
        <v>519428</v>
      </c>
      <c r="C139" s="1" t="s">
        <v>429</v>
      </c>
      <c r="D139" s="1" t="s">
        <v>8</v>
      </c>
      <c r="E139" s="1" t="s">
        <v>430</v>
      </c>
      <c r="F139" s="34" t="s">
        <v>3574</v>
      </c>
      <c r="G139" s="24">
        <v>124.85</v>
      </c>
      <c r="H139" s="1" t="s">
        <v>774</v>
      </c>
      <c r="I139" s="1">
        <v>1</v>
      </c>
      <c r="J139" s="36">
        <v>0.06</v>
      </c>
    </row>
    <row r="140" spans="2:10" s="37" customFormat="1" ht="12.75" customHeight="1" x14ac:dyDescent="0.35">
      <c r="B140" s="1">
        <v>519443</v>
      </c>
      <c r="C140" s="1" t="s">
        <v>288</v>
      </c>
      <c r="D140" s="1" t="s">
        <v>11</v>
      </c>
      <c r="E140" s="1" t="s">
        <v>289</v>
      </c>
      <c r="F140" s="34" t="s">
        <v>3574</v>
      </c>
      <c r="G140" s="24">
        <v>7.06</v>
      </c>
      <c r="H140" s="1" t="s">
        <v>774</v>
      </c>
      <c r="I140" s="1">
        <v>1</v>
      </c>
      <c r="J140" s="36">
        <v>0.06</v>
      </c>
    </row>
    <row r="141" spans="2:10" s="37" customFormat="1" ht="12.75" customHeight="1" x14ac:dyDescent="0.35">
      <c r="B141" s="1">
        <v>519466</v>
      </c>
      <c r="C141" s="1" t="s">
        <v>290</v>
      </c>
      <c r="D141" s="1" t="s">
        <v>11</v>
      </c>
      <c r="E141" s="1" t="s">
        <v>291</v>
      </c>
      <c r="F141" s="34" t="s">
        <v>3574</v>
      </c>
      <c r="G141" s="24">
        <v>7.06</v>
      </c>
      <c r="H141" s="1" t="s">
        <v>774</v>
      </c>
      <c r="I141" s="1">
        <v>1</v>
      </c>
      <c r="J141" s="36">
        <v>0.06</v>
      </c>
    </row>
    <row r="142" spans="2:10" s="37" customFormat="1" ht="12.75" customHeight="1" x14ac:dyDescent="0.35">
      <c r="B142" s="1">
        <v>519469</v>
      </c>
      <c r="C142" s="1" t="s">
        <v>333</v>
      </c>
      <c r="D142" s="1" t="s">
        <v>11</v>
      </c>
      <c r="E142" s="1" t="s">
        <v>334</v>
      </c>
      <c r="F142" s="34" t="s">
        <v>3574</v>
      </c>
      <c r="G142" s="24">
        <v>5.39</v>
      </c>
      <c r="H142" s="1" t="s">
        <v>774</v>
      </c>
      <c r="I142" s="1">
        <v>1</v>
      </c>
      <c r="J142" s="36">
        <v>0.06</v>
      </c>
    </row>
    <row r="143" spans="2:10" s="37" customFormat="1" ht="12.75" customHeight="1" x14ac:dyDescent="0.35">
      <c r="B143" s="1">
        <v>519470</v>
      </c>
      <c r="C143" s="1" t="s">
        <v>246</v>
      </c>
      <c r="D143" s="1" t="s">
        <v>7</v>
      </c>
      <c r="E143" s="1" t="s">
        <v>247</v>
      </c>
      <c r="F143" s="34" t="s">
        <v>3553</v>
      </c>
      <c r="G143" s="24">
        <v>0.39200000000000002</v>
      </c>
      <c r="H143" s="1" t="s">
        <v>774</v>
      </c>
      <c r="I143" s="1">
        <v>50</v>
      </c>
      <c r="J143" s="36">
        <v>0.1</v>
      </c>
    </row>
    <row r="144" spans="2:10" s="37" customFormat="1" ht="12.75" customHeight="1" x14ac:dyDescent="0.35">
      <c r="B144" s="1">
        <v>519474</v>
      </c>
      <c r="C144" s="1" t="s">
        <v>431</v>
      </c>
      <c r="D144" s="1" t="s">
        <v>8</v>
      </c>
      <c r="E144" s="1" t="s">
        <v>432</v>
      </c>
      <c r="F144" s="34" t="s">
        <v>3574</v>
      </c>
      <c r="G144" s="24">
        <v>4</v>
      </c>
      <c r="H144" s="1" t="s">
        <v>774</v>
      </c>
      <c r="I144" s="1">
        <v>1</v>
      </c>
      <c r="J144" s="36">
        <v>0.06</v>
      </c>
    </row>
    <row r="145" spans="2:10" s="37" customFormat="1" ht="12.75" customHeight="1" x14ac:dyDescent="0.35">
      <c r="B145" s="1">
        <v>519494</v>
      </c>
      <c r="C145" s="1" t="s">
        <v>437</v>
      </c>
      <c r="D145" s="1" t="s">
        <v>439</v>
      </c>
      <c r="E145" s="1" t="s">
        <v>438</v>
      </c>
      <c r="F145" s="34" t="s">
        <v>3553</v>
      </c>
      <c r="G145" s="24">
        <v>22.9</v>
      </c>
      <c r="H145" s="1" t="s">
        <v>774</v>
      </c>
      <c r="I145" s="1">
        <v>10</v>
      </c>
      <c r="J145" s="36">
        <v>0.1</v>
      </c>
    </row>
    <row r="146" spans="2:10" s="37" customFormat="1" ht="12.75" customHeight="1" x14ac:dyDescent="0.35">
      <c r="B146" s="1">
        <v>519508</v>
      </c>
      <c r="C146" s="1" t="s">
        <v>292</v>
      </c>
      <c r="D146" s="1" t="s">
        <v>11</v>
      </c>
      <c r="E146" s="1" t="s">
        <v>293</v>
      </c>
      <c r="F146" s="34" t="s">
        <v>3574</v>
      </c>
      <c r="G146" s="24">
        <v>64.16</v>
      </c>
      <c r="H146" s="1" t="s">
        <v>774</v>
      </c>
      <c r="I146" s="1">
        <v>1</v>
      </c>
      <c r="J146" s="36">
        <v>0.06</v>
      </c>
    </row>
    <row r="147" spans="2:10" s="37" customFormat="1" ht="12.75" customHeight="1" x14ac:dyDescent="0.35">
      <c r="B147" s="1">
        <v>519509</v>
      </c>
      <c r="C147" s="1" t="s">
        <v>335</v>
      </c>
      <c r="D147" s="1" t="s">
        <v>11</v>
      </c>
      <c r="E147" s="1" t="s">
        <v>336</v>
      </c>
      <c r="F147" s="34" t="s">
        <v>3574</v>
      </c>
      <c r="G147" s="24">
        <v>89.05</v>
      </c>
      <c r="H147" s="1" t="s">
        <v>774</v>
      </c>
      <c r="I147" s="1">
        <v>1</v>
      </c>
      <c r="J147" s="36">
        <v>0.06</v>
      </c>
    </row>
    <row r="148" spans="2:10" s="37" customFormat="1" ht="12.75" customHeight="1" x14ac:dyDescent="0.35">
      <c r="B148" s="1">
        <v>519510</v>
      </c>
      <c r="C148" s="1" t="s">
        <v>294</v>
      </c>
      <c r="D148" s="1" t="s">
        <v>11</v>
      </c>
      <c r="E148" s="1" t="s">
        <v>295</v>
      </c>
      <c r="F148" s="34" t="s">
        <v>3574</v>
      </c>
      <c r="G148" s="24">
        <v>68.790000000000006</v>
      </c>
      <c r="H148" s="1" t="s">
        <v>774</v>
      </c>
      <c r="I148" s="1">
        <v>1</v>
      </c>
      <c r="J148" s="36">
        <v>0.06</v>
      </c>
    </row>
    <row r="149" spans="2:10" s="37" customFormat="1" ht="12.75" customHeight="1" x14ac:dyDescent="0.35">
      <c r="B149" s="1">
        <v>519524</v>
      </c>
      <c r="C149" s="1" t="s">
        <v>274</v>
      </c>
      <c r="D149" s="1" t="s">
        <v>7</v>
      </c>
      <c r="E149" s="1" t="s">
        <v>275</v>
      </c>
      <c r="F149" s="34" t="s">
        <v>3553</v>
      </c>
      <c r="G149" s="24">
        <v>0.14499999999999999</v>
      </c>
      <c r="H149" s="1" t="s">
        <v>774</v>
      </c>
      <c r="I149" s="1">
        <v>100</v>
      </c>
      <c r="J149" s="36">
        <v>0.1</v>
      </c>
    </row>
    <row r="150" spans="2:10" s="37" customFormat="1" ht="12.75" customHeight="1" x14ac:dyDescent="0.35">
      <c r="B150" s="1">
        <v>519545</v>
      </c>
      <c r="C150" s="1" t="s">
        <v>296</v>
      </c>
      <c r="D150" s="1" t="s">
        <v>11</v>
      </c>
      <c r="E150" s="1" t="s">
        <v>297</v>
      </c>
      <c r="F150" s="34" t="s">
        <v>3574</v>
      </c>
      <c r="G150" s="24">
        <v>20.23</v>
      </c>
      <c r="H150" s="1" t="s">
        <v>774</v>
      </c>
      <c r="I150" s="1">
        <v>1</v>
      </c>
      <c r="J150" s="36">
        <v>0.06</v>
      </c>
    </row>
    <row r="151" spans="2:10" s="37" customFormat="1" ht="12.75" customHeight="1" x14ac:dyDescent="0.35">
      <c r="B151" s="1">
        <v>519546</v>
      </c>
      <c r="C151" s="1" t="s">
        <v>314</v>
      </c>
      <c r="D151" s="1" t="s">
        <v>11</v>
      </c>
      <c r="E151" s="1" t="s">
        <v>3575</v>
      </c>
      <c r="F151" s="34" t="s">
        <v>3574</v>
      </c>
      <c r="G151" s="24">
        <v>45.17</v>
      </c>
      <c r="H151" s="1" t="s">
        <v>774</v>
      </c>
      <c r="I151" s="1">
        <v>1</v>
      </c>
      <c r="J151" s="36">
        <v>0.06</v>
      </c>
    </row>
    <row r="152" spans="2:10" s="37" customFormat="1" ht="12.75" customHeight="1" x14ac:dyDescent="0.35">
      <c r="B152" s="1">
        <v>519674</v>
      </c>
      <c r="C152" s="1" t="s">
        <v>469</v>
      </c>
      <c r="D152" s="1" t="s">
        <v>116</v>
      </c>
      <c r="E152" s="1" t="s">
        <v>470</v>
      </c>
      <c r="F152" s="34" t="s">
        <v>3552</v>
      </c>
      <c r="G152" s="24">
        <v>2.02</v>
      </c>
      <c r="H152" s="1" t="s">
        <v>774</v>
      </c>
      <c r="I152" s="1">
        <v>1</v>
      </c>
      <c r="J152" s="36">
        <v>0.1</v>
      </c>
    </row>
    <row r="153" spans="2:10" s="37" customFormat="1" ht="12.75" customHeight="1" x14ac:dyDescent="0.35">
      <c r="B153" s="1">
        <v>519767</v>
      </c>
      <c r="C153" s="1" t="s">
        <v>213</v>
      </c>
      <c r="D153" s="1" t="s">
        <v>10</v>
      </c>
      <c r="E153" s="1" t="s">
        <v>214</v>
      </c>
      <c r="F153" s="34" t="s">
        <v>3574</v>
      </c>
      <c r="G153" s="24">
        <v>195.23</v>
      </c>
      <c r="H153" s="1" t="s">
        <v>774</v>
      </c>
      <c r="I153" s="1">
        <v>11</v>
      </c>
      <c r="J153" s="36">
        <v>0.06</v>
      </c>
    </row>
    <row r="154" spans="2:10" s="37" customFormat="1" ht="12.75" customHeight="1" x14ac:dyDescent="0.35">
      <c r="B154" s="1">
        <v>519833</v>
      </c>
      <c r="C154" s="1" t="s">
        <v>342</v>
      </c>
      <c r="D154" s="1" t="s">
        <v>116</v>
      </c>
      <c r="E154" s="1" t="s">
        <v>343</v>
      </c>
      <c r="F154" s="34" t="s">
        <v>3552</v>
      </c>
      <c r="G154" s="24">
        <v>0.72</v>
      </c>
      <c r="H154" s="1" t="s">
        <v>774</v>
      </c>
      <c r="I154" s="1">
        <v>1</v>
      </c>
      <c r="J154" s="36">
        <v>0.1</v>
      </c>
    </row>
    <row r="155" spans="2:10" s="37" customFormat="1" ht="12.75" customHeight="1" x14ac:dyDescent="0.35">
      <c r="B155" s="1">
        <v>519862</v>
      </c>
      <c r="C155" s="1" t="s">
        <v>344</v>
      </c>
      <c r="D155" s="1" t="s">
        <v>116</v>
      </c>
      <c r="E155" s="1" t="s">
        <v>345</v>
      </c>
      <c r="F155" s="34" t="s">
        <v>3552</v>
      </c>
      <c r="G155" s="24">
        <v>0.36</v>
      </c>
      <c r="H155" s="1" t="s">
        <v>774</v>
      </c>
      <c r="I155" s="1">
        <v>1</v>
      </c>
      <c r="J155" s="36">
        <v>0.1</v>
      </c>
    </row>
    <row r="156" spans="2:10" s="37" customFormat="1" ht="12.75" customHeight="1" x14ac:dyDescent="0.35">
      <c r="B156" s="1">
        <v>519985</v>
      </c>
      <c r="C156" s="1" t="s">
        <v>248</v>
      </c>
      <c r="D156" s="1" t="s">
        <v>7</v>
      </c>
      <c r="E156" s="1" t="s">
        <v>249</v>
      </c>
      <c r="F156" s="34" t="s">
        <v>3553</v>
      </c>
      <c r="G156" s="24">
        <v>12.3</v>
      </c>
      <c r="H156" s="1" t="s">
        <v>774</v>
      </c>
      <c r="I156" s="1">
        <v>1</v>
      </c>
      <c r="J156" s="36">
        <v>0.1</v>
      </c>
    </row>
    <row r="157" spans="2:10" s="37" customFormat="1" ht="12.75" customHeight="1" x14ac:dyDescent="0.35">
      <c r="B157" s="1">
        <v>519995</v>
      </c>
      <c r="C157" s="1" t="s">
        <v>480</v>
      </c>
      <c r="D157" s="1" t="s">
        <v>116</v>
      </c>
      <c r="E157" s="1" t="s">
        <v>481</v>
      </c>
      <c r="F157" s="34" t="s">
        <v>3552</v>
      </c>
      <c r="G157" s="24">
        <v>0.7</v>
      </c>
      <c r="H157" s="1" t="s">
        <v>774</v>
      </c>
      <c r="I157" s="1">
        <v>11</v>
      </c>
      <c r="J157" s="36">
        <v>0.1</v>
      </c>
    </row>
    <row r="158" spans="2:10" s="37" customFormat="1" ht="12.75" customHeight="1" x14ac:dyDescent="0.35">
      <c r="B158" s="1">
        <v>520119</v>
      </c>
      <c r="C158" s="2" t="s">
        <v>642</v>
      </c>
      <c r="D158" s="1" t="s">
        <v>501</v>
      </c>
      <c r="E158" s="2" t="s">
        <v>645</v>
      </c>
      <c r="F158" s="34" t="s">
        <v>3552</v>
      </c>
      <c r="G158" s="24">
        <v>5.09</v>
      </c>
      <c r="H158" s="13" t="s">
        <v>3556</v>
      </c>
      <c r="I158" s="1">
        <v>328</v>
      </c>
      <c r="J158" s="36">
        <v>0.1</v>
      </c>
    </row>
    <row r="159" spans="2:10" s="37" customFormat="1" ht="12.75" customHeight="1" x14ac:dyDescent="0.35">
      <c r="B159" s="1">
        <v>520164</v>
      </c>
      <c r="C159" s="1" t="s">
        <v>406</v>
      </c>
      <c r="D159" s="1" t="s">
        <v>117</v>
      </c>
      <c r="E159" s="1" t="s">
        <v>407</v>
      </c>
      <c r="F159" s="34" t="s">
        <v>3574</v>
      </c>
      <c r="G159" s="24">
        <f>95.33/2000</f>
        <v>4.7664999999999999E-2</v>
      </c>
      <c r="H159" s="1" t="s">
        <v>3558</v>
      </c>
      <c r="I159" s="1">
        <v>2000</v>
      </c>
      <c r="J159" s="36">
        <v>0.06</v>
      </c>
    </row>
    <row r="160" spans="2:10" s="37" customFormat="1" ht="12.75" customHeight="1" x14ac:dyDescent="0.35">
      <c r="B160" s="1">
        <v>520214</v>
      </c>
      <c r="C160" s="1" t="s">
        <v>278</v>
      </c>
      <c r="D160" s="1" t="s">
        <v>7</v>
      </c>
      <c r="E160" s="1" t="s">
        <v>279</v>
      </c>
      <c r="F160" s="34" t="s">
        <v>3553</v>
      </c>
      <c r="G160" s="24">
        <v>97.4</v>
      </c>
      <c r="H160" s="1" t="s">
        <v>774</v>
      </c>
      <c r="I160" s="1">
        <v>1</v>
      </c>
      <c r="J160" s="36">
        <v>0.1</v>
      </c>
    </row>
    <row r="161" spans="2:10" s="37" customFormat="1" ht="12.75" customHeight="1" x14ac:dyDescent="0.35">
      <c r="B161" s="1">
        <v>520242</v>
      </c>
      <c r="C161" s="1" t="s">
        <v>145</v>
      </c>
      <c r="D161" s="1" t="s">
        <v>7</v>
      </c>
      <c r="E161" s="1" t="s">
        <v>146</v>
      </c>
      <c r="F161" s="34" t="s">
        <v>3553</v>
      </c>
      <c r="G161" s="24">
        <v>52.5</v>
      </c>
      <c r="H161" s="1" t="s">
        <v>3556</v>
      </c>
      <c r="I161" s="1">
        <v>100</v>
      </c>
      <c r="J161" s="36">
        <v>0.1</v>
      </c>
    </row>
    <row r="162" spans="2:10" s="37" customFormat="1" ht="12.75" customHeight="1" x14ac:dyDescent="0.35">
      <c r="B162" s="1">
        <v>520260</v>
      </c>
      <c r="C162" s="1" t="s">
        <v>446</v>
      </c>
      <c r="D162" s="1" t="s">
        <v>6</v>
      </c>
      <c r="E162" s="1" t="s">
        <v>448</v>
      </c>
      <c r="F162" s="34" t="s">
        <v>3552</v>
      </c>
      <c r="G162" s="24">
        <v>336</v>
      </c>
      <c r="H162" s="1" t="s">
        <v>774</v>
      </c>
      <c r="I162" s="1">
        <v>1</v>
      </c>
      <c r="J162" s="36">
        <v>0.1</v>
      </c>
    </row>
    <row r="163" spans="2:10" s="37" customFormat="1" ht="12.75" customHeight="1" x14ac:dyDescent="0.35">
      <c r="B163" s="1">
        <v>520359</v>
      </c>
      <c r="C163" s="1" t="s">
        <v>408</v>
      </c>
      <c r="D163" s="1" t="s">
        <v>6</v>
      </c>
      <c r="E163" s="1" t="s">
        <v>409</v>
      </c>
      <c r="F163" s="34" t="s">
        <v>3552</v>
      </c>
      <c r="G163" s="24">
        <v>1.28</v>
      </c>
      <c r="H163" s="1" t="s">
        <v>774</v>
      </c>
      <c r="I163" s="1">
        <v>200</v>
      </c>
      <c r="J163" s="36">
        <v>0.1</v>
      </c>
    </row>
    <row r="164" spans="2:10" s="37" customFormat="1" ht="12.75" customHeight="1" x14ac:dyDescent="0.35">
      <c r="B164" s="1">
        <v>520395</v>
      </c>
      <c r="C164" s="1" t="s">
        <v>250</v>
      </c>
      <c r="D164" s="1" t="s">
        <v>7</v>
      </c>
      <c r="E164" s="1" t="s">
        <v>251</v>
      </c>
      <c r="F164" s="34" t="s">
        <v>3553</v>
      </c>
      <c r="G164" s="24">
        <v>0.35899999999999999</v>
      </c>
      <c r="H164" s="1" t="s">
        <v>774</v>
      </c>
      <c r="I164" s="1">
        <v>100</v>
      </c>
      <c r="J164" s="36">
        <v>0.1</v>
      </c>
    </row>
    <row r="165" spans="2:10" s="37" customFormat="1" ht="12.75" customHeight="1" x14ac:dyDescent="0.35">
      <c r="B165" s="1">
        <v>520398</v>
      </c>
      <c r="C165" s="1" t="s">
        <v>184</v>
      </c>
      <c r="D165" s="1" t="s">
        <v>39</v>
      </c>
      <c r="E165" s="1" t="s">
        <v>185</v>
      </c>
      <c r="F165" s="34" t="s">
        <v>3553</v>
      </c>
      <c r="G165" s="24">
        <v>9.81</v>
      </c>
      <c r="H165" s="1" t="s">
        <v>774</v>
      </c>
      <c r="I165" s="1">
        <v>10</v>
      </c>
      <c r="J165" s="36">
        <v>0.1</v>
      </c>
    </row>
    <row r="166" spans="2:10" s="37" customFormat="1" ht="12.75" customHeight="1" x14ac:dyDescent="0.35">
      <c r="B166" s="1">
        <v>520408</v>
      </c>
      <c r="C166" s="1" t="s">
        <v>486</v>
      </c>
      <c r="D166" s="8" t="s">
        <v>748</v>
      </c>
      <c r="E166" s="1" t="s">
        <v>487</v>
      </c>
      <c r="F166" s="34" t="s">
        <v>3552</v>
      </c>
      <c r="G166" s="24">
        <v>935</v>
      </c>
      <c r="H166" s="1" t="s">
        <v>774</v>
      </c>
      <c r="I166" s="1">
        <v>1</v>
      </c>
      <c r="J166" s="36">
        <v>0.1</v>
      </c>
    </row>
    <row r="167" spans="2:10" s="37" customFormat="1" ht="12.75" customHeight="1" x14ac:dyDescent="0.35">
      <c r="B167" s="1">
        <v>520430</v>
      </c>
      <c r="C167" s="1" t="s">
        <v>421</v>
      </c>
      <c r="D167" s="1" t="s">
        <v>6</v>
      </c>
      <c r="E167" s="1" t="s">
        <v>422</v>
      </c>
      <c r="F167" s="34" t="s">
        <v>3552</v>
      </c>
      <c r="G167" s="24">
        <v>19.559999999999999</v>
      </c>
      <c r="H167" s="1" t="s">
        <v>774</v>
      </c>
      <c r="I167" s="1">
        <v>100</v>
      </c>
      <c r="J167" s="36">
        <v>0.1</v>
      </c>
    </row>
    <row r="168" spans="2:10" s="37" customFormat="1" ht="12.75" customHeight="1" x14ac:dyDescent="0.35">
      <c r="B168" s="1">
        <v>520435</v>
      </c>
      <c r="C168" s="1" t="s">
        <v>130</v>
      </c>
      <c r="D168" s="1" t="s">
        <v>128</v>
      </c>
      <c r="E168" s="1" t="s">
        <v>131</v>
      </c>
      <c r="F168" s="34" t="s">
        <v>3574</v>
      </c>
      <c r="G168" s="24">
        <v>6.3</v>
      </c>
      <c r="H168" s="1" t="s">
        <v>774</v>
      </c>
      <c r="I168" s="13">
        <v>100</v>
      </c>
      <c r="J168" s="36">
        <v>0.06</v>
      </c>
    </row>
    <row r="169" spans="2:10" s="37" customFormat="1" ht="12.75" customHeight="1" x14ac:dyDescent="0.35">
      <c r="B169" s="1">
        <v>520438</v>
      </c>
      <c r="C169" s="1" t="s">
        <v>147</v>
      </c>
      <c r="D169" s="1" t="s">
        <v>116</v>
      </c>
      <c r="E169" s="1" t="s">
        <v>148</v>
      </c>
      <c r="F169" s="34" t="s">
        <v>3574</v>
      </c>
      <c r="G169" s="24">
        <v>319.47000000000003</v>
      </c>
      <c r="H169" s="1" t="s">
        <v>774</v>
      </c>
      <c r="I169" s="1">
        <v>1</v>
      </c>
      <c r="J169" s="36">
        <v>0.06</v>
      </c>
    </row>
    <row r="170" spans="2:10" s="37" customFormat="1" ht="12.75" customHeight="1" x14ac:dyDescent="0.35">
      <c r="B170" s="1">
        <v>520493</v>
      </c>
      <c r="C170" s="1" t="s">
        <v>496</v>
      </c>
      <c r="D170" s="1" t="s">
        <v>203</v>
      </c>
      <c r="E170" s="1" t="s">
        <v>497</v>
      </c>
      <c r="F170" s="34" t="s">
        <v>3574</v>
      </c>
      <c r="G170" s="24">
        <v>120</v>
      </c>
      <c r="H170" s="1" t="s">
        <v>774</v>
      </c>
      <c r="I170" s="1">
        <v>1</v>
      </c>
      <c r="J170" s="36">
        <v>0.06</v>
      </c>
    </row>
    <row r="171" spans="2:10" s="37" customFormat="1" ht="12.75" customHeight="1" x14ac:dyDescent="0.35">
      <c r="B171" s="1">
        <v>520553</v>
      </c>
      <c r="C171" s="1" t="s">
        <v>315</v>
      </c>
      <c r="D171" s="1" t="s">
        <v>11</v>
      </c>
      <c r="E171" s="1" t="s">
        <v>316</v>
      </c>
      <c r="F171" s="34" t="s">
        <v>3574</v>
      </c>
      <c r="G171" s="24">
        <v>3.23</v>
      </c>
      <c r="H171" s="1" t="s">
        <v>774</v>
      </c>
      <c r="I171" s="1">
        <v>1</v>
      </c>
      <c r="J171" s="36">
        <v>0.06</v>
      </c>
    </row>
    <row r="172" spans="2:10" s="37" customFormat="1" ht="12.75" customHeight="1" x14ac:dyDescent="0.35">
      <c r="B172" s="1">
        <v>520578</v>
      </c>
      <c r="C172" s="1" t="s">
        <v>317</v>
      </c>
      <c r="D172" s="1" t="s">
        <v>11</v>
      </c>
      <c r="E172" s="1" t="s">
        <v>318</v>
      </c>
      <c r="F172" s="34" t="s">
        <v>3574</v>
      </c>
      <c r="G172" s="24">
        <v>49.64</v>
      </c>
      <c r="H172" s="1" t="s">
        <v>774</v>
      </c>
      <c r="I172" s="1">
        <v>1</v>
      </c>
      <c r="J172" s="36">
        <v>0.06</v>
      </c>
    </row>
    <row r="173" spans="2:10" s="37" customFormat="1" ht="12.75" customHeight="1" x14ac:dyDescent="0.35">
      <c r="B173" s="1">
        <v>520579</v>
      </c>
      <c r="C173" s="1" t="s">
        <v>319</v>
      </c>
      <c r="D173" s="1" t="s">
        <v>11</v>
      </c>
      <c r="E173" s="1" t="s">
        <v>320</v>
      </c>
      <c r="F173" s="34" t="s">
        <v>3574</v>
      </c>
      <c r="G173" s="24">
        <v>38.119999999999997</v>
      </c>
      <c r="H173" s="1" t="s">
        <v>774</v>
      </c>
      <c r="I173" s="1">
        <v>1</v>
      </c>
      <c r="J173" s="36">
        <v>0.06</v>
      </c>
    </row>
    <row r="174" spans="2:10" s="37" customFormat="1" ht="12.75" customHeight="1" x14ac:dyDescent="0.35">
      <c r="B174" s="1">
        <v>520580</v>
      </c>
      <c r="C174" s="1" t="s">
        <v>321</v>
      </c>
      <c r="D174" s="1" t="s">
        <v>11</v>
      </c>
      <c r="E174" s="1" t="s">
        <v>322</v>
      </c>
      <c r="F174" s="34" t="s">
        <v>3574</v>
      </c>
      <c r="G174" s="24">
        <v>125.25</v>
      </c>
      <c r="H174" s="1" t="s">
        <v>774</v>
      </c>
      <c r="I174" s="1">
        <v>1</v>
      </c>
      <c r="J174" s="36">
        <v>0.06</v>
      </c>
    </row>
    <row r="175" spans="2:10" s="37" customFormat="1" ht="12.75" customHeight="1" x14ac:dyDescent="0.35">
      <c r="B175" s="1">
        <v>520581</v>
      </c>
      <c r="C175" s="1" t="s">
        <v>323</v>
      </c>
      <c r="D175" s="1" t="s">
        <v>11</v>
      </c>
      <c r="E175" s="1" t="s">
        <v>324</v>
      </c>
      <c r="F175" s="34" t="s">
        <v>3574</v>
      </c>
      <c r="G175" s="24">
        <v>70.459999999999994</v>
      </c>
      <c r="H175" s="1" t="s">
        <v>774</v>
      </c>
      <c r="I175" s="1">
        <v>1</v>
      </c>
      <c r="J175" s="36">
        <v>0.06</v>
      </c>
    </row>
    <row r="176" spans="2:10" s="37" customFormat="1" ht="12.75" customHeight="1" x14ac:dyDescent="0.35">
      <c r="B176" s="1">
        <v>520583</v>
      </c>
      <c r="C176" s="1" t="s">
        <v>270</v>
      </c>
      <c r="D176" s="1" t="s">
        <v>7</v>
      </c>
      <c r="E176" s="1" t="s">
        <v>271</v>
      </c>
      <c r="F176" s="34" t="s">
        <v>3553</v>
      </c>
      <c r="G176" s="24">
        <v>1.012</v>
      </c>
      <c r="H176" s="1" t="s">
        <v>774</v>
      </c>
      <c r="I176" s="1">
        <v>25</v>
      </c>
      <c r="J176" s="36">
        <v>0.1</v>
      </c>
    </row>
    <row r="177" spans="2:10" s="37" customFormat="1" ht="12.75" customHeight="1" x14ac:dyDescent="0.35">
      <c r="B177" s="1">
        <v>520605</v>
      </c>
      <c r="C177" s="1" t="s">
        <v>325</v>
      </c>
      <c r="D177" s="1" t="s">
        <v>11</v>
      </c>
      <c r="E177" s="1" t="s">
        <v>326</v>
      </c>
      <c r="F177" s="34" t="s">
        <v>3574</v>
      </c>
      <c r="G177" s="24">
        <v>36.909999999999997</v>
      </c>
      <c r="H177" s="1" t="s">
        <v>774</v>
      </c>
      <c r="I177" s="1">
        <v>1</v>
      </c>
      <c r="J177" s="36">
        <v>0.06</v>
      </c>
    </row>
    <row r="178" spans="2:10" s="37" customFormat="1" ht="12.75" customHeight="1" x14ac:dyDescent="0.35">
      <c r="B178" s="1">
        <v>520610</v>
      </c>
      <c r="C178" s="1" t="s">
        <v>272</v>
      </c>
      <c r="D178" s="1" t="s">
        <v>7</v>
      </c>
      <c r="E178" s="1" t="s">
        <v>273</v>
      </c>
      <c r="F178" s="34" t="s">
        <v>3553</v>
      </c>
      <c r="G178" s="24">
        <f>15.5/25</f>
        <v>0.62</v>
      </c>
      <c r="H178" s="1" t="s">
        <v>774</v>
      </c>
      <c r="I178" s="1">
        <v>25</v>
      </c>
      <c r="J178" s="36">
        <v>0.1</v>
      </c>
    </row>
    <row r="179" spans="2:10" s="37" customFormat="1" ht="12.75" customHeight="1" x14ac:dyDescent="0.35">
      <c r="B179" s="1">
        <v>520611</v>
      </c>
      <c r="C179" s="1" t="s">
        <v>440</v>
      </c>
      <c r="D179" s="1" t="s">
        <v>439</v>
      </c>
      <c r="E179" s="1" t="s">
        <v>441</v>
      </c>
      <c r="F179" s="34" t="s">
        <v>3553</v>
      </c>
      <c r="G179" s="24">
        <v>59.9</v>
      </c>
      <c r="H179" s="1" t="s">
        <v>774</v>
      </c>
      <c r="I179" s="1">
        <v>5</v>
      </c>
      <c r="J179" s="36">
        <v>0.1</v>
      </c>
    </row>
    <row r="180" spans="2:10" s="37" customFormat="1" ht="12.75" customHeight="1" x14ac:dyDescent="0.35">
      <c r="B180" s="1">
        <v>520617</v>
      </c>
      <c r="C180" s="1" t="s">
        <v>410</v>
      </c>
      <c r="D180" s="1" t="s">
        <v>6</v>
      </c>
      <c r="E180" s="1" t="s">
        <v>411</v>
      </c>
      <c r="F180" s="34" t="s">
        <v>3552</v>
      </c>
      <c r="G180" s="24">
        <v>128</v>
      </c>
      <c r="H180" s="1" t="s">
        <v>774</v>
      </c>
      <c r="I180" s="13">
        <v>4</v>
      </c>
      <c r="J180" s="36">
        <v>0.1</v>
      </c>
    </row>
    <row r="181" spans="2:10" s="37" customFormat="1" ht="12.75" customHeight="1" x14ac:dyDescent="0.35">
      <c r="B181" s="1">
        <v>520630</v>
      </c>
      <c r="C181" s="1" t="s">
        <v>286</v>
      </c>
      <c r="D181" s="1" t="s">
        <v>11</v>
      </c>
      <c r="E181" s="1" t="s">
        <v>287</v>
      </c>
      <c r="F181" s="34" t="s">
        <v>3574</v>
      </c>
      <c r="G181" s="24">
        <v>32.92</v>
      </c>
      <c r="H181" s="1" t="s">
        <v>774</v>
      </c>
      <c r="I181" s="1">
        <v>1</v>
      </c>
      <c r="J181" s="36">
        <v>0.06</v>
      </c>
    </row>
    <row r="182" spans="2:10" s="37" customFormat="1" ht="12.75" customHeight="1" x14ac:dyDescent="0.35">
      <c r="B182" s="1">
        <v>520631</v>
      </c>
      <c r="C182" s="1" t="s">
        <v>194</v>
      </c>
      <c r="D182" s="1" t="s">
        <v>104</v>
      </c>
      <c r="E182" s="1" t="s">
        <v>195</v>
      </c>
      <c r="F182" s="34" t="s">
        <v>3574</v>
      </c>
      <c r="G182" s="24">
        <v>7</v>
      </c>
      <c r="H182" s="1" t="s">
        <v>774</v>
      </c>
      <c r="I182" s="1">
        <v>1</v>
      </c>
      <c r="J182" s="36">
        <v>0.06</v>
      </c>
    </row>
    <row r="183" spans="2:10" s="37" customFormat="1" ht="12.75" customHeight="1" x14ac:dyDescent="0.35">
      <c r="B183" s="1">
        <v>520651</v>
      </c>
      <c r="C183" s="1" t="s">
        <v>172</v>
      </c>
      <c r="D183" s="1" t="s">
        <v>93</v>
      </c>
      <c r="E183" s="1" t="s">
        <v>173</v>
      </c>
      <c r="F183" s="34" t="s">
        <v>3553</v>
      </c>
      <c r="G183" s="24">
        <v>5.4</v>
      </c>
      <c r="H183" s="1" t="s">
        <v>774</v>
      </c>
      <c r="I183" s="1">
        <v>1</v>
      </c>
      <c r="J183" s="36">
        <v>0.1</v>
      </c>
    </row>
    <row r="184" spans="2:10" s="37" customFormat="1" ht="12.75" customHeight="1" x14ac:dyDescent="0.35">
      <c r="B184" s="1">
        <v>520664</v>
      </c>
      <c r="C184" s="1" t="s">
        <v>266</v>
      </c>
      <c r="D184" s="1" t="s">
        <v>7</v>
      </c>
      <c r="E184" s="1" t="s">
        <v>267</v>
      </c>
      <c r="F184" s="34" t="s">
        <v>3553</v>
      </c>
      <c r="G184" s="24">
        <v>1.88</v>
      </c>
      <c r="H184" s="1" t="s">
        <v>774</v>
      </c>
      <c r="I184" s="1">
        <v>10</v>
      </c>
      <c r="J184" s="36">
        <v>0.1</v>
      </c>
    </row>
    <row r="185" spans="2:10" s="37" customFormat="1" ht="12.75" customHeight="1" x14ac:dyDescent="0.35">
      <c r="B185" s="1">
        <v>520666</v>
      </c>
      <c r="C185" s="1" t="s">
        <v>268</v>
      </c>
      <c r="D185" s="1" t="s">
        <v>7</v>
      </c>
      <c r="E185" s="1" t="s">
        <v>269</v>
      </c>
      <c r="F185" s="34" t="s">
        <v>3553</v>
      </c>
      <c r="G185" s="24">
        <v>0.42399999999999999</v>
      </c>
      <c r="H185" s="1" t="s">
        <v>774</v>
      </c>
      <c r="I185" s="1">
        <v>50</v>
      </c>
      <c r="J185" s="36">
        <v>0.1</v>
      </c>
    </row>
    <row r="186" spans="2:10" s="37" customFormat="1" ht="12.75" customHeight="1" x14ac:dyDescent="0.35">
      <c r="B186" s="1">
        <v>520669</v>
      </c>
      <c r="C186" s="1" t="s">
        <v>327</v>
      </c>
      <c r="D186" s="1" t="s">
        <v>11</v>
      </c>
      <c r="E186" s="1" t="s">
        <v>328</v>
      </c>
      <c r="F186" s="34" t="s">
        <v>3574</v>
      </c>
      <c r="G186" s="24">
        <v>4.21</v>
      </c>
      <c r="H186" s="1" t="s">
        <v>774</v>
      </c>
      <c r="I186" s="1">
        <v>1</v>
      </c>
      <c r="J186" s="36">
        <v>0.06</v>
      </c>
    </row>
    <row r="187" spans="2:10" s="37" customFormat="1" ht="12.75" customHeight="1" x14ac:dyDescent="0.35">
      <c r="B187" s="1">
        <v>520670</v>
      </c>
      <c r="C187" s="1" t="s">
        <v>242</v>
      </c>
      <c r="D187" s="1" t="s">
        <v>7</v>
      </c>
      <c r="E187" s="1" t="s">
        <v>243</v>
      </c>
      <c r="F187" s="34" t="s">
        <v>3553</v>
      </c>
      <c r="G187" s="24">
        <v>7.0999999999999994E-2</v>
      </c>
      <c r="H187" s="1" t="s">
        <v>774</v>
      </c>
      <c r="I187" s="1">
        <v>100</v>
      </c>
      <c r="J187" s="36">
        <v>0.1</v>
      </c>
    </row>
    <row r="188" spans="2:10" s="37" customFormat="1" ht="12.75" customHeight="1" x14ac:dyDescent="0.35">
      <c r="B188" s="1">
        <v>520746</v>
      </c>
      <c r="C188" s="1" t="s">
        <v>284</v>
      </c>
      <c r="D188" s="1" t="s">
        <v>117</v>
      </c>
      <c r="E188" s="1" t="s">
        <v>285</v>
      </c>
      <c r="F188" s="34" t="s">
        <v>3574</v>
      </c>
      <c r="G188" s="24">
        <v>309.02</v>
      </c>
      <c r="H188" s="1" t="s">
        <v>774</v>
      </c>
      <c r="I188" s="1">
        <v>1</v>
      </c>
      <c r="J188" s="36">
        <v>0.06</v>
      </c>
    </row>
    <row r="189" spans="2:10" s="37" customFormat="1" ht="12.75" customHeight="1" x14ac:dyDescent="0.35">
      <c r="B189" s="1">
        <v>520747</v>
      </c>
      <c r="C189" s="1" t="s">
        <v>397</v>
      </c>
      <c r="D189" s="1" t="s">
        <v>398</v>
      </c>
      <c r="E189" s="1" t="s">
        <v>399</v>
      </c>
      <c r="F189" s="34" t="s">
        <v>3574</v>
      </c>
      <c r="G189" s="24">
        <v>6380</v>
      </c>
      <c r="H189" s="1" t="s">
        <v>774</v>
      </c>
      <c r="I189" s="1">
        <v>1</v>
      </c>
      <c r="J189" s="36">
        <v>0.06</v>
      </c>
    </row>
    <row r="190" spans="2:10" s="37" customFormat="1" ht="12.75" customHeight="1" x14ac:dyDescent="0.35">
      <c r="B190" s="1">
        <v>520748</v>
      </c>
      <c r="C190" s="1" t="s">
        <v>400</v>
      </c>
      <c r="D190" s="1" t="s">
        <v>398</v>
      </c>
      <c r="E190" s="1" t="s">
        <v>401</v>
      </c>
      <c r="F190" s="34" t="s">
        <v>3574</v>
      </c>
      <c r="G190" s="24">
        <v>5619</v>
      </c>
      <c r="H190" s="1" t="s">
        <v>774</v>
      </c>
      <c r="I190" s="1">
        <v>1</v>
      </c>
      <c r="J190" s="36">
        <v>0.06</v>
      </c>
    </row>
    <row r="191" spans="2:10" s="37" customFormat="1" ht="12.75" customHeight="1" x14ac:dyDescent="0.35">
      <c r="B191" s="1">
        <v>530024</v>
      </c>
      <c r="C191" s="1" t="s">
        <v>152</v>
      </c>
      <c r="D191" s="1" t="s">
        <v>117</v>
      </c>
      <c r="E191" s="1" t="s">
        <v>153</v>
      </c>
      <c r="F191" s="34" t="s">
        <v>3574</v>
      </c>
      <c r="G191" s="24">
        <v>419.62</v>
      </c>
      <c r="H191" s="1" t="s">
        <v>3556</v>
      </c>
      <c r="I191" s="1">
        <v>100</v>
      </c>
      <c r="J191" s="36">
        <v>0.06</v>
      </c>
    </row>
    <row r="192" spans="2:10" s="37" customFormat="1" ht="12.75" customHeight="1" x14ac:dyDescent="0.35">
      <c r="B192" s="1">
        <v>530140</v>
      </c>
      <c r="C192" s="1" t="s">
        <v>498</v>
      </c>
      <c r="D192" s="1" t="s">
        <v>6</v>
      </c>
      <c r="E192" s="1" t="s">
        <v>499</v>
      </c>
      <c r="F192" s="34" t="s">
        <v>3552</v>
      </c>
      <c r="G192" s="24">
        <v>4.1100000000000003</v>
      </c>
      <c r="H192" s="1" t="s">
        <v>774</v>
      </c>
      <c r="I192" s="1">
        <v>50</v>
      </c>
      <c r="J192" s="36">
        <v>0.1</v>
      </c>
    </row>
    <row r="193" spans="2:10" s="37" customFormat="1" ht="12.75" customHeight="1" x14ac:dyDescent="0.35">
      <c r="B193" s="1">
        <v>530205</v>
      </c>
      <c r="C193" s="1" t="s">
        <v>154</v>
      </c>
      <c r="D193" s="1" t="s">
        <v>117</v>
      </c>
      <c r="E193" s="1" t="s">
        <v>155</v>
      </c>
      <c r="F193" s="34" t="s">
        <v>3574</v>
      </c>
      <c r="G193" s="24">
        <f>504.57/100</f>
        <v>5.0457000000000001</v>
      </c>
      <c r="H193" s="39" t="s">
        <v>3556</v>
      </c>
      <c r="I193" s="1">
        <v>100</v>
      </c>
      <c r="J193" s="36">
        <v>0.06</v>
      </c>
    </row>
    <row r="194" spans="2:10" s="37" customFormat="1" ht="12.75" customHeight="1" x14ac:dyDescent="0.35">
      <c r="B194" s="1">
        <v>530496</v>
      </c>
      <c r="C194" s="1" t="s">
        <v>488</v>
      </c>
      <c r="D194" s="1" t="s">
        <v>5</v>
      </c>
      <c r="E194" s="1" t="s">
        <v>489</v>
      </c>
      <c r="F194" s="34" t="s">
        <v>3553</v>
      </c>
      <c r="G194" s="24">
        <v>47.58</v>
      </c>
      <c r="H194" s="1" t="s">
        <v>774</v>
      </c>
      <c r="I194" s="1">
        <v>1</v>
      </c>
      <c r="J194" s="36">
        <v>0.1</v>
      </c>
    </row>
    <row r="195" spans="2:10" s="37" customFormat="1" ht="12.75" customHeight="1" x14ac:dyDescent="0.35">
      <c r="B195" s="1">
        <v>530497</v>
      </c>
      <c r="C195" s="1" t="s">
        <v>490</v>
      </c>
      <c r="D195" s="1" t="s">
        <v>5</v>
      </c>
      <c r="E195" s="1" t="s">
        <v>491</v>
      </c>
      <c r="F195" s="34" t="s">
        <v>3553</v>
      </c>
      <c r="G195" s="24">
        <v>53.8</v>
      </c>
      <c r="H195" s="1" t="s">
        <v>774</v>
      </c>
      <c r="I195" s="1">
        <v>1</v>
      </c>
      <c r="J195" s="36">
        <v>0.1</v>
      </c>
    </row>
    <row r="196" spans="2:10" s="37" customFormat="1" ht="12.75" customHeight="1" x14ac:dyDescent="0.35">
      <c r="B196" s="1">
        <v>530583</v>
      </c>
      <c r="C196" s="1" t="s">
        <v>276</v>
      </c>
      <c r="D196" s="1" t="s">
        <v>7</v>
      </c>
      <c r="E196" s="1" t="s">
        <v>277</v>
      </c>
      <c r="F196" s="34" t="s">
        <v>3553</v>
      </c>
      <c r="G196" s="24">
        <v>9.1999999999999998E-2</v>
      </c>
      <c r="H196" s="1" t="s">
        <v>774</v>
      </c>
      <c r="I196" s="1">
        <v>100</v>
      </c>
      <c r="J196" s="36">
        <v>0.1</v>
      </c>
    </row>
    <row r="197" spans="2:10" s="37" customFormat="1" ht="12.75" customHeight="1" x14ac:dyDescent="0.35">
      <c r="B197" s="1">
        <v>530663</v>
      </c>
      <c r="C197" s="1" t="s">
        <v>244</v>
      </c>
      <c r="D197" s="1" t="s">
        <v>7</v>
      </c>
      <c r="E197" s="1" t="s">
        <v>245</v>
      </c>
      <c r="F197" s="34" t="s">
        <v>3553</v>
      </c>
      <c r="G197" s="24">
        <v>0.28000000000000003</v>
      </c>
      <c r="H197" s="1" t="s">
        <v>774</v>
      </c>
      <c r="I197" s="1">
        <v>100</v>
      </c>
      <c r="J197" s="36">
        <v>0.1</v>
      </c>
    </row>
    <row r="198" spans="2:10" s="37" customFormat="1" ht="12.75" customHeight="1" x14ac:dyDescent="0.35">
      <c r="B198" s="1">
        <v>530761</v>
      </c>
      <c r="C198" s="1" t="s">
        <v>337</v>
      </c>
      <c r="D198" s="1" t="s">
        <v>11</v>
      </c>
      <c r="E198" s="1" t="s">
        <v>3576</v>
      </c>
      <c r="F198" s="34" t="s">
        <v>3574</v>
      </c>
      <c r="G198" s="24">
        <v>19.72</v>
      </c>
      <c r="H198" s="1" t="s">
        <v>774</v>
      </c>
      <c r="I198" s="1">
        <v>1</v>
      </c>
      <c r="J198" s="36">
        <v>0.06</v>
      </c>
    </row>
    <row r="199" spans="2:10" s="37" customFormat="1" ht="12.75" customHeight="1" x14ac:dyDescent="0.35">
      <c r="B199" s="1">
        <v>530995</v>
      </c>
      <c r="C199" s="1" t="s">
        <v>302</v>
      </c>
      <c r="D199" s="1" t="s">
        <v>11</v>
      </c>
      <c r="E199" s="1" t="s">
        <v>126</v>
      </c>
      <c r="F199" s="34" t="s">
        <v>3574</v>
      </c>
      <c r="G199" s="24">
        <v>5.38</v>
      </c>
      <c r="H199" s="1" t="s">
        <v>774</v>
      </c>
      <c r="I199" s="1">
        <v>1</v>
      </c>
      <c r="J199" s="36">
        <v>0.06</v>
      </c>
    </row>
    <row r="200" spans="2:10" s="37" customFormat="1" ht="12.75" customHeight="1" x14ac:dyDescent="0.35">
      <c r="B200" s="1">
        <v>531082</v>
      </c>
      <c r="C200" s="1" t="s">
        <v>282</v>
      </c>
      <c r="D200" s="1" t="s">
        <v>7</v>
      </c>
      <c r="E200" s="1" t="s">
        <v>283</v>
      </c>
      <c r="F200" s="34" t="s">
        <v>3553</v>
      </c>
      <c r="G200" s="24">
        <v>0.67600000000000005</v>
      </c>
      <c r="H200" s="1" t="s">
        <v>774</v>
      </c>
      <c r="I200" s="1">
        <v>25</v>
      </c>
      <c r="J200" s="36">
        <v>0.1</v>
      </c>
    </row>
    <row r="201" spans="2:10" s="37" customFormat="1" ht="12.75" customHeight="1" x14ac:dyDescent="0.35">
      <c r="B201" s="1">
        <v>531118</v>
      </c>
      <c r="C201" s="1" t="s">
        <v>298</v>
      </c>
      <c r="D201" s="1" t="s">
        <v>11</v>
      </c>
      <c r="E201" s="1" t="s">
        <v>299</v>
      </c>
      <c r="F201" s="34" t="s">
        <v>3574</v>
      </c>
      <c r="G201" s="24">
        <v>74.59</v>
      </c>
      <c r="H201" s="1" t="s">
        <v>774</v>
      </c>
      <c r="I201" s="1">
        <v>1</v>
      </c>
      <c r="J201" s="36">
        <v>0.06</v>
      </c>
    </row>
    <row r="202" spans="2:10" s="37" customFormat="1" ht="12.75" customHeight="1" x14ac:dyDescent="0.35">
      <c r="B202" s="1">
        <v>531119</v>
      </c>
      <c r="C202" s="1" t="s">
        <v>300</v>
      </c>
      <c r="D202" s="1" t="s">
        <v>11</v>
      </c>
      <c r="E202" s="1" t="s">
        <v>301</v>
      </c>
      <c r="F202" s="34" t="s">
        <v>3574</v>
      </c>
      <c r="G202" s="24">
        <v>96.56</v>
      </c>
      <c r="H202" s="1" t="s">
        <v>774</v>
      </c>
      <c r="I202" s="1">
        <v>1</v>
      </c>
      <c r="J202" s="36">
        <v>0.06</v>
      </c>
    </row>
    <row r="203" spans="2:10" s="37" customFormat="1" ht="12.75" customHeight="1" x14ac:dyDescent="0.35">
      <c r="B203" s="1">
        <v>531167</v>
      </c>
      <c r="C203" s="1" t="s">
        <v>471</v>
      </c>
      <c r="D203" s="1" t="s">
        <v>116</v>
      </c>
      <c r="E203" s="1" t="s">
        <v>472</v>
      </c>
      <c r="F203" s="34" t="s">
        <v>3552</v>
      </c>
      <c r="G203" s="24">
        <v>2.75</v>
      </c>
      <c r="H203" s="1" t="s">
        <v>774</v>
      </c>
      <c r="I203" s="1">
        <v>1</v>
      </c>
      <c r="J203" s="36">
        <v>0.1</v>
      </c>
    </row>
    <row r="204" spans="2:10" s="37" customFormat="1" ht="12.75" customHeight="1" x14ac:dyDescent="0.35">
      <c r="B204" s="1">
        <v>531168</v>
      </c>
      <c r="C204" s="1" t="s">
        <v>473</v>
      </c>
      <c r="D204" s="1" t="s">
        <v>116</v>
      </c>
      <c r="E204" s="1" t="s">
        <v>474</v>
      </c>
      <c r="F204" s="34" t="s">
        <v>3552</v>
      </c>
      <c r="G204" s="24">
        <v>1.58</v>
      </c>
      <c r="H204" s="1" t="s">
        <v>774</v>
      </c>
      <c r="I204" s="1">
        <v>1</v>
      </c>
      <c r="J204" s="36">
        <v>0.1</v>
      </c>
    </row>
    <row r="205" spans="2:10" s="37" customFormat="1" ht="12.75" customHeight="1" x14ac:dyDescent="0.35">
      <c r="B205" s="1">
        <v>531189</v>
      </c>
      <c r="C205" s="1" t="s">
        <v>217</v>
      </c>
      <c r="D205" s="1" t="s">
        <v>7</v>
      </c>
      <c r="E205" s="1" t="s">
        <v>218</v>
      </c>
      <c r="F205" s="34" t="s">
        <v>3553</v>
      </c>
      <c r="G205" s="24">
        <v>882</v>
      </c>
      <c r="H205" s="1" t="s">
        <v>774</v>
      </c>
      <c r="I205" s="1">
        <v>1</v>
      </c>
      <c r="J205" s="36">
        <v>0.1</v>
      </c>
    </row>
    <row r="206" spans="2:10" s="37" customFormat="1" ht="12.75" customHeight="1" x14ac:dyDescent="0.35">
      <c r="B206" s="1">
        <v>531232</v>
      </c>
      <c r="C206" s="1" t="s">
        <v>186</v>
      </c>
      <c r="D206" s="1" t="s">
        <v>6</v>
      </c>
      <c r="E206" s="1" t="s">
        <v>187</v>
      </c>
      <c r="F206" s="34" t="s">
        <v>3552</v>
      </c>
      <c r="G206" s="24">
        <f>22.87</f>
        <v>22.87</v>
      </c>
      <c r="H206" s="1" t="s">
        <v>3556</v>
      </c>
      <c r="I206" s="1">
        <v>100</v>
      </c>
      <c r="J206" s="36">
        <v>0.1</v>
      </c>
    </row>
    <row r="207" spans="2:10" s="37" customFormat="1" ht="12.75" customHeight="1" x14ac:dyDescent="0.35">
      <c r="B207" s="1">
        <v>531233</v>
      </c>
      <c r="C207" s="1" t="s">
        <v>188</v>
      </c>
      <c r="D207" s="1" t="s">
        <v>6</v>
      </c>
      <c r="E207" s="1" t="s">
        <v>189</v>
      </c>
      <c r="F207" s="34" t="s">
        <v>3552</v>
      </c>
      <c r="G207" s="24">
        <v>8.56</v>
      </c>
      <c r="H207" s="1" t="s">
        <v>3556</v>
      </c>
      <c r="I207" s="1">
        <v>100</v>
      </c>
      <c r="J207" s="36">
        <v>0.1</v>
      </c>
    </row>
    <row r="208" spans="2:10" s="37" customFormat="1" ht="12.75" customHeight="1" x14ac:dyDescent="0.35">
      <c r="B208" s="1">
        <v>531257</v>
      </c>
      <c r="C208" s="1" t="s">
        <v>475</v>
      </c>
      <c r="D208" s="1" t="s">
        <v>116</v>
      </c>
      <c r="E208" s="1" t="s">
        <v>476</v>
      </c>
      <c r="F208" s="34" t="s">
        <v>3552</v>
      </c>
      <c r="G208" s="24">
        <v>11.35</v>
      </c>
      <c r="H208" s="1" t="s">
        <v>774</v>
      </c>
      <c r="I208" s="1">
        <v>1</v>
      </c>
      <c r="J208" s="36">
        <v>0.1</v>
      </c>
    </row>
    <row r="209" spans="2:10" s="37" customFormat="1" ht="12.75" customHeight="1" x14ac:dyDescent="0.35">
      <c r="B209" s="1">
        <v>531351</v>
      </c>
      <c r="C209" s="1" t="s">
        <v>477</v>
      </c>
      <c r="D209" s="1" t="s">
        <v>116</v>
      </c>
      <c r="E209" s="1" t="s">
        <v>478</v>
      </c>
      <c r="F209" s="34" t="s">
        <v>3552</v>
      </c>
      <c r="G209" s="24">
        <v>48.78</v>
      </c>
      <c r="H209" s="1" t="s">
        <v>774</v>
      </c>
      <c r="I209" s="1">
        <v>1</v>
      </c>
      <c r="J209" s="36">
        <v>0.1</v>
      </c>
    </row>
    <row r="210" spans="2:10" s="37" customFormat="1" ht="12.75" customHeight="1" x14ac:dyDescent="0.35">
      <c r="B210" s="1">
        <v>540094</v>
      </c>
      <c r="C210" s="1" t="s">
        <v>500</v>
      </c>
      <c r="D210" s="1" t="s">
        <v>501</v>
      </c>
      <c r="E210" s="1" t="s">
        <v>502</v>
      </c>
      <c r="F210" s="34" t="s">
        <v>3552</v>
      </c>
      <c r="G210" s="24">
        <v>158.03</v>
      </c>
      <c r="H210" s="1" t="s">
        <v>774</v>
      </c>
      <c r="I210" s="1">
        <v>1</v>
      </c>
      <c r="J210" s="36">
        <v>0.1</v>
      </c>
    </row>
    <row r="211" spans="2:10" s="37" customFormat="1" ht="12.75" customHeight="1" x14ac:dyDescent="0.35">
      <c r="B211" s="1">
        <v>540213</v>
      </c>
      <c r="C211" s="1" t="s">
        <v>219</v>
      </c>
      <c r="D211" s="1" t="s">
        <v>115</v>
      </c>
      <c r="E211" s="1" t="s">
        <v>220</v>
      </c>
      <c r="F211" s="34" t="s">
        <v>3574</v>
      </c>
      <c r="G211" s="24">
        <v>305</v>
      </c>
      <c r="H211" s="1" t="s">
        <v>774</v>
      </c>
      <c r="I211" s="1">
        <v>1</v>
      </c>
      <c r="J211" s="36">
        <v>0.06</v>
      </c>
    </row>
    <row r="212" spans="2:10" s="37" customFormat="1" ht="12.75" customHeight="1" x14ac:dyDescent="0.35">
      <c r="B212" s="1">
        <v>540214</v>
      </c>
      <c r="C212" s="1" t="s">
        <v>221</v>
      </c>
      <c r="D212" s="1" t="s">
        <v>115</v>
      </c>
      <c r="E212" s="1" t="s">
        <v>222</v>
      </c>
      <c r="F212" s="34" t="s">
        <v>3574</v>
      </c>
      <c r="G212" s="24">
        <v>305</v>
      </c>
      <c r="H212" s="1" t="s">
        <v>774</v>
      </c>
      <c r="I212" s="1">
        <v>1</v>
      </c>
      <c r="J212" s="36">
        <v>0.06</v>
      </c>
    </row>
    <row r="213" spans="2:10" s="37" customFormat="1" ht="12.75" customHeight="1" x14ac:dyDescent="0.35">
      <c r="B213" s="1">
        <v>540219</v>
      </c>
      <c r="C213" s="1" t="s">
        <v>303</v>
      </c>
      <c r="D213" s="1" t="s">
        <v>11</v>
      </c>
      <c r="E213" s="1" t="s">
        <v>304</v>
      </c>
      <c r="F213" s="34" t="s">
        <v>3574</v>
      </c>
      <c r="G213" s="24">
        <v>33.74</v>
      </c>
      <c r="H213" s="1" t="s">
        <v>774</v>
      </c>
      <c r="I213" s="1">
        <v>1</v>
      </c>
      <c r="J213" s="36">
        <v>0.06</v>
      </c>
    </row>
    <row r="214" spans="2:10" s="37" customFormat="1" ht="12.75" customHeight="1" x14ac:dyDescent="0.35">
      <c r="B214" s="1">
        <v>540297</v>
      </c>
      <c r="C214" s="1" t="s">
        <v>329</v>
      </c>
      <c r="D214" s="1" t="s">
        <v>11</v>
      </c>
      <c r="E214" s="1" t="s">
        <v>330</v>
      </c>
      <c r="F214" s="34" t="s">
        <v>3574</v>
      </c>
      <c r="G214" s="24">
        <v>125.25</v>
      </c>
      <c r="H214" s="1" t="s">
        <v>774</v>
      </c>
      <c r="I214" s="1">
        <v>1</v>
      </c>
      <c r="J214" s="36">
        <v>0.06</v>
      </c>
    </row>
    <row r="215" spans="2:10" s="37" customFormat="1" ht="12.75" customHeight="1" x14ac:dyDescent="0.35">
      <c r="B215" s="1">
        <v>540303</v>
      </c>
      <c r="C215" s="1" t="s">
        <v>331</v>
      </c>
      <c r="D215" s="1" t="s">
        <v>11</v>
      </c>
      <c r="E215" s="1" t="s">
        <v>332</v>
      </c>
      <c r="F215" s="34" t="s">
        <v>3574</v>
      </c>
      <c r="G215" s="24">
        <v>125.25</v>
      </c>
      <c r="H215" s="1" t="s">
        <v>774</v>
      </c>
      <c r="I215" s="1">
        <v>1</v>
      </c>
      <c r="J215" s="36">
        <v>0.06</v>
      </c>
    </row>
    <row r="216" spans="2:10" s="37" customFormat="1" ht="12.75" customHeight="1" x14ac:dyDescent="0.35">
      <c r="B216" s="1">
        <v>540325</v>
      </c>
      <c r="C216" s="1" t="s">
        <v>233</v>
      </c>
      <c r="D216" s="1" t="s">
        <v>10</v>
      </c>
      <c r="E216" s="1" t="s">
        <v>234</v>
      </c>
      <c r="F216" s="34" t="s">
        <v>3574</v>
      </c>
      <c r="G216" s="24">
        <v>94.82</v>
      </c>
      <c r="H216" s="1" t="s">
        <v>774</v>
      </c>
      <c r="I216" s="1">
        <v>1</v>
      </c>
      <c r="J216" s="36">
        <v>0.06</v>
      </c>
    </row>
    <row r="217" spans="2:10" s="37" customFormat="1" ht="12.75" customHeight="1" x14ac:dyDescent="0.35">
      <c r="B217" s="1">
        <v>540330</v>
      </c>
      <c r="C217" s="1" t="s">
        <v>159</v>
      </c>
      <c r="D217" s="1" t="s">
        <v>157</v>
      </c>
      <c r="E217" s="1" t="s">
        <v>160</v>
      </c>
      <c r="F217" s="34" t="s">
        <v>3574</v>
      </c>
      <c r="G217" s="24">
        <v>23.25</v>
      </c>
      <c r="H217" s="1" t="s">
        <v>774</v>
      </c>
      <c r="I217" s="1">
        <v>50</v>
      </c>
      <c r="J217" s="36">
        <v>0.06</v>
      </c>
    </row>
    <row r="218" spans="2:10" s="37" customFormat="1" ht="12.75" customHeight="1" x14ac:dyDescent="0.35">
      <c r="B218" s="1">
        <v>540390</v>
      </c>
      <c r="C218" s="1" t="s">
        <v>338</v>
      </c>
      <c r="D218" s="1" t="s">
        <v>11</v>
      </c>
      <c r="E218" s="1" t="s">
        <v>339</v>
      </c>
      <c r="F218" s="34" t="s">
        <v>3574</v>
      </c>
      <c r="G218" s="24">
        <v>22</v>
      </c>
      <c r="H218" s="1" t="s">
        <v>774</v>
      </c>
      <c r="I218" s="1">
        <v>1</v>
      </c>
      <c r="J218" s="36">
        <v>0.06</v>
      </c>
    </row>
    <row r="219" spans="2:10" s="37" customFormat="1" x14ac:dyDescent="0.35">
      <c r="B219" s="1">
        <v>540479</v>
      </c>
      <c r="C219" s="1" t="s">
        <v>463</v>
      </c>
      <c r="D219" s="5" t="s">
        <v>464</v>
      </c>
      <c r="E219" s="1" t="s">
        <v>465</v>
      </c>
      <c r="F219" s="34" t="s">
        <v>3574</v>
      </c>
      <c r="G219" s="24">
        <v>75</v>
      </c>
      <c r="H219" s="1" t="s">
        <v>774</v>
      </c>
      <c r="I219" s="34">
        <v>1</v>
      </c>
      <c r="J219" s="36">
        <v>0.06</v>
      </c>
    </row>
    <row r="220" spans="2:10" s="37" customFormat="1" ht="12.75" customHeight="1" x14ac:dyDescent="0.35">
      <c r="B220" s="1">
        <v>540564</v>
      </c>
      <c r="C220" s="1" t="s">
        <v>449</v>
      </c>
      <c r="D220" s="1" t="s">
        <v>447</v>
      </c>
      <c r="E220" s="1" t="s">
        <v>450</v>
      </c>
      <c r="F220" s="34" t="s">
        <v>3552</v>
      </c>
      <c r="G220" s="24">
        <v>1042</v>
      </c>
      <c r="H220" s="1" t="s">
        <v>774</v>
      </c>
      <c r="I220" s="1">
        <v>1</v>
      </c>
      <c r="J220" s="36">
        <v>0.1</v>
      </c>
    </row>
    <row r="221" spans="2:10" s="37" customFormat="1" ht="12.75" customHeight="1" x14ac:dyDescent="0.35">
      <c r="B221" s="1">
        <v>540647</v>
      </c>
      <c r="C221" s="2" t="s">
        <v>643</v>
      </c>
      <c r="D221" s="2" t="s">
        <v>644</v>
      </c>
      <c r="E221" s="2" t="s">
        <v>646</v>
      </c>
      <c r="F221" s="34" t="s">
        <v>3574</v>
      </c>
      <c r="G221" s="24">
        <v>223</v>
      </c>
      <c r="H221" s="1" t="s">
        <v>774</v>
      </c>
      <c r="I221" s="1">
        <v>12</v>
      </c>
      <c r="J221" s="36">
        <v>0.06</v>
      </c>
    </row>
    <row r="222" spans="2:10" s="37" customFormat="1" ht="12.75" customHeight="1" x14ac:dyDescent="0.35">
      <c r="B222" s="9">
        <v>540722</v>
      </c>
      <c r="C222" s="9" t="s">
        <v>632</v>
      </c>
      <c r="D222" s="9" t="s">
        <v>7</v>
      </c>
      <c r="E222" s="9" t="s">
        <v>633</v>
      </c>
      <c r="F222" s="34" t="s">
        <v>3553</v>
      </c>
      <c r="G222" s="26">
        <v>4.8499999999999996</v>
      </c>
      <c r="H222" s="1" t="s">
        <v>774</v>
      </c>
      <c r="I222" s="9">
        <v>3</v>
      </c>
      <c r="J222" s="36">
        <v>0.1</v>
      </c>
    </row>
    <row r="223" spans="2:10" s="37" customFormat="1" ht="12.75" customHeight="1" x14ac:dyDescent="0.35">
      <c r="B223" s="1">
        <v>540729</v>
      </c>
      <c r="C223" s="1" t="s">
        <v>451</v>
      </c>
      <c r="D223" s="1" t="s">
        <v>447</v>
      </c>
      <c r="E223" s="1" t="s">
        <v>452</v>
      </c>
      <c r="F223" s="34" t="s">
        <v>3552</v>
      </c>
      <c r="G223" s="24">
        <v>292</v>
      </c>
      <c r="H223" s="1" t="s">
        <v>774</v>
      </c>
      <c r="I223" s="1">
        <v>1</v>
      </c>
      <c r="J223" s="36">
        <v>0.1</v>
      </c>
    </row>
    <row r="224" spans="2:10" s="37" customFormat="1" ht="12.75" customHeight="1" x14ac:dyDescent="0.35">
      <c r="B224" s="1">
        <v>541148</v>
      </c>
      <c r="C224" s="1" t="s">
        <v>453</v>
      </c>
      <c r="D224" s="1" t="s">
        <v>6</v>
      </c>
      <c r="E224" s="1" t="s">
        <v>454</v>
      </c>
      <c r="F224" s="34" t="s">
        <v>3552</v>
      </c>
      <c r="G224" s="24">
        <v>278</v>
      </c>
      <c r="H224" s="1" t="s">
        <v>774</v>
      </c>
      <c r="I224" s="1">
        <v>1</v>
      </c>
      <c r="J224" s="36">
        <v>0.1</v>
      </c>
    </row>
    <row r="225" spans="2:10" s="37" customFormat="1" ht="12.75" customHeight="1" x14ac:dyDescent="0.35">
      <c r="B225" s="1">
        <v>541186</v>
      </c>
      <c r="C225" s="1" t="s">
        <v>163</v>
      </c>
      <c r="D225" s="1" t="s">
        <v>164</v>
      </c>
      <c r="E225" s="1" t="s">
        <v>165</v>
      </c>
      <c r="F225" s="34" t="s">
        <v>3574</v>
      </c>
      <c r="G225" s="24">
        <v>220</v>
      </c>
      <c r="H225" s="1" t="s">
        <v>774</v>
      </c>
      <c r="I225" s="1">
        <v>50</v>
      </c>
      <c r="J225" s="36">
        <v>0.06</v>
      </c>
    </row>
    <row r="226" spans="2:10" s="37" customFormat="1" ht="12.75" customHeight="1" x14ac:dyDescent="0.35">
      <c r="B226" s="9">
        <v>541198</v>
      </c>
      <c r="C226" s="9" t="s">
        <v>630</v>
      </c>
      <c r="D226" s="8" t="s">
        <v>748</v>
      </c>
      <c r="E226" s="9" t="s">
        <v>631</v>
      </c>
      <c r="F226" s="34" t="s">
        <v>3552</v>
      </c>
      <c r="G226" s="26">
        <v>159</v>
      </c>
      <c r="H226" s="1" t="s">
        <v>774</v>
      </c>
      <c r="I226" s="9">
        <v>1</v>
      </c>
      <c r="J226" s="36">
        <v>0.1</v>
      </c>
    </row>
    <row r="227" spans="2:10" s="37" customFormat="1" ht="12.75" customHeight="1" x14ac:dyDescent="0.35">
      <c r="B227" s="1">
        <v>541315</v>
      </c>
      <c r="C227" s="1" t="s">
        <v>413</v>
      </c>
      <c r="D227" s="1" t="s">
        <v>412</v>
      </c>
      <c r="E227" s="1" t="s">
        <v>414</v>
      </c>
      <c r="F227" s="34" t="s">
        <v>3552</v>
      </c>
      <c r="G227" s="24">
        <v>74.12</v>
      </c>
      <c r="H227" s="1" t="s">
        <v>774</v>
      </c>
      <c r="I227" s="1">
        <v>1</v>
      </c>
      <c r="J227" s="36">
        <v>0.1</v>
      </c>
    </row>
    <row r="228" spans="2:10" s="37" customFormat="1" ht="12.75" customHeight="1" x14ac:dyDescent="0.35">
      <c r="B228" s="1">
        <v>541321</v>
      </c>
      <c r="C228" s="1" t="s">
        <v>190</v>
      </c>
      <c r="D228" s="1" t="s">
        <v>6</v>
      </c>
      <c r="E228" s="1" t="s">
        <v>191</v>
      </c>
      <c r="F228" s="34" t="s">
        <v>3552</v>
      </c>
      <c r="G228" s="24">
        <v>27.76</v>
      </c>
      <c r="H228" s="1" t="s">
        <v>3556</v>
      </c>
      <c r="I228" s="1">
        <v>1000</v>
      </c>
      <c r="J228" s="36">
        <v>0.1</v>
      </c>
    </row>
    <row r="229" spans="2:10" s="37" customFormat="1" ht="12.75" customHeight="1" x14ac:dyDescent="0.35">
      <c r="B229" s="1">
        <v>541322</v>
      </c>
      <c r="C229" s="1" t="s">
        <v>192</v>
      </c>
      <c r="D229" s="1" t="s">
        <v>6</v>
      </c>
      <c r="E229" s="1" t="s">
        <v>193</v>
      </c>
      <c r="F229" s="34" t="s">
        <v>3552</v>
      </c>
      <c r="G229" s="24">
        <v>14.98</v>
      </c>
      <c r="H229" s="1" t="s">
        <v>3556</v>
      </c>
      <c r="I229" s="1">
        <v>1000</v>
      </c>
      <c r="J229" s="36">
        <v>0.1</v>
      </c>
    </row>
    <row r="230" spans="2:10" s="37" customFormat="1" ht="12.75" customHeight="1" x14ac:dyDescent="0.35">
      <c r="B230" s="1">
        <v>541325</v>
      </c>
      <c r="C230" s="1" t="s">
        <v>442</v>
      </c>
      <c r="D230" s="1" t="s">
        <v>106</v>
      </c>
      <c r="E230" s="1" t="s">
        <v>443</v>
      </c>
      <c r="F230" s="34" t="s">
        <v>3574</v>
      </c>
      <c r="G230" s="24">
        <v>824.42</v>
      </c>
      <c r="H230" s="1" t="s">
        <v>774</v>
      </c>
      <c r="I230" s="1">
        <v>1</v>
      </c>
      <c r="J230" s="36">
        <v>0.06</v>
      </c>
    </row>
    <row r="231" spans="2:10" s="37" customFormat="1" ht="12.75" customHeight="1" x14ac:dyDescent="0.35">
      <c r="B231" s="1">
        <v>541372</v>
      </c>
      <c r="C231" s="1" t="s">
        <v>423</v>
      </c>
      <c r="D231" s="1" t="s">
        <v>12</v>
      </c>
      <c r="E231" s="1" t="s">
        <v>424</v>
      </c>
      <c r="F231" s="34" t="s">
        <v>3552</v>
      </c>
      <c r="G231" s="24">
        <v>3068</v>
      </c>
      <c r="H231" s="1" t="s">
        <v>774</v>
      </c>
      <c r="I231" s="1">
        <v>1</v>
      </c>
      <c r="J231" s="36">
        <v>0.1</v>
      </c>
    </row>
    <row r="232" spans="2:10" s="37" customFormat="1" ht="12.75" customHeight="1" x14ac:dyDescent="0.35">
      <c r="B232" s="1">
        <v>541385</v>
      </c>
      <c r="C232" s="1" t="s">
        <v>425</v>
      </c>
      <c r="D232" s="1" t="s">
        <v>12</v>
      </c>
      <c r="E232" s="1" t="s">
        <v>426</v>
      </c>
      <c r="F232" s="34" t="s">
        <v>3552</v>
      </c>
      <c r="G232" s="24">
        <v>386</v>
      </c>
      <c r="H232" s="1" t="s">
        <v>774</v>
      </c>
      <c r="I232" s="1">
        <v>1</v>
      </c>
      <c r="J232" s="36">
        <v>0.1</v>
      </c>
    </row>
    <row r="233" spans="2:10" s="37" customFormat="1" ht="12.75" customHeight="1" x14ac:dyDescent="0.35">
      <c r="B233" s="1">
        <v>541393</v>
      </c>
      <c r="C233" s="1" t="s">
        <v>156</v>
      </c>
      <c r="D233" s="1" t="s">
        <v>157</v>
      </c>
      <c r="E233" s="1" t="s">
        <v>158</v>
      </c>
      <c r="F233" s="34" t="s">
        <v>3574</v>
      </c>
      <c r="G233" s="24">
        <v>23.25</v>
      </c>
      <c r="H233" s="1" t="s">
        <v>774</v>
      </c>
      <c r="I233" s="1">
        <v>50</v>
      </c>
      <c r="J233" s="36">
        <v>0.06</v>
      </c>
    </row>
    <row r="234" spans="2:10" s="37" customFormat="1" ht="12.75" customHeight="1" x14ac:dyDescent="0.35">
      <c r="B234" s="1">
        <v>541444</v>
      </c>
      <c r="C234" s="1" t="s">
        <v>176</v>
      </c>
      <c r="D234" s="8" t="s">
        <v>748</v>
      </c>
      <c r="E234" s="1" t="s">
        <v>177</v>
      </c>
      <c r="F234" s="34" t="s">
        <v>3552</v>
      </c>
      <c r="G234" s="24">
        <v>168.38</v>
      </c>
      <c r="H234" s="1" t="s">
        <v>774</v>
      </c>
      <c r="I234" s="1">
        <v>1</v>
      </c>
      <c r="J234" s="36">
        <v>0.1</v>
      </c>
    </row>
    <row r="235" spans="2:10" s="37" customFormat="1" ht="12.75" customHeight="1" x14ac:dyDescent="0.35">
      <c r="B235" s="1">
        <v>541457</v>
      </c>
      <c r="C235" s="1" t="s">
        <v>455</v>
      </c>
      <c r="D235" s="1" t="s">
        <v>447</v>
      </c>
      <c r="E235" s="1" t="s">
        <v>456</v>
      </c>
      <c r="F235" s="34" t="s">
        <v>3552</v>
      </c>
      <c r="G235" s="24">
        <v>687</v>
      </c>
      <c r="H235" s="1" t="s">
        <v>774</v>
      </c>
      <c r="I235" s="1">
        <v>1</v>
      </c>
      <c r="J235" s="36">
        <v>0.1</v>
      </c>
    </row>
    <row r="236" spans="2:10" s="37" customFormat="1" ht="12.75" customHeight="1" x14ac:dyDescent="0.35">
      <c r="B236" s="1">
        <v>541549</v>
      </c>
      <c r="C236" s="1" t="s">
        <v>280</v>
      </c>
      <c r="D236" s="1" t="s">
        <v>7</v>
      </c>
      <c r="E236" s="1" t="s">
        <v>281</v>
      </c>
      <c r="F236" s="34" t="s">
        <v>3553</v>
      </c>
      <c r="G236" s="24">
        <v>0.23300000000000001</v>
      </c>
      <c r="H236" s="1" t="s">
        <v>774</v>
      </c>
      <c r="I236" s="1">
        <v>100</v>
      </c>
      <c r="J236" s="36">
        <v>0.1</v>
      </c>
    </row>
    <row r="237" spans="2:10" s="37" customFormat="1" ht="12.75" customHeight="1" x14ac:dyDescent="0.35">
      <c r="B237" s="1">
        <v>541559</v>
      </c>
      <c r="C237" s="1" t="s">
        <v>223</v>
      </c>
      <c r="D237" s="1" t="s">
        <v>115</v>
      </c>
      <c r="E237" s="1" t="s">
        <v>224</v>
      </c>
      <c r="F237" s="34" t="s">
        <v>3574</v>
      </c>
      <c r="G237" s="24">
        <v>2990</v>
      </c>
      <c r="H237" s="1" t="s">
        <v>774</v>
      </c>
      <c r="I237" s="1">
        <v>1</v>
      </c>
      <c r="J237" s="36">
        <v>0.06</v>
      </c>
    </row>
    <row r="238" spans="2:10" s="37" customFormat="1" ht="12.75" customHeight="1" x14ac:dyDescent="0.35">
      <c r="B238" s="1">
        <v>541560</v>
      </c>
      <c r="C238" s="1" t="s">
        <v>225</v>
      </c>
      <c r="D238" s="1" t="s">
        <v>115</v>
      </c>
      <c r="E238" s="1" t="s">
        <v>226</v>
      </c>
      <c r="F238" s="34" t="s">
        <v>3574</v>
      </c>
      <c r="G238" s="24">
        <v>1650</v>
      </c>
      <c r="H238" s="1" t="s">
        <v>774</v>
      </c>
      <c r="I238" s="1">
        <v>1</v>
      </c>
      <c r="J238" s="36">
        <v>0.06</v>
      </c>
    </row>
    <row r="239" spans="2:10" s="37" customFormat="1" ht="12.75" customHeight="1" x14ac:dyDescent="0.35">
      <c r="B239" s="1">
        <v>541561</v>
      </c>
      <c r="C239" s="1" t="s">
        <v>227</v>
      </c>
      <c r="D239" s="1" t="s">
        <v>115</v>
      </c>
      <c r="E239" s="1" t="s">
        <v>228</v>
      </c>
      <c r="F239" s="34" t="s">
        <v>3574</v>
      </c>
      <c r="G239" s="24">
        <v>332</v>
      </c>
      <c r="H239" s="1" t="s">
        <v>774</v>
      </c>
      <c r="I239" s="1">
        <v>1</v>
      </c>
      <c r="J239" s="36">
        <v>0.06</v>
      </c>
    </row>
    <row r="240" spans="2:10" s="37" customFormat="1" ht="12.75" customHeight="1" x14ac:dyDescent="0.35">
      <c r="B240" s="1">
        <v>541569</v>
      </c>
      <c r="C240" s="1" t="s">
        <v>433</v>
      </c>
      <c r="D240" s="1" t="s">
        <v>8</v>
      </c>
      <c r="E240" s="1" t="s">
        <v>434</v>
      </c>
      <c r="F240" s="34" t="s">
        <v>3574</v>
      </c>
      <c r="G240" s="24">
        <v>351.85</v>
      </c>
      <c r="H240" s="1" t="s">
        <v>774</v>
      </c>
      <c r="I240" s="1">
        <v>1</v>
      </c>
      <c r="J240" s="36">
        <v>0.06</v>
      </c>
    </row>
    <row r="241" spans="2:10" s="37" customFormat="1" x14ac:dyDescent="0.35">
      <c r="B241" s="1">
        <v>541613</v>
      </c>
      <c r="C241" s="1" t="s">
        <v>178</v>
      </c>
      <c r="D241" s="8" t="s">
        <v>748</v>
      </c>
      <c r="E241" s="1" t="s">
        <v>179</v>
      </c>
      <c r="F241" s="34" t="s">
        <v>3552</v>
      </c>
      <c r="G241" s="24">
        <v>199.93</v>
      </c>
      <c r="H241" s="1" t="s">
        <v>774</v>
      </c>
      <c r="I241" s="1">
        <v>1</v>
      </c>
      <c r="J241" s="36">
        <v>0.1</v>
      </c>
    </row>
    <row r="242" spans="2:10" s="37" customFormat="1" ht="12.75" customHeight="1" x14ac:dyDescent="0.35">
      <c r="B242" s="1">
        <v>541750</v>
      </c>
      <c r="C242" s="1" t="s">
        <v>252</v>
      </c>
      <c r="D242" s="1" t="s">
        <v>7</v>
      </c>
      <c r="E242" s="1" t="s">
        <v>253</v>
      </c>
      <c r="F242" s="34" t="s">
        <v>3553</v>
      </c>
      <c r="G242" s="24">
        <v>11.55</v>
      </c>
      <c r="H242" s="1" t="s">
        <v>774</v>
      </c>
      <c r="I242" s="1">
        <v>2</v>
      </c>
      <c r="J242" s="36">
        <v>0.1</v>
      </c>
    </row>
    <row r="243" spans="2:10" s="37" customFormat="1" ht="12.75" customHeight="1" x14ac:dyDescent="0.35">
      <c r="B243" s="1">
        <v>550007</v>
      </c>
      <c r="C243" s="1" t="s">
        <v>466</v>
      </c>
      <c r="D243" s="1" t="s">
        <v>127</v>
      </c>
      <c r="E243" s="1" t="s">
        <v>467</v>
      </c>
      <c r="F243" s="34" t="s">
        <v>3574</v>
      </c>
      <c r="G243" s="24">
        <v>2320</v>
      </c>
      <c r="H243" s="1" t="s">
        <v>774</v>
      </c>
      <c r="I243" s="1">
        <v>1</v>
      </c>
      <c r="J243" s="36">
        <v>0.06</v>
      </c>
    </row>
    <row r="244" spans="2:10" s="37" customFormat="1" ht="12.75" customHeight="1" x14ac:dyDescent="0.35">
      <c r="B244" s="1">
        <v>550013</v>
      </c>
      <c r="C244" s="1" t="s">
        <v>444</v>
      </c>
      <c r="D244" s="1" t="s">
        <v>6</v>
      </c>
      <c r="E244" s="1" t="s">
        <v>445</v>
      </c>
      <c r="F244" s="34" t="s">
        <v>3552</v>
      </c>
      <c r="G244" s="24">
        <v>44.24</v>
      </c>
      <c r="H244" s="1" t="s">
        <v>774</v>
      </c>
      <c r="I244" s="1">
        <v>1</v>
      </c>
      <c r="J244" s="36">
        <v>0.1</v>
      </c>
    </row>
    <row r="245" spans="2:10" s="37" customFormat="1" ht="12.75" customHeight="1" x14ac:dyDescent="0.35">
      <c r="B245" s="1">
        <v>550015</v>
      </c>
      <c r="C245" s="1" t="s">
        <v>457</v>
      </c>
      <c r="D245" s="1" t="s">
        <v>447</v>
      </c>
      <c r="E245" s="1" t="s">
        <v>458</v>
      </c>
      <c r="F245" s="34" t="s">
        <v>3552</v>
      </c>
      <c r="G245" s="24">
        <v>312</v>
      </c>
      <c r="H245" s="1" t="s">
        <v>774</v>
      </c>
      <c r="I245" s="1">
        <v>1</v>
      </c>
      <c r="J245" s="36">
        <v>0.1</v>
      </c>
    </row>
    <row r="246" spans="2:10" s="37" customFormat="1" ht="12.75" customHeight="1" x14ac:dyDescent="0.35">
      <c r="B246" s="1">
        <v>550044</v>
      </c>
      <c r="C246" s="1" t="s">
        <v>459</v>
      </c>
      <c r="D246" s="1" t="s">
        <v>6</v>
      </c>
      <c r="E246" s="1" t="s">
        <v>460</v>
      </c>
      <c r="F246" s="34" t="s">
        <v>3552</v>
      </c>
      <c r="G246" s="24">
        <v>44</v>
      </c>
      <c r="H246" s="1" t="s">
        <v>774</v>
      </c>
      <c r="I246" s="1">
        <v>1</v>
      </c>
      <c r="J246" s="36">
        <v>0.1</v>
      </c>
    </row>
    <row r="247" spans="2:10" s="37" customFormat="1" ht="12.75" customHeight="1" x14ac:dyDescent="0.35">
      <c r="B247" s="1">
        <v>550045</v>
      </c>
      <c r="C247" s="1" t="s">
        <v>461</v>
      </c>
      <c r="D247" s="1" t="s">
        <v>6</v>
      </c>
      <c r="E247" s="1" t="s">
        <v>462</v>
      </c>
      <c r="F247" s="34" t="s">
        <v>3552</v>
      </c>
      <c r="G247" s="24">
        <v>456</v>
      </c>
      <c r="H247" s="1" t="s">
        <v>774</v>
      </c>
      <c r="I247" s="1">
        <v>1</v>
      </c>
      <c r="J247" s="36">
        <v>0.1</v>
      </c>
    </row>
    <row r="248" spans="2:10" s="37" customFormat="1" ht="15" customHeight="1" x14ac:dyDescent="0.35">
      <c r="B248" s="1">
        <v>550113</v>
      </c>
      <c r="C248" s="1" t="s">
        <v>503</v>
      </c>
      <c r="D248" s="1" t="s">
        <v>6</v>
      </c>
      <c r="E248" s="1" t="s">
        <v>504</v>
      </c>
      <c r="F248" s="34" t="s">
        <v>3552</v>
      </c>
      <c r="G248" s="24">
        <v>12.56</v>
      </c>
      <c r="H248" s="1" t="s">
        <v>774</v>
      </c>
      <c r="I248" s="1">
        <v>2</v>
      </c>
      <c r="J248" s="36">
        <v>0.1</v>
      </c>
    </row>
    <row r="249" spans="2:10" s="37" customFormat="1" ht="12.75" customHeight="1" x14ac:dyDescent="0.35">
      <c r="B249" s="1">
        <v>550114</v>
      </c>
      <c r="C249" s="1" t="s">
        <v>505</v>
      </c>
      <c r="D249" s="1" t="s">
        <v>6</v>
      </c>
      <c r="E249" s="1" t="s">
        <v>506</v>
      </c>
      <c r="F249" s="34" t="s">
        <v>3552</v>
      </c>
      <c r="G249" s="24">
        <f>29.98</f>
        <v>29.98</v>
      </c>
      <c r="H249" s="1" t="s">
        <v>774</v>
      </c>
      <c r="I249" s="1">
        <v>2</v>
      </c>
      <c r="J249" s="36">
        <v>0.1</v>
      </c>
    </row>
    <row r="250" spans="2:10" s="37" customFormat="1" ht="12.75" customHeight="1" x14ac:dyDescent="0.35">
      <c r="B250" s="1">
        <v>550115</v>
      </c>
      <c r="C250" s="1" t="s">
        <v>507</v>
      </c>
      <c r="D250" s="1" t="s">
        <v>6</v>
      </c>
      <c r="E250" s="1" t="s">
        <v>508</v>
      </c>
      <c r="F250" s="34" t="s">
        <v>3552</v>
      </c>
      <c r="G250" s="24">
        <v>141.38</v>
      </c>
      <c r="H250" s="1" t="s">
        <v>774</v>
      </c>
      <c r="I250" s="1">
        <v>2</v>
      </c>
      <c r="J250" s="36">
        <v>0.1</v>
      </c>
    </row>
    <row r="251" spans="2:10" s="37" customFormat="1" ht="12.75" customHeight="1" x14ac:dyDescent="0.35">
      <c r="B251" s="1">
        <v>550465</v>
      </c>
      <c r="C251" s="1" t="s">
        <v>305</v>
      </c>
      <c r="D251" s="1" t="s">
        <v>11</v>
      </c>
      <c r="E251" s="1" t="s">
        <v>306</v>
      </c>
      <c r="F251" s="34" t="s">
        <v>3574</v>
      </c>
      <c r="G251" s="24">
        <v>18.5</v>
      </c>
      <c r="H251" s="1" t="s">
        <v>774</v>
      </c>
      <c r="I251" s="1">
        <v>1</v>
      </c>
      <c r="J251" s="36">
        <v>0.06</v>
      </c>
    </row>
    <row r="252" spans="2:10" s="37" customFormat="1" ht="12.75" customHeight="1" x14ac:dyDescent="0.35">
      <c r="B252" s="1">
        <v>550466</v>
      </c>
      <c r="C252" s="1" t="s">
        <v>307</v>
      </c>
      <c r="D252" s="1" t="s">
        <v>11</v>
      </c>
      <c r="E252" s="1" t="s">
        <v>308</v>
      </c>
      <c r="F252" s="34" t="s">
        <v>3574</v>
      </c>
      <c r="G252" s="24">
        <v>8.91</v>
      </c>
      <c r="H252" s="1" t="s">
        <v>774</v>
      </c>
      <c r="I252" s="1">
        <v>1</v>
      </c>
      <c r="J252" s="36">
        <v>0.06</v>
      </c>
    </row>
    <row r="253" spans="2:10" s="37" customFormat="1" ht="12.75" customHeight="1" x14ac:dyDescent="0.35">
      <c r="B253" s="1">
        <v>550467</v>
      </c>
      <c r="C253" s="1" t="s">
        <v>309</v>
      </c>
      <c r="D253" s="1" t="s">
        <v>11</v>
      </c>
      <c r="E253" s="1" t="s">
        <v>310</v>
      </c>
      <c r="F253" s="34" t="s">
        <v>3574</v>
      </c>
      <c r="G253" s="24">
        <v>33.1</v>
      </c>
      <c r="H253" s="1" t="s">
        <v>774</v>
      </c>
      <c r="I253" s="1">
        <v>1</v>
      </c>
      <c r="J253" s="36">
        <v>0.06</v>
      </c>
    </row>
    <row r="254" spans="2:10" s="37" customFormat="1" ht="12.75" customHeight="1" x14ac:dyDescent="0.35">
      <c r="B254" s="1">
        <v>550469</v>
      </c>
      <c r="C254" s="1" t="s">
        <v>254</v>
      </c>
      <c r="D254" s="1" t="s">
        <v>7</v>
      </c>
      <c r="E254" s="1" t="s">
        <v>255</v>
      </c>
      <c r="F254" s="34" t="s">
        <v>3553</v>
      </c>
      <c r="G254" s="24">
        <v>17.399999999999999</v>
      </c>
      <c r="H254" s="1" t="s">
        <v>774</v>
      </c>
      <c r="I254" s="1">
        <v>1</v>
      </c>
      <c r="J254" s="36">
        <v>0.1</v>
      </c>
    </row>
    <row r="255" spans="2:10" s="37" customFormat="1" ht="12.75" customHeight="1" x14ac:dyDescent="0.35">
      <c r="B255" s="1">
        <v>550470</v>
      </c>
      <c r="C255" s="1" t="s">
        <v>417</v>
      </c>
      <c r="D255" s="1" t="s">
        <v>6</v>
      </c>
      <c r="E255" s="1" t="s">
        <v>418</v>
      </c>
      <c r="F255" s="34" t="s">
        <v>3552</v>
      </c>
      <c r="G255" s="24">
        <v>329.14</v>
      </c>
      <c r="H255" s="1" t="s">
        <v>774</v>
      </c>
      <c r="I255" s="1">
        <v>12</v>
      </c>
      <c r="J255" s="36">
        <v>0.1</v>
      </c>
    </row>
    <row r="256" spans="2:10" s="37" customFormat="1" ht="12.75" customHeight="1" x14ac:dyDescent="0.35">
      <c r="B256" s="1">
        <v>550481</v>
      </c>
      <c r="C256" s="1" t="s">
        <v>256</v>
      </c>
      <c r="D256" s="1" t="s">
        <v>7</v>
      </c>
      <c r="E256" s="1" t="s">
        <v>257</v>
      </c>
      <c r="F256" s="34" t="s">
        <v>3553</v>
      </c>
      <c r="G256" s="24">
        <v>154.1</v>
      </c>
      <c r="H256" s="1" t="s">
        <v>774</v>
      </c>
      <c r="I256" s="1">
        <v>1</v>
      </c>
      <c r="J256" s="36">
        <v>0.1</v>
      </c>
    </row>
    <row r="257" spans="2:10" s="37" customFormat="1" ht="12.75" customHeight="1" x14ac:dyDescent="0.35">
      <c r="B257" s="1">
        <v>550482</v>
      </c>
      <c r="C257" s="1" t="s">
        <v>258</v>
      </c>
      <c r="D257" s="1" t="s">
        <v>7</v>
      </c>
      <c r="E257" s="1" t="s">
        <v>259</v>
      </c>
      <c r="F257" s="34" t="s">
        <v>3553</v>
      </c>
      <c r="G257" s="24">
        <v>68.599999999999994</v>
      </c>
      <c r="H257" s="1" t="s">
        <v>774</v>
      </c>
      <c r="I257" s="1">
        <v>1</v>
      </c>
      <c r="J257" s="36">
        <v>0.1</v>
      </c>
    </row>
    <row r="258" spans="2:10" s="37" customFormat="1" ht="12.75" customHeight="1" x14ac:dyDescent="0.35">
      <c r="B258" s="1">
        <v>550483</v>
      </c>
      <c r="C258" s="1" t="s">
        <v>311</v>
      </c>
      <c r="D258" s="1" t="s">
        <v>11</v>
      </c>
      <c r="E258" s="1" t="s">
        <v>312</v>
      </c>
      <c r="F258" s="34" t="s">
        <v>3574</v>
      </c>
      <c r="G258" s="24">
        <v>8.93</v>
      </c>
      <c r="H258" s="1" t="s">
        <v>774</v>
      </c>
      <c r="I258" s="1">
        <v>1</v>
      </c>
      <c r="J258" s="36">
        <v>0.06</v>
      </c>
    </row>
    <row r="259" spans="2:10" s="37" customFormat="1" ht="12.75" customHeight="1" x14ac:dyDescent="0.35">
      <c r="B259" s="1">
        <v>550484</v>
      </c>
      <c r="C259" s="1" t="s">
        <v>260</v>
      </c>
      <c r="D259" s="1" t="s">
        <v>7</v>
      </c>
      <c r="E259" s="1" t="s">
        <v>261</v>
      </c>
      <c r="F259" s="34" t="s">
        <v>3553</v>
      </c>
      <c r="G259" s="24">
        <v>0.14199999999999999</v>
      </c>
      <c r="H259" s="1" t="s">
        <v>774</v>
      </c>
      <c r="I259" s="1">
        <v>50</v>
      </c>
      <c r="J259" s="36">
        <v>0.1</v>
      </c>
    </row>
    <row r="260" spans="2:10" s="37" customFormat="1" ht="12.75" customHeight="1" x14ac:dyDescent="0.35">
      <c r="B260" s="1">
        <v>550485</v>
      </c>
      <c r="C260" s="1" t="s">
        <v>262</v>
      </c>
      <c r="D260" s="1" t="s">
        <v>7</v>
      </c>
      <c r="E260" s="1" t="s">
        <v>263</v>
      </c>
      <c r="F260" s="34" t="s">
        <v>3553</v>
      </c>
      <c r="G260" s="24">
        <v>8</v>
      </c>
      <c r="H260" s="1" t="s">
        <v>774</v>
      </c>
      <c r="I260" s="1">
        <v>1</v>
      </c>
      <c r="J260" s="36">
        <v>0.1</v>
      </c>
    </row>
    <row r="261" spans="2:10" s="37" customFormat="1" ht="12.75" customHeight="1" x14ac:dyDescent="0.35">
      <c r="B261" s="1">
        <v>550486</v>
      </c>
      <c r="C261" s="1" t="s">
        <v>264</v>
      </c>
      <c r="D261" s="1" t="s">
        <v>7</v>
      </c>
      <c r="E261" s="1" t="s">
        <v>265</v>
      </c>
      <c r="F261" s="34" t="s">
        <v>3553</v>
      </c>
      <c r="G261" s="24">
        <v>23.9</v>
      </c>
      <c r="H261" s="1" t="s">
        <v>774</v>
      </c>
      <c r="I261" s="1">
        <v>1</v>
      </c>
      <c r="J261" s="36">
        <v>0.1</v>
      </c>
    </row>
    <row r="262" spans="2:10" s="37" customFormat="1" ht="12.75" customHeight="1" x14ac:dyDescent="0.35">
      <c r="B262" s="1">
        <v>550487</v>
      </c>
      <c r="C262" s="1" t="s">
        <v>313</v>
      </c>
      <c r="D262" s="1" t="s">
        <v>11</v>
      </c>
      <c r="E262" s="1" t="s">
        <v>3577</v>
      </c>
      <c r="F262" s="34" t="s">
        <v>3574</v>
      </c>
      <c r="G262" s="24">
        <v>42.01</v>
      </c>
      <c r="H262" s="1" t="s">
        <v>774</v>
      </c>
      <c r="I262" s="1">
        <v>1</v>
      </c>
      <c r="J262" s="36">
        <v>0.06</v>
      </c>
    </row>
    <row r="263" spans="2:10" s="37" customFormat="1" ht="12.75" customHeight="1" x14ac:dyDescent="0.35">
      <c r="B263" s="10">
        <v>1001352</v>
      </c>
      <c r="C263" s="6" t="s">
        <v>102</v>
      </c>
      <c r="D263" s="6" t="s">
        <v>8</v>
      </c>
      <c r="E263" s="10" t="s">
        <v>103</v>
      </c>
      <c r="F263" s="34" t="s">
        <v>3574</v>
      </c>
      <c r="G263" s="38">
        <v>23.2</v>
      </c>
      <c r="H263" s="1" t="s">
        <v>774</v>
      </c>
      <c r="I263" s="9">
        <v>1</v>
      </c>
      <c r="J263" s="36">
        <v>0.06</v>
      </c>
    </row>
    <row r="264" spans="2:10" s="37" customFormat="1" ht="15" customHeight="1" x14ac:dyDescent="0.35">
      <c r="B264" s="10">
        <v>1001356</v>
      </c>
      <c r="C264" s="6" t="s">
        <v>100</v>
      </c>
      <c r="D264" s="6" t="s">
        <v>8</v>
      </c>
      <c r="E264" s="10" t="s">
        <v>101</v>
      </c>
      <c r="F264" s="34" t="s">
        <v>3574</v>
      </c>
      <c r="G264" s="38">
        <v>18.600000000000001</v>
      </c>
      <c r="H264" s="1" t="s">
        <v>774</v>
      </c>
      <c r="I264" s="9">
        <v>1</v>
      </c>
      <c r="J264" s="36">
        <v>0.06</v>
      </c>
    </row>
    <row r="265" spans="2:10" s="37" customFormat="1" ht="12.75" customHeight="1" x14ac:dyDescent="0.35">
      <c r="B265" s="10">
        <v>1010226</v>
      </c>
      <c r="C265" s="6" t="s">
        <v>762</v>
      </c>
      <c r="D265" s="6" t="s">
        <v>761</v>
      </c>
      <c r="E265" s="11" t="s">
        <v>3573</v>
      </c>
      <c r="F265" s="34" t="s">
        <v>3553</v>
      </c>
      <c r="G265" s="38">
        <v>12</v>
      </c>
      <c r="H265" s="1" t="s">
        <v>774</v>
      </c>
      <c r="I265" s="35">
        <v>20</v>
      </c>
      <c r="J265" s="36">
        <v>0.1</v>
      </c>
    </row>
    <row r="266" spans="2:10" s="37" customFormat="1" ht="12.75" customHeight="1" x14ac:dyDescent="0.35">
      <c r="B266" s="42">
        <v>1010272</v>
      </c>
      <c r="C266" s="43" t="s">
        <v>756</v>
      </c>
      <c r="D266" s="1" t="s">
        <v>10</v>
      </c>
      <c r="E266" s="11" t="s">
        <v>3573</v>
      </c>
      <c r="F266" s="34" t="s">
        <v>3574</v>
      </c>
      <c r="G266" s="26">
        <v>4.34</v>
      </c>
      <c r="H266" s="1" t="s">
        <v>774</v>
      </c>
      <c r="I266" s="9">
        <v>1</v>
      </c>
      <c r="J266" s="36">
        <v>0.06</v>
      </c>
    </row>
    <row r="267" spans="2:10" s="37" customFormat="1" ht="12.75" customHeight="1" x14ac:dyDescent="0.35">
      <c r="B267" s="1">
        <v>1011651</v>
      </c>
      <c r="C267" s="2" t="s">
        <v>771</v>
      </c>
      <c r="D267" s="6" t="s">
        <v>653</v>
      </c>
      <c r="E267" s="1" t="s">
        <v>40</v>
      </c>
      <c r="F267" s="34" t="s">
        <v>3553</v>
      </c>
      <c r="G267" s="24">
        <v>75</v>
      </c>
      <c r="H267" s="1" t="s">
        <v>774</v>
      </c>
      <c r="I267" s="34">
        <v>1</v>
      </c>
      <c r="J267" s="36">
        <v>0.1</v>
      </c>
    </row>
    <row r="268" spans="2:10" s="37" customFormat="1" ht="12.75" customHeight="1" x14ac:dyDescent="0.35">
      <c r="B268" s="9">
        <v>1101001</v>
      </c>
      <c r="C268" s="5" t="s">
        <v>2187</v>
      </c>
      <c r="D268" s="5" t="s">
        <v>3565</v>
      </c>
      <c r="E268" s="5" t="s">
        <v>2188</v>
      </c>
      <c r="F268" s="34" t="s">
        <v>3574</v>
      </c>
      <c r="G268" s="26">
        <v>0.158</v>
      </c>
      <c r="H268" s="1" t="s">
        <v>774</v>
      </c>
      <c r="I268" s="9">
        <v>10</v>
      </c>
      <c r="J268" s="36">
        <v>0.06</v>
      </c>
    </row>
    <row r="269" spans="2:10" s="37" customFormat="1" ht="12.75" customHeight="1" x14ac:dyDescent="0.35">
      <c r="B269" s="9">
        <v>1101005</v>
      </c>
      <c r="C269" s="5" t="s">
        <v>1471</v>
      </c>
      <c r="D269" s="5" t="s">
        <v>3565</v>
      </c>
      <c r="E269" s="5">
        <v>1368109</v>
      </c>
      <c r="F269" s="34" t="s">
        <v>3574</v>
      </c>
      <c r="G269" s="26">
        <v>3.42</v>
      </c>
      <c r="H269" s="1" t="s">
        <v>774</v>
      </c>
      <c r="I269" s="9">
        <v>1</v>
      </c>
      <c r="J269" s="36">
        <v>0.06</v>
      </c>
    </row>
    <row r="270" spans="2:10" s="37" customFormat="1" ht="12.75" customHeight="1" x14ac:dyDescent="0.35">
      <c r="B270" s="9">
        <v>1101006</v>
      </c>
      <c r="C270" s="5" t="s">
        <v>956</v>
      </c>
      <c r="D270" s="5" t="s">
        <v>3565</v>
      </c>
      <c r="E270" s="5" t="s">
        <v>957</v>
      </c>
      <c r="F270" s="34" t="s">
        <v>3574</v>
      </c>
      <c r="G270" s="26">
        <v>3.56</v>
      </c>
      <c r="H270" s="1" t="s">
        <v>774</v>
      </c>
      <c r="I270" s="9">
        <v>1</v>
      </c>
      <c r="J270" s="36">
        <v>0.06</v>
      </c>
    </row>
    <row r="271" spans="2:10" s="37" customFormat="1" ht="12.75" customHeight="1" x14ac:dyDescent="0.35">
      <c r="B271" s="9">
        <v>1101007</v>
      </c>
      <c r="C271" s="5" t="s">
        <v>1719</v>
      </c>
      <c r="D271" s="5" t="s">
        <v>3565</v>
      </c>
      <c r="E271" s="5" t="s">
        <v>1720</v>
      </c>
      <c r="F271" s="34" t="s">
        <v>3574</v>
      </c>
      <c r="G271" s="26">
        <v>6.69</v>
      </c>
      <c r="H271" s="1" t="s">
        <v>774</v>
      </c>
      <c r="I271" s="9">
        <v>1</v>
      </c>
      <c r="J271" s="36">
        <v>0.06</v>
      </c>
    </row>
    <row r="272" spans="2:10" s="37" customFormat="1" ht="12.75" customHeight="1" x14ac:dyDescent="0.35">
      <c r="B272" s="9">
        <v>1101008</v>
      </c>
      <c r="C272" s="5" t="s">
        <v>1721</v>
      </c>
      <c r="D272" s="5" t="s">
        <v>3565</v>
      </c>
      <c r="E272" s="5" t="s">
        <v>1722</v>
      </c>
      <c r="F272" s="34" t="s">
        <v>3574</v>
      </c>
      <c r="G272" s="26">
        <v>5.88</v>
      </c>
      <c r="H272" s="1" t="s">
        <v>774</v>
      </c>
      <c r="I272" s="9">
        <v>1</v>
      </c>
      <c r="J272" s="36">
        <v>0.06</v>
      </c>
    </row>
    <row r="273" spans="2:10" s="37" customFormat="1" ht="12.75" customHeight="1" x14ac:dyDescent="0.35">
      <c r="B273" s="9">
        <v>1101009</v>
      </c>
      <c r="C273" s="5" t="s">
        <v>1578</v>
      </c>
      <c r="D273" s="5" t="s">
        <v>3565</v>
      </c>
      <c r="E273" s="5" t="s">
        <v>1579</v>
      </c>
      <c r="F273" s="34" t="s">
        <v>3574</v>
      </c>
      <c r="G273" s="26">
        <v>3.97</v>
      </c>
      <c r="H273" s="1" t="s">
        <v>774</v>
      </c>
      <c r="I273" s="9">
        <v>1</v>
      </c>
      <c r="J273" s="36">
        <v>0.06</v>
      </c>
    </row>
    <row r="274" spans="2:10" s="37" customFormat="1" x14ac:dyDescent="0.35">
      <c r="B274" s="9">
        <v>1101010</v>
      </c>
      <c r="C274" s="5" t="s">
        <v>1834</v>
      </c>
      <c r="D274" s="5" t="s">
        <v>3565</v>
      </c>
      <c r="E274" s="5" t="s">
        <v>1835</v>
      </c>
      <c r="F274" s="34" t="s">
        <v>3574</v>
      </c>
      <c r="G274" s="26">
        <v>7.88</v>
      </c>
      <c r="H274" s="1" t="s">
        <v>774</v>
      </c>
      <c r="I274" s="9">
        <v>10</v>
      </c>
      <c r="J274" s="36">
        <v>0.06</v>
      </c>
    </row>
    <row r="275" spans="2:10" s="37" customFormat="1" ht="12.75" customHeight="1" x14ac:dyDescent="0.35">
      <c r="B275" s="9">
        <v>1101015</v>
      </c>
      <c r="C275" s="5" t="s">
        <v>697</v>
      </c>
      <c r="D275" s="5" t="s">
        <v>3565</v>
      </c>
      <c r="E275" s="5" t="s">
        <v>2189</v>
      </c>
      <c r="F275" s="34" t="s">
        <v>3574</v>
      </c>
      <c r="G275" s="26">
        <v>20.79</v>
      </c>
      <c r="H275" s="1" t="s">
        <v>774</v>
      </c>
      <c r="I275" s="9">
        <v>50</v>
      </c>
      <c r="J275" s="36">
        <v>0.06</v>
      </c>
    </row>
    <row r="276" spans="2:10" s="37" customFormat="1" ht="12.75" customHeight="1" x14ac:dyDescent="0.35">
      <c r="B276" s="9">
        <v>1102001</v>
      </c>
      <c r="C276" s="5" t="s">
        <v>1766</v>
      </c>
      <c r="D276" s="5" t="s">
        <v>3565</v>
      </c>
      <c r="E276" s="5" t="s">
        <v>1767</v>
      </c>
      <c r="F276" s="34" t="s">
        <v>3574</v>
      </c>
      <c r="G276" s="26">
        <v>2.0369999999999999</v>
      </c>
      <c r="H276" s="1" t="s">
        <v>774</v>
      </c>
      <c r="I276" s="9">
        <v>50</v>
      </c>
      <c r="J276" s="36">
        <v>0.06</v>
      </c>
    </row>
    <row r="277" spans="2:10" s="37" customFormat="1" ht="12.75" customHeight="1" x14ac:dyDescent="0.35">
      <c r="B277" s="9">
        <v>1102005</v>
      </c>
      <c r="C277" s="5" t="s">
        <v>1463</v>
      </c>
      <c r="D277" s="5" t="s">
        <v>3565</v>
      </c>
      <c r="E277" s="5" t="s">
        <v>1422</v>
      </c>
      <c r="F277" s="34" t="s">
        <v>3574</v>
      </c>
      <c r="G277" s="26">
        <v>1.4450000000000001</v>
      </c>
      <c r="H277" s="1" t="s">
        <v>774</v>
      </c>
      <c r="I277" s="9">
        <v>50</v>
      </c>
      <c r="J277" s="36">
        <v>0.06</v>
      </c>
    </row>
    <row r="278" spans="2:10" s="37" customFormat="1" ht="12.75" customHeight="1" x14ac:dyDescent="0.35">
      <c r="B278" s="9">
        <v>1102007</v>
      </c>
      <c r="C278" s="5" t="s">
        <v>1832</v>
      </c>
      <c r="D278" s="5" t="s">
        <v>3565</v>
      </c>
      <c r="E278" s="5" t="s">
        <v>1833</v>
      </c>
      <c r="F278" s="34" t="s">
        <v>3574</v>
      </c>
      <c r="G278" s="26">
        <v>3.99</v>
      </c>
      <c r="H278" s="1" t="s">
        <v>774</v>
      </c>
      <c r="I278" s="9">
        <v>50</v>
      </c>
      <c r="J278" s="36">
        <v>0.06</v>
      </c>
    </row>
    <row r="279" spans="2:10" s="37" customFormat="1" ht="12.75" customHeight="1" x14ac:dyDescent="0.35">
      <c r="B279" s="9">
        <v>1102008</v>
      </c>
      <c r="C279" s="5" t="s">
        <v>1836</v>
      </c>
      <c r="D279" s="5" t="s">
        <v>3565</v>
      </c>
      <c r="E279" s="5" t="s">
        <v>1837</v>
      </c>
      <c r="F279" s="34" t="s">
        <v>3574</v>
      </c>
      <c r="G279" s="26">
        <v>4.2</v>
      </c>
      <c r="H279" s="1" t="s">
        <v>774</v>
      </c>
      <c r="I279" s="9">
        <v>50</v>
      </c>
      <c r="J279" s="36">
        <v>0.06</v>
      </c>
    </row>
    <row r="280" spans="2:10" s="37" customFormat="1" ht="12.75" customHeight="1" x14ac:dyDescent="0.35">
      <c r="B280" s="9">
        <v>1102009</v>
      </c>
      <c r="C280" s="5" t="s">
        <v>1464</v>
      </c>
      <c r="D280" s="5" t="s">
        <v>3565</v>
      </c>
      <c r="E280" s="5" t="s">
        <v>1422</v>
      </c>
      <c r="F280" s="34" t="s">
        <v>3574</v>
      </c>
      <c r="G280" s="26">
        <v>3.3740000000000006</v>
      </c>
      <c r="H280" s="1" t="s">
        <v>774</v>
      </c>
      <c r="I280" s="9">
        <v>50</v>
      </c>
      <c r="J280" s="36">
        <v>0.06</v>
      </c>
    </row>
    <row r="281" spans="2:10" s="37" customFormat="1" ht="12.75" customHeight="1" x14ac:dyDescent="0.35">
      <c r="B281" s="9">
        <v>1102012</v>
      </c>
      <c r="C281" s="5" t="s">
        <v>1465</v>
      </c>
      <c r="D281" s="5" t="s">
        <v>3565</v>
      </c>
      <c r="E281" s="5" t="s">
        <v>1466</v>
      </c>
      <c r="F281" s="34" t="s">
        <v>3574</v>
      </c>
      <c r="G281" s="26">
        <v>2.5249999999999999</v>
      </c>
      <c r="H281" s="1" t="s">
        <v>774</v>
      </c>
      <c r="I281" s="9">
        <v>50</v>
      </c>
      <c r="J281" s="36">
        <v>0.06</v>
      </c>
    </row>
    <row r="282" spans="2:10" s="37" customFormat="1" ht="12.75" customHeight="1" x14ac:dyDescent="0.35">
      <c r="B282" s="9">
        <v>1102018</v>
      </c>
      <c r="C282" s="5" t="s">
        <v>1468</v>
      </c>
      <c r="D282" s="5" t="s">
        <v>3565</v>
      </c>
      <c r="E282" s="5" t="s">
        <v>1422</v>
      </c>
      <c r="F282" s="34" t="s">
        <v>3574</v>
      </c>
      <c r="G282" s="26">
        <v>9.1270000000000007</v>
      </c>
      <c r="H282" s="1" t="s">
        <v>774</v>
      </c>
      <c r="I282" s="9">
        <v>25</v>
      </c>
      <c r="J282" s="36">
        <v>0.06</v>
      </c>
    </row>
    <row r="283" spans="2:10" s="37" customFormat="1" ht="12.75" customHeight="1" x14ac:dyDescent="0.35">
      <c r="B283" s="9">
        <v>1102023</v>
      </c>
      <c r="C283" s="5" t="s">
        <v>1467</v>
      </c>
      <c r="D283" s="5" t="s">
        <v>3565</v>
      </c>
      <c r="E283" s="5" t="s">
        <v>1466</v>
      </c>
      <c r="F283" s="34" t="s">
        <v>3574</v>
      </c>
      <c r="G283" s="26">
        <v>4.2</v>
      </c>
      <c r="H283" s="1" t="s">
        <v>774</v>
      </c>
      <c r="I283" s="9">
        <v>50</v>
      </c>
      <c r="J283" s="36">
        <v>0.06</v>
      </c>
    </row>
    <row r="284" spans="2:10" s="37" customFormat="1" ht="12.75" customHeight="1" x14ac:dyDescent="0.35">
      <c r="B284" s="9">
        <v>1102029</v>
      </c>
      <c r="C284" s="5" t="s">
        <v>1421</v>
      </c>
      <c r="D284" s="5" t="s">
        <v>3565</v>
      </c>
      <c r="E284" s="5" t="s">
        <v>1422</v>
      </c>
      <c r="F284" s="34" t="s">
        <v>3574</v>
      </c>
      <c r="G284" s="26">
        <v>2.4390000000000001</v>
      </c>
      <c r="H284" s="1" t="s">
        <v>774</v>
      </c>
      <c r="I284" s="9">
        <v>100</v>
      </c>
      <c r="J284" s="36">
        <v>0.06</v>
      </c>
    </row>
    <row r="285" spans="2:10" s="37" customFormat="1" ht="12.75" customHeight="1" x14ac:dyDescent="0.35">
      <c r="B285" s="9">
        <v>1102306</v>
      </c>
      <c r="C285" s="5" t="s">
        <v>1315</v>
      </c>
      <c r="D285" s="5" t="s">
        <v>3565</v>
      </c>
      <c r="E285" s="5" t="s">
        <v>1316</v>
      </c>
      <c r="F285" s="34" t="s">
        <v>3574</v>
      </c>
      <c r="G285" s="26">
        <v>0.10099999999999999</v>
      </c>
      <c r="H285" s="1" t="s">
        <v>774</v>
      </c>
      <c r="I285" s="9">
        <v>100</v>
      </c>
      <c r="J285" s="36">
        <v>0.06</v>
      </c>
    </row>
    <row r="286" spans="2:10" s="37" customFormat="1" ht="12.75" customHeight="1" x14ac:dyDescent="0.35">
      <c r="B286" s="9">
        <v>1102307</v>
      </c>
      <c r="C286" s="5" t="s">
        <v>3365</v>
      </c>
      <c r="D286" s="5" t="s">
        <v>3565</v>
      </c>
      <c r="E286" s="5" t="s">
        <v>3366</v>
      </c>
      <c r="F286" s="34" t="s">
        <v>3574</v>
      </c>
      <c r="G286" s="26">
        <v>0.22</v>
      </c>
      <c r="H286" s="1" t="s">
        <v>774</v>
      </c>
      <c r="I286" s="9">
        <v>200</v>
      </c>
      <c r="J286" s="36">
        <v>0.06</v>
      </c>
    </row>
    <row r="287" spans="2:10" s="37" customFormat="1" ht="12.75" customHeight="1" x14ac:dyDescent="0.35">
      <c r="B287" s="9">
        <v>1104001</v>
      </c>
      <c r="C287" s="5" t="s">
        <v>2335</v>
      </c>
      <c r="D287" s="5" t="s">
        <v>3565</v>
      </c>
      <c r="E287" s="5" t="s">
        <v>2336</v>
      </c>
      <c r="F287" s="34" t="s">
        <v>3574</v>
      </c>
      <c r="G287" s="26">
        <v>32.549999999999997</v>
      </c>
      <c r="H287" s="1" t="s">
        <v>774</v>
      </c>
      <c r="I287" s="9">
        <v>10</v>
      </c>
      <c r="J287" s="36">
        <v>0.06</v>
      </c>
    </row>
    <row r="288" spans="2:10" s="37" customFormat="1" ht="12.75" customHeight="1" x14ac:dyDescent="0.35">
      <c r="B288" s="9">
        <v>1106001</v>
      </c>
      <c r="C288" s="5" t="s">
        <v>1227</v>
      </c>
      <c r="D288" s="5" t="s">
        <v>3565</v>
      </c>
      <c r="E288" s="5" t="s">
        <v>1228</v>
      </c>
      <c r="F288" s="34" t="s">
        <v>3574</v>
      </c>
      <c r="G288" s="26">
        <v>0.16700000000000004</v>
      </c>
      <c r="H288" s="1" t="s">
        <v>774</v>
      </c>
      <c r="I288" s="9">
        <v>100</v>
      </c>
      <c r="J288" s="36">
        <v>0.06</v>
      </c>
    </row>
    <row r="289" spans="2:10" s="37" customFormat="1" ht="12.75" customHeight="1" x14ac:dyDescent="0.35">
      <c r="B289" s="9">
        <v>1106002</v>
      </c>
      <c r="C289" s="5" t="s">
        <v>1314</v>
      </c>
      <c r="D289" s="5" t="s">
        <v>3565</v>
      </c>
      <c r="E289" s="5" t="s">
        <v>652</v>
      </c>
      <c r="F289" s="34" t="s">
        <v>3574</v>
      </c>
      <c r="G289" s="26">
        <v>6.1999999999999993E-2</v>
      </c>
      <c r="H289" s="1" t="s">
        <v>774</v>
      </c>
      <c r="I289" s="9">
        <v>200</v>
      </c>
      <c r="J289" s="36">
        <v>0.06</v>
      </c>
    </row>
    <row r="290" spans="2:10" s="37" customFormat="1" ht="12.75" customHeight="1" x14ac:dyDescent="0.35">
      <c r="B290" s="9">
        <v>1106003</v>
      </c>
      <c r="C290" s="5" t="s">
        <v>1229</v>
      </c>
      <c r="D290" s="5" t="s">
        <v>3565</v>
      </c>
      <c r="E290" s="5" t="s">
        <v>1230</v>
      </c>
      <c r="F290" s="34" t="s">
        <v>3574</v>
      </c>
      <c r="G290" s="26">
        <v>0.109</v>
      </c>
      <c r="H290" s="1" t="s">
        <v>774</v>
      </c>
      <c r="I290" s="9">
        <v>200</v>
      </c>
      <c r="J290" s="36">
        <v>0.06</v>
      </c>
    </row>
    <row r="291" spans="2:10" s="37" customFormat="1" ht="12.75" customHeight="1" x14ac:dyDescent="0.35">
      <c r="B291" s="9">
        <v>1106004</v>
      </c>
      <c r="C291" s="5" t="s">
        <v>1824</v>
      </c>
      <c r="D291" s="5" t="s">
        <v>3565</v>
      </c>
      <c r="E291" s="5" t="s">
        <v>1825</v>
      </c>
      <c r="F291" s="34" t="s">
        <v>3574</v>
      </c>
      <c r="G291" s="26">
        <v>4.8000000000000001E-2</v>
      </c>
      <c r="H291" s="1" t="s">
        <v>774</v>
      </c>
      <c r="I291" s="9">
        <v>200</v>
      </c>
      <c r="J291" s="36">
        <v>0.06</v>
      </c>
    </row>
    <row r="292" spans="2:10" s="37" customFormat="1" ht="12.75" customHeight="1" x14ac:dyDescent="0.35">
      <c r="B292" s="9">
        <v>1106005</v>
      </c>
      <c r="C292" s="5" t="s">
        <v>1231</v>
      </c>
      <c r="D292" s="5" t="s">
        <v>3565</v>
      </c>
      <c r="E292" s="5" t="s">
        <v>652</v>
      </c>
      <c r="F292" s="34" t="s">
        <v>3574</v>
      </c>
      <c r="G292" s="26">
        <v>9.799999999999999E-2</v>
      </c>
      <c r="H292" s="1" t="s">
        <v>774</v>
      </c>
      <c r="I292" s="9">
        <v>200</v>
      </c>
      <c r="J292" s="36">
        <v>0.06</v>
      </c>
    </row>
    <row r="293" spans="2:10" s="37" customFormat="1" ht="12.75" customHeight="1" x14ac:dyDescent="0.35">
      <c r="B293" s="9">
        <v>1106006</v>
      </c>
      <c r="C293" s="5" t="s">
        <v>1233</v>
      </c>
      <c r="D293" s="5" t="s">
        <v>3565</v>
      </c>
      <c r="E293" s="5" t="s">
        <v>652</v>
      </c>
      <c r="F293" s="34" t="s">
        <v>3574</v>
      </c>
      <c r="G293" s="26">
        <v>5.7999999999999996E-2</v>
      </c>
      <c r="H293" s="1" t="s">
        <v>774</v>
      </c>
      <c r="I293" s="9">
        <v>200</v>
      </c>
      <c r="J293" s="36">
        <v>0.06</v>
      </c>
    </row>
    <row r="294" spans="2:10" s="37" customFormat="1" ht="12.75" customHeight="1" x14ac:dyDescent="0.35">
      <c r="B294" s="9">
        <v>1106007</v>
      </c>
      <c r="C294" s="5" t="s">
        <v>1937</v>
      </c>
      <c r="D294" s="5" t="s">
        <v>3565</v>
      </c>
      <c r="E294" s="5" t="s">
        <v>1938</v>
      </c>
      <c r="F294" s="34" t="s">
        <v>3574</v>
      </c>
      <c r="G294" s="26">
        <v>0.11599999999999999</v>
      </c>
      <c r="H294" s="1" t="s">
        <v>774</v>
      </c>
      <c r="I294" s="9">
        <v>200</v>
      </c>
      <c r="J294" s="36">
        <v>0.06</v>
      </c>
    </row>
    <row r="295" spans="2:10" s="37" customFormat="1" ht="12.75" customHeight="1" x14ac:dyDescent="0.35">
      <c r="B295" s="9">
        <v>1106008</v>
      </c>
      <c r="C295" s="5" t="s">
        <v>1980</v>
      </c>
      <c r="D295" s="5" t="s">
        <v>3565</v>
      </c>
      <c r="E295" s="5" t="s">
        <v>1981</v>
      </c>
      <c r="F295" s="34" t="s">
        <v>3574</v>
      </c>
      <c r="G295" s="26">
        <v>0.09</v>
      </c>
      <c r="H295" s="1" t="s">
        <v>774</v>
      </c>
      <c r="I295" s="9">
        <v>200</v>
      </c>
      <c r="J295" s="36">
        <v>0.06</v>
      </c>
    </row>
    <row r="296" spans="2:10" s="37" customFormat="1" ht="12.75" customHeight="1" x14ac:dyDescent="0.35">
      <c r="B296" s="9">
        <v>1106009</v>
      </c>
      <c r="C296" s="5" t="s">
        <v>1937</v>
      </c>
      <c r="D296" s="5" t="s">
        <v>3565</v>
      </c>
      <c r="E296" s="5" t="s">
        <v>2051</v>
      </c>
      <c r="F296" s="34" t="s">
        <v>3574</v>
      </c>
      <c r="G296" s="26">
        <v>0.21600000000000003</v>
      </c>
      <c r="H296" s="1" t="s">
        <v>774</v>
      </c>
      <c r="I296" s="9">
        <v>100</v>
      </c>
      <c r="J296" s="36">
        <v>0.06</v>
      </c>
    </row>
    <row r="297" spans="2:10" s="37" customFormat="1" ht="12.75" customHeight="1" x14ac:dyDescent="0.35">
      <c r="B297" s="9">
        <v>1106010</v>
      </c>
      <c r="C297" s="5" t="s">
        <v>2965</v>
      </c>
      <c r="D297" s="5" t="s">
        <v>3565</v>
      </c>
      <c r="E297" s="11" t="s">
        <v>3573</v>
      </c>
      <c r="F297" s="34" t="s">
        <v>3574</v>
      </c>
      <c r="G297" s="26">
        <v>0.155</v>
      </c>
      <c r="H297" s="1" t="s">
        <v>774</v>
      </c>
      <c r="I297" s="9">
        <v>100</v>
      </c>
      <c r="J297" s="36">
        <v>0.06</v>
      </c>
    </row>
    <row r="298" spans="2:10" s="37" customFormat="1" ht="12.75" customHeight="1" x14ac:dyDescent="0.35">
      <c r="B298" s="9">
        <v>1106011</v>
      </c>
      <c r="C298" s="5" t="s">
        <v>1937</v>
      </c>
      <c r="D298" s="5" t="s">
        <v>3565</v>
      </c>
      <c r="E298" s="5" t="s">
        <v>2078</v>
      </c>
      <c r="F298" s="34" t="s">
        <v>3574</v>
      </c>
      <c r="G298" s="26">
        <v>0.36800000000000005</v>
      </c>
      <c r="H298" s="1" t="s">
        <v>774</v>
      </c>
      <c r="I298" s="9">
        <v>100</v>
      </c>
      <c r="J298" s="36">
        <v>0.06</v>
      </c>
    </row>
    <row r="299" spans="2:10" s="37" customFormat="1" ht="12.75" customHeight="1" x14ac:dyDescent="0.35">
      <c r="B299" s="9">
        <v>1106014</v>
      </c>
      <c r="C299" s="5" t="s">
        <v>1312</v>
      </c>
      <c r="D299" s="5" t="s">
        <v>3565</v>
      </c>
      <c r="E299" s="5" t="s">
        <v>1313</v>
      </c>
      <c r="F299" s="34" t="s">
        <v>3574</v>
      </c>
      <c r="G299" s="26">
        <v>0.10199999999999999</v>
      </c>
      <c r="H299" s="1" t="s">
        <v>774</v>
      </c>
      <c r="I299" s="9">
        <v>200</v>
      </c>
      <c r="J299" s="36">
        <v>0.06</v>
      </c>
    </row>
    <row r="300" spans="2:10" s="37" customFormat="1" ht="12.75" customHeight="1" x14ac:dyDescent="0.35">
      <c r="B300" s="9">
        <v>1106064</v>
      </c>
      <c r="C300" s="5" t="s">
        <v>1234</v>
      </c>
      <c r="D300" s="5" t="s">
        <v>3565</v>
      </c>
      <c r="E300" s="5" t="s">
        <v>1235</v>
      </c>
      <c r="F300" s="34" t="s">
        <v>3574</v>
      </c>
      <c r="G300" s="26">
        <v>0.11900000000000001</v>
      </c>
      <c r="H300" s="1" t="s">
        <v>774</v>
      </c>
      <c r="I300" s="9">
        <v>100</v>
      </c>
      <c r="J300" s="36">
        <v>0.06</v>
      </c>
    </row>
    <row r="301" spans="2:10" s="37" customFormat="1" ht="12.75" customHeight="1" x14ac:dyDescent="0.35">
      <c r="B301" s="10">
        <v>1107002</v>
      </c>
      <c r="C301" s="6" t="s">
        <v>769</v>
      </c>
      <c r="D301" s="6" t="s">
        <v>768</v>
      </c>
      <c r="E301" s="11" t="s">
        <v>3573</v>
      </c>
      <c r="F301" s="34" t="s">
        <v>3552</v>
      </c>
      <c r="G301" s="38">
        <v>0.6</v>
      </c>
      <c r="H301" s="1" t="s">
        <v>774</v>
      </c>
      <c r="I301" s="35">
        <v>10</v>
      </c>
      <c r="J301" s="36">
        <v>0.1</v>
      </c>
    </row>
    <row r="302" spans="2:10" s="37" customFormat="1" ht="12.75" customHeight="1" x14ac:dyDescent="0.35">
      <c r="B302" s="9">
        <v>1107010</v>
      </c>
      <c r="C302" s="5" t="s">
        <v>1568</v>
      </c>
      <c r="D302" s="5" t="s">
        <v>3565</v>
      </c>
      <c r="E302" s="5" t="s">
        <v>1567</v>
      </c>
      <c r="F302" s="34" t="s">
        <v>3574</v>
      </c>
      <c r="G302" s="26">
        <v>9.6989999999999998</v>
      </c>
      <c r="H302" s="1" t="s">
        <v>774</v>
      </c>
      <c r="I302" s="9">
        <v>100</v>
      </c>
      <c r="J302" s="36">
        <v>0.06</v>
      </c>
    </row>
    <row r="303" spans="2:10" s="37" customFormat="1" ht="12.75" customHeight="1" x14ac:dyDescent="0.35">
      <c r="B303" s="9">
        <v>1107017</v>
      </c>
      <c r="C303" s="5" t="s">
        <v>2344</v>
      </c>
      <c r="D303" s="5" t="s">
        <v>3565</v>
      </c>
      <c r="E303" s="5" t="s">
        <v>2345</v>
      </c>
      <c r="F303" s="34" t="s">
        <v>3574</v>
      </c>
      <c r="G303" s="26">
        <v>3.36</v>
      </c>
      <c r="H303" s="1" t="s">
        <v>774</v>
      </c>
      <c r="I303" s="9">
        <v>100</v>
      </c>
      <c r="J303" s="36">
        <v>0.06</v>
      </c>
    </row>
    <row r="304" spans="2:10" s="44" customFormat="1" x14ac:dyDescent="0.35">
      <c r="B304" s="9">
        <v>1107018</v>
      </c>
      <c r="C304" s="5" t="s">
        <v>1569</v>
      </c>
      <c r="D304" s="5" t="s">
        <v>3565</v>
      </c>
      <c r="E304" s="5" t="s">
        <v>1567</v>
      </c>
      <c r="F304" s="34" t="s">
        <v>3574</v>
      </c>
      <c r="G304" s="26">
        <v>4.2759999999999998</v>
      </c>
      <c r="H304" s="1" t="s">
        <v>774</v>
      </c>
      <c r="I304" s="9">
        <v>50</v>
      </c>
      <c r="J304" s="36">
        <v>0.06</v>
      </c>
    </row>
    <row r="305" spans="2:10" s="44" customFormat="1" x14ac:dyDescent="0.35">
      <c r="B305" s="9">
        <v>1107025</v>
      </c>
      <c r="C305" s="5" t="s">
        <v>1566</v>
      </c>
      <c r="D305" s="5" t="s">
        <v>3565</v>
      </c>
      <c r="E305" s="5" t="s">
        <v>1567</v>
      </c>
      <c r="F305" s="34" t="s">
        <v>3574</v>
      </c>
      <c r="G305" s="26">
        <v>2.9330000000000003</v>
      </c>
      <c r="H305" s="1" t="s">
        <v>774</v>
      </c>
      <c r="I305" s="9">
        <v>100</v>
      </c>
      <c r="J305" s="36">
        <v>0.06</v>
      </c>
    </row>
    <row r="306" spans="2:10" s="44" customFormat="1" x14ac:dyDescent="0.35">
      <c r="B306" s="1">
        <v>1108102</v>
      </c>
      <c r="C306" s="1" t="s">
        <v>47</v>
      </c>
      <c r="D306" s="6" t="s">
        <v>764</v>
      </c>
      <c r="E306" s="1" t="s">
        <v>48</v>
      </c>
      <c r="F306" s="34" t="s">
        <v>3559</v>
      </c>
      <c r="G306" s="24">
        <v>92</v>
      </c>
      <c r="H306" s="14" t="s">
        <v>3554</v>
      </c>
      <c r="I306" s="1">
        <v>10</v>
      </c>
      <c r="J306" s="36">
        <v>0.1</v>
      </c>
    </row>
    <row r="307" spans="2:10" s="44" customFormat="1" x14ac:dyDescent="0.35">
      <c r="B307" s="10">
        <v>1117002</v>
      </c>
      <c r="C307" s="6" t="s">
        <v>705</v>
      </c>
      <c r="D307" s="1" t="s">
        <v>111</v>
      </c>
      <c r="E307" s="11" t="s">
        <v>3573</v>
      </c>
      <c r="F307" s="34" t="s">
        <v>3574</v>
      </c>
      <c r="G307" s="26">
        <v>0.66</v>
      </c>
      <c r="H307" s="5" t="s">
        <v>774</v>
      </c>
      <c r="I307" s="35">
        <v>1</v>
      </c>
      <c r="J307" s="36">
        <v>0.06</v>
      </c>
    </row>
    <row r="308" spans="2:10" s="44" customFormat="1" x14ac:dyDescent="0.35">
      <c r="B308" s="4">
        <v>1117006</v>
      </c>
      <c r="C308" s="4" t="s">
        <v>779</v>
      </c>
      <c r="D308" s="1" t="s">
        <v>111</v>
      </c>
      <c r="E308" s="4">
        <v>41320030045</v>
      </c>
      <c r="F308" s="34" t="s">
        <v>3574</v>
      </c>
      <c r="G308" s="25">
        <v>1.5</v>
      </c>
      <c r="H308" s="5" t="s">
        <v>774</v>
      </c>
      <c r="I308" s="4">
        <v>100</v>
      </c>
      <c r="J308" s="36">
        <v>0.06</v>
      </c>
    </row>
    <row r="309" spans="2:10" s="44" customFormat="1" x14ac:dyDescent="0.35">
      <c r="B309" s="9">
        <v>1117203</v>
      </c>
      <c r="C309" s="5" t="s">
        <v>2974</v>
      </c>
      <c r="D309" s="5" t="s">
        <v>3565</v>
      </c>
      <c r="E309" s="5" t="s">
        <v>2975</v>
      </c>
      <c r="F309" s="34" t="s">
        <v>3574</v>
      </c>
      <c r="G309" s="26">
        <v>0.10300000000000001</v>
      </c>
      <c r="H309" s="1" t="s">
        <v>774</v>
      </c>
      <c r="I309" s="9">
        <v>200</v>
      </c>
      <c r="J309" s="36">
        <v>0.06</v>
      </c>
    </row>
    <row r="310" spans="2:10" s="44" customFormat="1" x14ac:dyDescent="0.35">
      <c r="B310" s="9">
        <v>1118008</v>
      </c>
      <c r="C310" s="5" t="s">
        <v>2594</v>
      </c>
      <c r="D310" s="5" t="s">
        <v>3565</v>
      </c>
      <c r="E310" s="5" t="s">
        <v>2595</v>
      </c>
      <c r="F310" s="34" t="s">
        <v>3574</v>
      </c>
      <c r="G310" s="26">
        <v>0.67</v>
      </c>
      <c r="H310" s="1" t="s">
        <v>774</v>
      </c>
      <c r="I310" s="9">
        <v>100</v>
      </c>
      <c r="J310" s="36">
        <v>0.06</v>
      </c>
    </row>
    <row r="311" spans="2:10" s="44" customFormat="1" x14ac:dyDescent="0.35">
      <c r="B311" s="9">
        <v>1118018</v>
      </c>
      <c r="C311" s="5" t="s">
        <v>1002</v>
      </c>
      <c r="D311" s="5" t="s">
        <v>3565</v>
      </c>
      <c r="E311" s="5">
        <v>1153153</v>
      </c>
      <c r="F311" s="34" t="s">
        <v>3574</v>
      </c>
      <c r="G311" s="26">
        <v>8.6999999999999994E-2</v>
      </c>
      <c r="H311" s="1" t="s">
        <v>774</v>
      </c>
      <c r="I311" s="9">
        <v>200</v>
      </c>
      <c r="J311" s="36">
        <v>0.06</v>
      </c>
    </row>
    <row r="312" spans="2:10" s="44" customFormat="1" x14ac:dyDescent="0.35">
      <c r="B312" s="9">
        <v>1118031</v>
      </c>
      <c r="C312" s="5" t="s">
        <v>936</v>
      </c>
      <c r="D312" s="5" t="s">
        <v>3565</v>
      </c>
      <c r="E312" s="5" t="s">
        <v>937</v>
      </c>
      <c r="F312" s="34" t="s">
        <v>3574</v>
      </c>
      <c r="G312" s="26">
        <v>4.9000000000000002E-2</v>
      </c>
      <c r="H312" s="1" t="s">
        <v>774</v>
      </c>
      <c r="I312" s="9">
        <v>200</v>
      </c>
      <c r="J312" s="36">
        <v>0.06</v>
      </c>
    </row>
    <row r="313" spans="2:10" s="44" customFormat="1" x14ac:dyDescent="0.35">
      <c r="B313" s="9">
        <v>1118032</v>
      </c>
      <c r="C313" s="5" t="s">
        <v>1852</v>
      </c>
      <c r="D313" s="5" t="s">
        <v>3565</v>
      </c>
      <c r="E313" s="5" t="s">
        <v>1947</v>
      </c>
      <c r="F313" s="34" t="s">
        <v>3574</v>
      </c>
      <c r="G313" s="26">
        <v>0.121</v>
      </c>
      <c r="H313" s="1" t="s">
        <v>774</v>
      </c>
      <c r="I313" s="9">
        <v>200</v>
      </c>
      <c r="J313" s="36">
        <v>0.06</v>
      </c>
    </row>
    <row r="314" spans="2:10" s="44" customFormat="1" x14ac:dyDescent="0.35">
      <c r="B314" s="9">
        <v>1118033</v>
      </c>
      <c r="C314" s="5" t="s">
        <v>2577</v>
      </c>
      <c r="D314" s="5" t="s">
        <v>3565</v>
      </c>
      <c r="E314" s="5" t="s">
        <v>2578</v>
      </c>
      <c r="F314" s="34" t="s">
        <v>3574</v>
      </c>
      <c r="G314" s="26">
        <v>9.0999999999999998E-2</v>
      </c>
      <c r="H314" s="1" t="s">
        <v>774</v>
      </c>
      <c r="I314" s="9">
        <v>200</v>
      </c>
      <c r="J314" s="36">
        <v>0.06</v>
      </c>
    </row>
    <row r="315" spans="2:10" s="44" customFormat="1" x14ac:dyDescent="0.35">
      <c r="B315" s="9">
        <v>1118034</v>
      </c>
      <c r="C315" s="5" t="s">
        <v>938</v>
      </c>
      <c r="D315" s="5" t="s">
        <v>3565</v>
      </c>
      <c r="E315" s="5">
        <v>1090666</v>
      </c>
      <c r="F315" s="34" t="s">
        <v>3574</v>
      </c>
      <c r="G315" s="26">
        <v>0.20499999999999999</v>
      </c>
      <c r="H315" s="1" t="s">
        <v>774</v>
      </c>
      <c r="I315" s="9">
        <v>100</v>
      </c>
      <c r="J315" s="36">
        <v>0.06</v>
      </c>
    </row>
    <row r="316" spans="2:10" s="44" customFormat="1" x14ac:dyDescent="0.35">
      <c r="B316" s="9">
        <v>1118035</v>
      </c>
      <c r="C316" s="5" t="s">
        <v>2606</v>
      </c>
      <c r="D316" s="5" t="s">
        <v>3565</v>
      </c>
      <c r="E316" s="5" t="s">
        <v>2607</v>
      </c>
      <c r="F316" s="34" t="s">
        <v>3574</v>
      </c>
      <c r="G316" s="26">
        <v>0.18600000000000003</v>
      </c>
      <c r="H316" s="1" t="s">
        <v>774</v>
      </c>
      <c r="I316" s="9">
        <v>100</v>
      </c>
      <c r="J316" s="36">
        <v>0.06</v>
      </c>
    </row>
    <row r="317" spans="2:10" s="44" customFormat="1" x14ac:dyDescent="0.35">
      <c r="B317" s="9">
        <v>1118036</v>
      </c>
      <c r="C317" s="5" t="s">
        <v>1852</v>
      </c>
      <c r="D317" s="5" t="s">
        <v>3565</v>
      </c>
      <c r="E317" s="5" t="s">
        <v>1853</v>
      </c>
      <c r="F317" s="34" t="s">
        <v>3574</v>
      </c>
      <c r="G317" s="26">
        <v>0.68299999999999994</v>
      </c>
      <c r="H317" s="1" t="s">
        <v>774</v>
      </c>
      <c r="I317" s="9">
        <v>100</v>
      </c>
      <c r="J317" s="36">
        <v>0.06</v>
      </c>
    </row>
    <row r="318" spans="2:10" s="44" customFormat="1" x14ac:dyDescent="0.35">
      <c r="B318" s="9">
        <v>1118038</v>
      </c>
      <c r="C318" s="5" t="s">
        <v>1518</v>
      </c>
      <c r="D318" s="5" t="s">
        <v>3565</v>
      </c>
      <c r="E318" s="5" t="s">
        <v>1519</v>
      </c>
      <c r="F318" s="34" t="s">
        <v>3574</v>
      </c>
      <c r="G318" s="26">
        <v>0.28700000000000003</v>
      </c>
      <c r="H318" s="1" t="s">
        <v>774</v>
      </c>
      <c r="I318" s="9">
        <v>100</v>
      </c>
      <c r="J318" s="36">
        <v>0.06</v>
      </c>
    </row>
    <row r="319" spans="2:10" s="44" customFormat="1" x14ac:dyDescent="0.35">
      <c r="B319" s="9">
        <v>1118039</v>
      </c>
      <c r="C319" s="9" t="s">
        <v>119</v>
      </c>
      <c r="D319" s="9" t="s">
        <v>9</v>
      </c>
      <c r="E319" s="9" t="s">
        <v>120</v>
      </c>
      <c r="F319" s="34" t="s">
        <v>3574</v>
      </c>
      <c r="G319" s="26">
        <v>1.266</v>
      </c>
      <c r="H319" s="5" t="s">
        <v>774</v>
      </c>
      <c r="I319" s="9">
        <v>100</v>
      </c>
      <c r="J319" s="36">
        <v>0.06</v>
      </c>
    </row>
    <row r="320" spans="2:10" s="44" customFormat="1" x14ac:dyDescent="0.35">
      <c r="B320" s="9">
        <v>1118042</v>
      </c>
      <c r="C320" s="5" t="s">
        <v>2155</v>
      </c>
      <c r="D320" s="5" t="s">
        <v>3565</v>
      </c>
      <c r="E320" s="5" t="s">
        <v>2156</v>
      </c>
      <c r="F320" s="34" t="s">
        <v>3574</v>
      </c>
      <c r="G320" s="26">
        <v>5.2999999999999999E-2</v>
      </c>
      <c r="H320" s="1" t="s">
        <v>774</v>
      </c>
      <c r="I320" s="9">
        <v>200</v>
      </c>
      <c r="J320" s="36">
        <v>0.06</v>
      </c>
    </row>
    <row r="321" spans="2:10" s="44" customFormat="1" x14ac:dyDescent="0.35">
      <c r="B321" s="9">
        <v>1118045</v>
      </c>
      <c r="C321" s="5" t="s">
        <v>932</v>
      </c>
      <c r="D321" s="5" t="s">
        <v>3565</v>
      </c>
      <c r="E321" s="5" t="s">
        <v>933</v>
      </c>
      <c r="F321" s="34" t="s">
        <v>3574</v>
      </c>
      <c r="G321" s="26">
        <v>6.6000000000000003E-2</v>
      </c>
      <c r="H321" s="1" t="s">
        <v>774</v>
      </c>
      <c r="I321" s="9">
        <v>200</v>
      </c>
      <c r="J321" s="36">
        <v>0.06</v>
      </c>
    </row>
    <row r="322" spans="2:10" s="44" customFormat="1" x14ac:dyDescent="0.35">
      <c r="B322" s="9">
        <v>1118048</v>
      </c>
      <c r="C322" s="5" t="s">
        <v>1709</v>
      </c>
      <c r="D322" s="5" t="s">
        <v>3565</v>
      </c>
      <c r="E322" s="5" t="s">
        <v>1708</v>
      </c>
      <c r="F322" s="34" t="s">
        <v>3574</v>
      </c>
      <c r="G322" s="26">
        <v>0.25900000000000001</v>
      </c>
      <c r="H322" s="1" t="s">
        <v>774</v>
      </c>
      <c r="I322" s="9">
        <v>200</v>
      </c>
      <c r="J322" s="36">
        <v>0.06</v>
      </c>
    </row>
    <row r="323" spans="2:10" s="44" customFormat="1" x14ac:dyDescent="0.35">
      <c r="B323" s="9">
        <v>1118049</v>
      </c>
      <c r="C323" s="5" t="s">
        <v>1707</v>
      </c>
      <c r="D323" s="5" t="s">
        <v>3565</v>
      </c>
      <c r="E323" s="5" t="s">
        <v>1708</v>
      </c>
      <c r="F323" s="34" t="s">
        <v>3574</v>
      </c>
      <c r="G323" s="26">
        <v>2.1000000000000001E-2</v>
      </c>
      <c r="H323" s="1" t="s">
        <v>774</v>
      </c>
      <c r="I323" s="9">
        <v>100</v>
      </c>
      <c r="J323" s="36">
        <v>0.06</v>
      </c>
    </row>
    <row r="324" spans="2:10" s="44" customFormat="1" x14ac:dyDescent="0.35">
      <c r="B324" s="9">
        <v>1118051</v>
      </c>
      <c r="C324" s="5" t="s">
        <v>1842</v>
      </c>
      <c r="D324" s="5" t="s">
        <v>3565</v>
      </c>
      <c r="E324" s="5" t="s">
        <v>1843</v>
      </c>
      <c r="F324" s="34" t="s">
        <v>3574</v>
      </c>
      <c r="G324" s="26">
        <v>9.6999999999999989E-2</v>
      </c>
      <c r="H324" s="1" t="s">
        <v>774</v>
      </c>
      <c r="I324" s="9">
        <v>100</v>
      </c>
      <c r="J324" s="36">
        <v>0.06</v>
      </c>
    </row>
    <row r="325" spans="2:10" s="44" customFormat="1" x14ac:dyDescent="0.35">
      <c r="B325" s="9">
        <v>1118055</v>
      </c>
      <c r="C325" s="5" t="s">
        <v>1187</v>
      </c>
      <c r="D325" s="5" t="s">
        <v>3565</v>
      </c>
      <c r="E325" s="5" t="s">
        <v>1708</v>
      </c>
      <c r="F325" s="34" t="s">
        <v>3574</v>
      </c>
      <c r="G325" s="26">
        <v>2.5000000000000001E-2</v>
      </c>
      <c r="H325" s="1" t="s">
        <v>774</v>
      </c>
      <c r="I325" s="9">
        <v>1000</v>
      </c>
      <c r="J325" s="36">
        <v>0.06</v>
      </c>
    </row>
    <row r="326" spans="2:10" s="44" customFormat="1" x14ac:dyDescent="0.35">
      <c r="B326" s="9">
        <v>1118058</v>
      </c>
      <c r="C326" s="5" t="s">
        <v>1710</v>
      </c>
      <c r="D326" s="5" t="s">
        <v>3565</v>
      </c>
      <c r="E326" s="5">
        <v>1874780</v>
      </c>
      <c r="F326" s="34" t="s">
        <v>3574</v>
      </c>
      <c r="G326" s="26">
        <v>0.31</v>
      </c>
      <c r="H326" s="1" t="s">
        <v>774</v>
      </c>
      <c r="I326" s="9">
        <v>100</v>
      </c>
      <c r="J326" s="36">
        <v>0.06</v>
      </c>
    </row>
    <row r="327" spans="2:10" s="44" customFormat="1" x14ac:dyDescent="0.35">
      <c r="B327" s="9">
        <v>1118062</v>
      </c>
      <c r="C327" s="5" t="s">
        <v>940</v>
      </c>
      <c r="D327" s="5" t="s">
        <v>3565</v>
      </c>
      <c r="E327" s="5" t="s">
        <v>941</v>
      </c>
      <c r="F327" s="34" t="s">
        <v>3574</v>
      </c>
      <c r="G327" s="26">
        <v>3.4000000000000002E-2</v>
      </c>
      <c r="H327" s="1" t="s">
        <v>774</v>
      </c>
      <c r="I327" s="9">
        <v>100</v>
      </c>
      <c r="J327" s="36">
        <v>0.06</v>
      </c>
    </row>
    <row r="328" spans="2:10" s="44" customFormat="1" x14ac:dyDescent="0.35">
      <c r="B328" s="9">
        <v>1118063</v>
      </c>
      <c r="C328" s="5" t="s">
        <v>942</v>
      </c>
      <c r="D328" s="5" t="s">
        <v>3565</v>
      </c>
      <c r="E328" s="5" t="s">
        <v>941</v>
      </c>
      <c r="F328" s="34" t="s">
        <v>3574</v>
      </c>
      <c r="G328" s="26">
        <v>5.2999999999999999E-2</v>
      </c>
      <c r="H328" s="1" t="s">
        <v>774</v>
      </c>
      <c r="I328" s="9">
        <v>100</v>
      </c>
      <c r="J328" s="36">
        <v>0.06</v>
      </c>
    </row>
    <row r="329" spans="2:10" s="44" customFormat="1" x14ac:dyDescent="0.35">
      <c r="B329" s="9">
        <v>1118064</v>
      </c>
      <c r="C329" s="5" t="s">
        <v>2042</v>
      </c>
      <c r="D329" s="5" t="s">
        <v>3565</v>
      </c>
      <c r="E329" s="5" t="s">
        <v>2043</v>
      </c>
      <c r="F329" s="34" t="s">
        <v>3574</v>
      </c>
      <c r="G329" s="26">
        <v>0.158</v>
      </c>
      <c r="H329" s="1" t="s">
        <v>774</v>
      </c>
      <c r="I329" s="9">
        <v>100</v>
      </c>
      <c r="J329" s="36">
        <v>0.06</v>
      </c>
    </row>
    <row r="330" spans="2:10" s="44" customFormat="1" x14ac:dyDescent="0.35">
      <c r="B330" s="9">
        <v>1118065</v>
      </c>
      <c r="C330" s="5" t="s">
        <v>2042</v>
      </c>
      <c r="D330" s="5" t="s">
        <v>3565</v>
      </c>
      <c r="E330" s="5" t="s">
        <v>2120</v>
      </c>
      <c r="F330" s="34" t="s">
        <v>3574</v>
      </c>
      <c r="G330" s="26">
        <v>0.105</v>
      </c>
      <c r="H330" s="1" t="s">
        <v>774</v>
      </c>
      <c r="I330" s="9">
        <v>100</v>
      </c>
      <c r="J330" s="36">
        <v>0.06</v>
      </c>
    </row>
    <row r="331" spans="2:10" s="44" customFormat="1" x14ac:dyDescent="0.35">
      <c r="B331" s="9">
        <v>1118066</v>
      </c>
      <c r="C331" s="5" t="s">
        <v>2460</v>
      </c>
      <c r="D331" s="5" t="s">
        <v>3565</v>
      </c>
      <c r="E331" s="5" t="s">
        <v>2461</v>
      </c>
      <c r="F331" s="34" t="s">
        <v>3574</v>
      </c>
      <c r="G331" s="26">
        <v>0.46200000000000002</v>
      </c>
      <c r="H331" s="1" t="s">
        <v>774</v>
      </c>
      <c r="I331" s="9">
        <v>100</v>
      </c>
      <c r="J331" s="36">
        <v>0.06</v>
      </c>
    </row>
    <row r="332" spans="2:10" s="44" customFormat="1" x14ac:dyDescent="0.35">
      <c r="B332" s="9">
        <v>1118091</v>
      </c>
      <c r="C332" s="5" t="s">
        <v>1842</v>
      </c>
      <c r="D332" s="5" t="s">
        <v>3565</v>
      </c>
      <c r="E332" s="5" t="s">
        <v>2079</v>
      </c>
      <c r="F332" s="34" t="s">
        <v>3574</v>
      </c>
      <c r="G332" s="26">
        <v>0.87199999999999989</v>
      </c>
      <c r="H332" s="1" t="s">
        <v>774</v>
      </c>
      <c r="I332" s="9">
        <v>200</v>
      </c>
      <c r="J332" s="36">
        <v>0.06</v>
      </c>
    </row>
    <row r="333" spans="2:10" s="44" customFormat="1" x14ac:dyDescent="0.35">
      <c r="B333" s="9">
        <v>1118092</v>
      </c>
      <c r="C333" s="5" t="s">
        <v>939</v>
      </c>
      <c r="D333" s="5" t="s">
        <v>3565</v>
      </c>
      <c r="E333" s="5" t="s">
        <v>937</v>
      </c>
      <c r="F333" s="34" t="s">
        <v>3574</v>
      </c>
      <c r="G333" s="26">
        <v>2.25</v>
      </c>
      <c r="H333" s="1" t="s">
        <v>774</v>
      </c>
      <c r="I333" s="9">
        <v>100</v>
      </c>
      <c r="J333" s="36">
        <v>0.06</v>
      </c>
    </row>
    <row r="334" spans="2:10" s="44" customFormat="1" x14ac:dyDescent="0.35">
      <c r="B334" s="9">
        <v>1118110</v>
      </c>
      <c r="C334" s="5" t="s">
        <v>1187</v>
      </c>
      <c r="D334" s="5" t="s">
        <v>3565</v>
      </c>
      <c r="E334" s="5" t="s">
        <v>1188</v>
      </c>
      <c r="F334" s="34" t="s">
        <v>3574</v>
      </c>
      <c r="G334" s="26">
        <v>7.6999999999999999E-2</v>
      </c>
      <c r="H334" s="1" t="s">
        <v>774</v>
      </c>
      <c r="I334" s="9">
        <v>100</v>
      </c>
      <c r="J334" s="36">
        <v>0.06</v>
      </c>
    </row>
    <row r="335" spans="2:10" s="44" customFormat="1" x14ac:dyDescent="0.35">
      <c r="B335" s="9">
        <v>1118116</v>
      </c>
      <c r="C335" s="5" t="s">
        <v>1919</v>
      </c>
      <c r="D335" s="5" t="s">
        <v>3565</v>
      </c>
      <c r="E335" s="5" t="s">
        <v>1920</v>
      </c>
      <c r="F335" s="34" t="s">
        <v>3574</v>
      </c>
      <c r="G335" s="26">
        <v>2.2680000000000002</v>
      </c>
      <c r="H335" s="1" t="s">
        <v>774</v>
      </c>
      <c r="I335" s="9">
        <v>100</v>
      </c>
      <c r="J335" s="36">
        <v>0.06</v>
      </c>
    </row>
    <row r="336" spans="2:10" s="44" customFormat="1" x14ac:dyDescent="0.35">
      <c r="B336" s="9">
        <v>1118121</v>
      </c>
      <c r="C336" s="5" t="s">
        <v>2267</v>
      </c>
      <c r="D336" s="5" t="s">
        <v>3565</v>
      </c>
      <c r="E336" s="5" t="s">
        <v>2268</v>
      </c>
      <c r="F336" s="34" t="s">
        <v>3574</v>
      </c>
      <c r="G336" s="26">
        <v>0.21</v>
      </c>
      <c r="H336" s="1" t="s">
        <v>774</v>
      </c>
      <c r="I336" s="9">
        <v>100</v>
      </c>
      <c r="J336" s="36">
        <v>0.06</v>
      </c>
    </row>
    <row r="337" spans="2:10" s="44" customFormat="1" x14ac:dyDescent="0.35">
      <c r="B337" s="9">
        <v>1118134</v>
      </c>
      <c r="C337" s="5" t="s">
        <v>2237</v>
      </c>
      <c r="D337" s="5" t="s">
        <v>3565</v>
      </c>
      <c r="E337" s="5" t="s">
        <v>2238</v>
      </c>
      <c r="F337" s="34" t="s">
        <v>3574</v>
      </c>
      <c r="G337" s="26">
        <v>0.441</v>
      </c>
      <c r="H337" s="1" t="s">
        <v>774</v>
      </c>
      <c r="I337" s="9">
        <v>100</v>
      </c>
      <c r="J337" s="36">
        <v>0.06</v>
      </c>
    </row>
    <row r="338" spans="2:10" s="44" customFormat="1" x14ac:dyDescent="0.35">
      <c r="B338" s="1">
        <v>1118143</v>
      </c>
      <c r="C338" s="1" t="s">
        <v>123</v>
      </c>
      <c r="D338" s="1" t="s">
        <v>118</v>
      </c>
      <c r="E338" s="1" t="s">
        <v>124</v>
      </c>
      <c r="F338" s="34" t="s">
        <v>3574</v>
      </c>
      <c r="G338" s="24">
        <v>4.3</v>
      </c>
      <c r="H338" s="5" t="s">
        <v>774</v>
      </c>
      <c r="I338" s="1">
        <v>100</v>
      </c>
      <c r="J338" s="36">
        <v>0.06</v>
      </c>
    </row>
    <row r="339" spans="2:10" s="44" customFormat="1" x14ac:dyDescent="0.35">
      <c r="B339" s="9">
        <v>1118155</v>
      </c>
      <c r="C339" s="5" t="s">
        <v>1190</v>
      </c>
      <c r="D339" s="5" t="s">
        <v>3565</v>
      </c>
      <c r="E339" s="5" t="s">
        <v>1191</v>
      </c>
      <c r="F339" s="34" t="s">
        <v>3574</v>
      </c>
      <c r="G339" s="26">
        <v>6.3E-2</v>
      </c>
      <c r="H339" s="1" t="s">
        <v>774</v>
      </c>
      <c r="I339" s="9">
        <v>100</v>
      </c>
      <c r="J339" s="36">
        <v>0.06</v>
      </c>
    </row>
    <row r="340" spans="2:10" s="44" customFormat="1" x14ac:dyDescent="0.35">
      <c r="B340" s="9">
        <v>1118167</v>
      </c>
      <c r="C340" s="5" t="s">
        <v>1047</v>
      </c>
      <c r="D340" s="5" t="s">
        <v>3565</v>
      </c>
      <c r="E340" s="5" t="s">
        <v>1048</v>
      </c>
      <c r="F340" s="34" t="s">
        <v>3574</v>
      </c>
      <c r="G340" s="26">
        <v>1.5469999999999999</v>
      </c>
      <c r="H340" s="1" t="s">
        <v>774</v>
      </c>
      <c r="I340" s="9">
        <v>100</v>
      </c>
      <c r="J340" s="36">
        <v>0.06</v>
      </c>
    </row>
    <row r="341" spans="2:10" s="44" customFormat="1" x14ac:dyDescent="0.35">
      <c r="B341" s="9">
        <v>1118172</v>
      </c>
      <c r="C341" s="5" t="s">
        <v>2598</v>
      </c>
      <c r="D341" s="5" t="s">
        <v>3565</v>
      </c>
      <c r="E341" s="5" t="s">
        <v>2599</v>
      </c>
      <c r="F341" s="34" t="s">
        <v>3574</v>
      </c>
      <c r="G341" s="26">
        <v>2.06</v>
      </c>
      <c r="H341" s="1" t="s">
        <v>774</v>
      </c>
      <c r="I341" s="9">
        <v>100</v>
      </c>
      <c r="J341" s="36">
        <v>0.06</v>
      </c>
    </row>
    <row r="342" spans="2:10" s="44" customFormat="1" x14ac:dyDescent="0.35">
      <c r="B342" s="9">
        <v>1118178</v>
      </c>
      <c r="C342" s="5" t="s">
        <v>1919</v>
      </c>
      <c r="D342" s="5" t="s">
        <v>3565</v>
      </c>
      <c r="E342" s="5" t="s">
        <v>2680</v>
      </c>
      <c r="F342" s="34" t="s">
        <v>3574</v>
      </c>
      <c r="G342" s="26">
        <v>1.6279999999999999</v>
      </c>
      <c r="H342" s="1" t="s">
        <v>774</v>
      </c>
      <c r="I342" s="9">
        <v>100</v>
      </c>
      <c r="J342" s="36">
        <v>0.06</v>
      </c>
    </row>
    <row r="343" spans="2:10" s="44" customFormat="1" x14ac:dyDescent="0.35">
      <c r="B343" s="10">
        <v>1118181</v>
      </c>
      <c r="C343" s="6" t="s">
        <v>96</v>
      </c>
      <c r="D343" s="6" t="s">
        <v>9</v>
      </c>
      <c r="E343" s="10" t="s">
        <v>97</v>
      </c>
      <c r="F343" s="34" t="s">
        <v>3574</v>
      </c>
      <c r="G343" s="38">
        <v>1.25</v>
      </c>
      <c r="H343" s="5" t="s">
        <v>774</v>
      </c>
      <c r="I343" s="9">
        <v>100</v>
      </c>
      <c r="J343" s="36">
        <v>0.06</v>
      </c>
    </row>
    <row r="344" spans="2:10" s="44" customFormat="1" x14ac:dyDescent="0.35">
      <c r="B344" s="9">
        <v>1118268</v>
      </c>
      <c r="C344" s="5" t="s">
        <v>1988</v>
      </c>
      <c r="D344" s="5" t="s">
        <v>3565</v>
      </c>
      <c r="E344" s="5" t="s">
        <v>1989</v>
      </c>
      <c r="F344" s="34" t="s">
        <v>3574</v>
      </c>
      <c r="G344" s="26">
        <v>0.72499999999999998</v>
      </c>
      <c r="H344" s="1" t="s">
        <v>774</v>
      </c>
      <c r="I344" s="9">
        <v>100</v>
      </c>
      <c r="J344" s="36">
        <v>0.06</v>
      </c>
    </row>
    <row r="345" spans="2:10" s="44" customFormat="1" x14ac:dyDescent="0.35">
      <c r="B345" s="10">
        <v>1119001</v>
      </c>
      <c r="C345" s="6" t="s">
        <v>65</v>
      </c>
      <c r="D345" s="5" t="s">
        <v>758</v>
      </c>
      <c r="E345" s="11" t="s">
        <v>3573</v>
      </c>
      <c r="F345" s="34" t="s">
        <v>3553</v>
      </c>
      <c r="G345" s="26">
        <v>1.23</v>
      </c>
      <c r="H345" s="5" t="s">
        <v>774</v>
      </c>
      <c r="I345" s="11">
        <v>100</v>
      </c>
      <c r="J345" s="36">
        <v>0.1</v>
      </c>
    </row>
    <row r="346" spans="2:10" s="44" customFormat="1" x14ac:dyDescent="0.35">
      <c r="B346" s="1">
        <v>1119002</v>
      </c>
      <c r="C346" s="1" t="s">
        <v>57</v>
      </c>
      <c r="D346" s="5" t="s">
        <v>758</v>
      </c>
      <c r="E346" s="1" t="s">
        <v>58</v>
      </c>
      <c r="F346" s="34" t="s">
        <v>3553</v>
      </c>
      <c r="G346" s="24">
        <v>4.2</v>
      </c>
      <c r="H346" s="5" t="s">
        <v>774</v>
      </c>
      <c r="I346" s="1">
        <v>500</v>
      </c>
      <c r="J346" s="36">
        <v>0.1</v>
      </c>
    </row>
    <row r="347" spans="2:10" s="44" customFormat="1" x14ac:dyDescent="0.35">
      <c r="B347" s="1">
        <v>1119003</v>
      </c>
      <c r="C347" s="1" t="s">
        <v>54</v>
      </c>
      <c r="D347" s="5" t="s">
        <v>758</v>
      </c>
      <c r="E347" s="12" t="s">
        <v>59</v>
      </c>
      <c r="F347" s="34" t="s">
        <v>3553</v>
      </c>
      <c r="G347" s="28">
        <v>1.5</v>
      </c>
      <c r="H347" s="5" t="s">
        <v>774</v>
      </c>
      <c r="I347" s="1">
        <v>100</v>
      </c>
      <c r="J347" s="36">
        <v>0.1</v>
      </c>
    </row>
    <row r="348" spans="2:10" s="44" customFormat="1" x14ac:dyDescent="0.35">
      <c r="B348" s="1">
        <v>1119004</v>
      </c>
      <c r="C348" s="1" t="s">
        <v>22</v>
      </c>
      <c r="D348" s="5" t="s">
        <v>758</v>
      </c>
      <c r="E348" s="1" t="s">
        <v>60</v>
      </c>
      <c r="F348" s="34" t="s">
        <v>3553</v>
      </c>
      <c r="G348" s="24">
        <v>1.4</v>
      </c>
      <c r="H348" s="5" t="s">
        <v>774</v>
      </c>
      <c r="I348" s="1">
        <v>200</v>
      </c>
      <c r="J348" s="36">
        <v>0.1</v>
      </c>
    </row>
    <row r="349" spans="2:10" s="44" customFormat="1" x14ac:dyDescent="0.35">
      <c r="B349" s="1">
        <v>1119005</v>
      </c>
      <c r="C349" s="1" t="s">
        <v>121</v>
      </c>
      <c r="D349" s="5" t="s">
        <v>758</v>
      </c>
      <c r="E349" s="1" t="s">
        <v>122</v>
      </c>
      <c r="F349" s="34" t="s">
        <v>3553</v>
      </c>
      <c r="G349" s="24">
        <v>2.0499999999999998</v>
      </c>
      <c r="H349" s="5" t="s">
        <v>774</v>
      </c>
      <c r="I349" s="1">
        <v>100</v>
      </c>
      <c r="J349" s="36">
        <v>0.1</v>
      </c>
    </row>
    <row r="350" spans="2:10" s="44" customFormat="1" x14ac:dyDescent="0.35">
      <c r="B350" s="12">
        <v>1119006</v>
      </c>
      <c r="C350" s="12" t="s">
        <v>19</v>
      </c>
      <c r="D350" s="12" t="s">
        <v>17</v>
      </c>
      <c r="E350" s="1" t="s">
        <v>20</v>
      </c>
      <c r="F350" s="34" t="s">
        <v>3559</v>
      </c>
      <c r="G350" s="24">
        <v>0.40300000000000002</v>
      </c>
      <c r="H350" s="5" t="s">
        <v>774</v>
      </c>
      <c r="I350" s="13">
        <v>25</v>
      </c>
      <c r="J350" s="36">
        <v>0.1</v>
      </c>
    </row>
    <row r="351" spans="2:10" s="44" customFormat="1" x14ac:dyDescent="0.35">
      <c r="B351" s="10">
        <v>1119007</v>
      </c>
      <c r="C351" s="6" t="s">
        <v>763</v>
      </c>
      <c r="D351" s="5" t="s">
        <v>17</v>
      </c>
      <c r="E351" s="11" t="s">
        <v>3573</v>
      </c>
      <c r="F351" s="34" t="s">
        <v>3559</v>
      </c>
      <c r="G351" s="26">
        <v>2.1</v>
      </c>
      <c r="H351" s="9" t="s">
        <v>774</v>
      </c>
      <c r="I351" s="10">
        <v>1</v>
      </c>
      <c r="J351" s="36">
        <v>0.1</v>
      </c>
    </row>
    <row r="352" spans="2:10" s="44" customFormat="1" x14ac:dyDescent="0.35">
      <c r="B352" s="10">
        <v>1119010</v>
      </c>
      <c r="C352" s="6" t="s">
        <v>766</v>
      </c>
      <c r="D352" s="5" t="s">
        <v>17</v>
      </c>
      <c r="E352" s="11" t="s">
        <v>3573</v>
      </c>
      <c r="F352" s="34" t="s">
        <v>3559</v>
      </c>
      <c r="G352" s="26">
        <v>0.88</v>
      </c>
      <c r="H352" s="9" t="s">
        <v>774</v>
      </c>
      <c r="I352" s="10">
        <v>10</v>
      </c>
      <c r="J352" s="36">
        <v>0.1</v>
      </c>
    </row>
    <row r="353" spans="2:10" s="44" customFormat="1" x14ac:dyDescent="0.35">
      <c r="B353" s="1">
        <v>1119012</v>
      </c>
      <c r="C353" s="1" t="s">
        <v>626</v>
      </c>
      <c r="D353" s="1" t="s">
        <v>21</v>
      </c>
      <c r="E353" s="1" t="s">
        <v>627</v>
      </c>
      <c r="F353" s="34" t="s">
        <v>3553</v>
      </c>
      <c r="G353" s="24">
        <v>1.5</v>
      </c>
      <c r="H353" s="9" t="s">
        <v>774</v>
      </c>
      <c r="I353" s="1">
        <v>100</v>
      </c>
      <c r="J353" s="36">
        <v>0.1</v>
      </c>
    </row>
    <row r="354" spans="2:10" s="44" customFormat="1" x14ac:dyDescent="0.35">
      <c r="B354" s="9">
        <v>1119018</v>
      </c>
      <c r="C354" s="9" t="s">
        <v>629</v>
      </c>
      <c r="D354" s="8" t="s">
        <v>748</v>
      </c>
      <c r="E354" s="9">
        <v>2547</v>
      </c>
      <c r="F354" s="34" t="s">
        <v>3552</v>
      </c>
      <c r="G354" s="26">
        <v>0.68</v>
      </c>
      <c r="H354" s="9" t="s">
        <v>774</v>
      </c>
      <c r="I354" s="9">
        <v>1</v>
      </c>
      <c r="J354" s="36">
        <v>0.1</v>
      </c>
    </row>
    <row r="355" spans="2:10" s="44" customFormat="1" x14ac:dyDescent="0.35">
      <c r="B355" s="1">
        <v>1119026</v>
      </c>
      <c r="C355" s="1" t="s">
        <v>66</v>
      </c>
      <c r="D355" s="5" t="s">
        <v>758</v>
      </c>
      <c r="E355" s="1" t="s">
        <v>67</v>
      </c>
      <c r="F355" s="34" t="s">
        <v>3553</v>
      </c>
      <c r="G355" s="24">
        <v>2.1</v>
      </c>
      <c r="H355" s="1" t="s">
        <v>774</v>
      </c>
      <c r="I355" s="1">
        <v>100</v>
      </c>
      <c r="J355" s="36">
        <v>0.1</v>
      </c>
    </row>
    <row r="356" spans="2:10" s="44" customFormat="1" x14ac:dyDescent="0.35">
      <c r="B356" s="1">
        <v>1119035</v>
      </c>
      <c r="C356" s="1" t="s">
        <v>63</v>
      </c>
      <c r="D356" s="5" t="s">
        <v>758</v>
      </c>
      <c r="E356" s="1" t="s">
        <v>64</v>
      </c>
      <c r="F356" s="34" t="s">
        <v>3553</v>
      </c>
      <c r="G356" s="24">
        <v>1.5</v>
      </c>
      <c r="H356" s="1" t="s">
        <v>774</v>
      </c>
      <c r="I356" s="1">
        <v>100</v>
      </c>
      <c r="J356" s="36">
        <v>0.1</v>
      </c>
    </row>
    <row r="357" spans="2:10" s="44" customFormat="1" x14ac:dyDescent="0.35">
      <c r="B357" s="1">
        <v>1119061</v>
      </c>
      <c r="C357" s="1" t="s">
        <v>61</v>
      </c>
      <c r="D357" s="5" t="s">
        <v>758</v>
      </c>
      <c r="E357" s="1" t="s">
        <v>62</v>
      </c>
      <c r="F357" s="34" t="s">
        <v>3553</v>
      </c>
      <c r="G357" s="24">
        <v>4</v>
      </c>
      <c r="H357" s="1" t="s">
        <v>774</v>
      </c>
      <c r="I357" s="1">
        <v>500</v>
      </c>
      <c r="J357" s="36">
        <v>0.1</v>
      </c>
    </row>
    <row r="358" spans="2:10" s="44" customFormat="1" x14ac:dyDescent="0.35">
      <c r="B358" s="7">
        <v>1119103</v>
      </c>
      <c r="C358" s="8" t="s">
        <v>753</v>
      </c>
      <c r="D358" s="8" t="s">
        <v>748</v>
      </c>
      <c r="E358" s="11" t="s">
        <v>3573</v>
      </c>
      <c r="F358" s="34" t="s">
        <v>3552</v>
      </c>
      <c r="G358" s="26">
        <v>0.9</v>
      </c>
      <c r="H358" s="5" t="s">
        <v>774</v>
      </c>
      <c r="I358" s="9">
        <v>10</v>
      </c>
      <c r="J358" s="36">
        <v>0.1</v>
      </c>
    </row>
    <row r="359" spans="2:10" s="44" customFormat="1" x14ac:dyDescent="0.35">
      <c r="B359" s="9">
        <v>1120000</v>
      </c>
      <c r="C359" s="5" t="s">
        <v>2852</v>
      </c>
      <c r="D359" s="5" t="s">
        <v>3565</v>
      </c>
      <c r="E359" s="5" t="s">
        <v>1747</v>
      </c>
      <c r="F359" s="34" t="s">
        <v>3574</v>
      </c>
      <c r="G359" s="26">
        <v>3.8000000000000006E-2</v>
      </c>
      <c r="H359" s="1" t="s">
        <v>774</v>
      </c>
      <c r="I359" s="9">
        <v>100</v>
      </c>
      <c r="J359" s="36">
        <v>0.06</v>
      </c>
    </row>
    <row r="360" spans="2:10" s="44" customFormat="1" x14ac:dyDescent="0.35">
      <c r="B360" s="9">
        <v>1120209</v>
      </c>
      <c r="C360" s="5" t="s">
        <v>2995</v>
      </c>
      <c r="D360" s="5" t="s">
        <v>3565</v>
      </c>
      <c r="E360" s="5" t="s">
        <v>2995</v>
      </c>
      <c r="F360" s="34" t="s">
        <v>3574</v>
      </c>
      <c r="G360" s="26">
        <v>0.61799999999999999</v>
      </c>
      <c r="H360" s="1" t="s">
        <v>774</v>
      </c>
      <c r="I360" s="9">
        <v>100</v>
      </c>
      <c r="J360" s="36">
        <v>0.06</v>
      </c>
    </row>
    <row r="361" spans="2:10" s="44" customFormat="1" x14ac:dyDescent="0.35">
      <c r="B361" s="9">
        <v>1120239</v>
      </c>
      <c r="C361" s="5" t="s">
        <v>1982</v>
      </c>
      <c r="D361" s="5" t="s">
        <v>3565</v>
      </c>
      <c r="E361" s="5" t="s">
        <v>1983</v>
      </c>
      <c r="F361" s="34" t="s">
        <v>3574</v>
      </c>
      <c r="G361" s="26">
        <v>0.21</v>
      </c>
      <c r="H361" s="1" t="s">
        <v>774</v>
      </c>
      <c r="I361" s="9">
        <v>100</v>
      </c>
      <c r="J361" s="36">
        <v>0.06</v>
      </c>
    </row>
    <row r="362" spans="2:10" s="44" customFormat="1" x14ac:dyDescent="0.35">
      <c r="B362" s="9">
        <v>1120400</v>
      </c>
      <c r="C362" s="5" t="s">
        <v>2943</v>
      </c>
      <c r="D362" s="5" t="s">
        <v>3565</v>
      </c>
      <c r="E362" s="5" t="s">
        <v>2944</v>
      </c>
      <c r="F362" s="34" t="s">
        <v>3574</v>
      </c>
      <c r="G362" s="26">
        <v>8.299999999999999E-2</v>
      </c>
      <c r="H362" s="1" t="s">
        <v>774</v>
      </c>
      <c r="I362" s="9">
        <v>200</v>
      </c>
      <c r="J362" s="36">
        <v>0.06</v>
      </c>
    </row>
    <row r="363" spans="2:10" s="44" customFormat="1" x14ac:dyDescent="0.35">
      <c r="B363" s="9">
        <v>1120401</v>
      </c>
      <c r="C363" s="5" t="s">
        <v>1286</v>
      </c>
      <c r="D363" s="5" t="s">
        <v>3565</v>
      </c>
      <c r="E363" s="5" t="s">
        <v>1287</v>
      </c>
      <c r="F363" s="34" t="s">
        <v>3574</v>
      </c>
      <c r="G363" s="26">
        <v>0.02</v>
      </c>
      <c r="H363" s="1" t="s">
        <v>774</v>
      </c>
      <c r="I363" s="9">
        <v>200</v>
      </c>
      <c r="J363" s="36">
        <v>0.06</v>
      </c>
    </row>
    <row r="364" spans="2:10" s="44" customFormat="1" x14ac:dyDescent="0.35">
      <c r="B364" s="9">
        <v>1120402</v>
      </c>
      <c r="C364" s="5" t="s">
        <v>1288</v>
      </c>
      <c r="D364" s="5" t="s">
        <v>3565</v>
      </c>
      <c r="E364" s="5" t="s">
        <v>1289</v>
      </c>
      <c r="F364" s="34" t="s">
        <v>3574</v>
      </c>
      <c r="G364" s="26">
        <v>0.03</v>
      </c>
      <c r="H364" s="1" t="s">
        <v>774</v>
      </c>
      <c r="I364" s="9">
        <v>200</v>
      </c>
      <c r="J364" s="36">
        <v>0.06</v>
      </c>
    </row>
    <row r="365" spans="2:10" s="44" customFormat="1" x14ac:dyDescent="0.35">
      <c r="B365" s="9">
        <v>1120403</v>
      </c>
      <c r="C365" s="5" t="s">
        <v>1290</v>
      </c>
      <c r="D365" s="5" t="s">
        <v>3565</v>
      </c>
      <c r="E365" s="5" t="s">
        <v>1289</v>
      </c>
      <c r="F365" s="34" t="s">
        <v>3574</v>
      </c>
      <c r="G365" s="26">
        <v>4.3999999999999997E-2</v>
      </c>
      <c r="H365" s="1" t="s">
        <v>774</v>
      </c>
      <c r="I365" s="9">
        <v>200</v>
      </c>
      <c r="J365" s="36">
        <v>0.06</v>
      </c>
    </row>
    <row r="366" spans="2:10" s="44" customFormat="1" x14ac:dyDescent="0.35">
      <c r="B366" s="9">
        <v>1120404</v>
      </c>
      <c r="C366" s="5" t="s">
        <v>1807</v>
      </c>
      <c r="D366" s="5" t="s">
        <v>3565</v>
      </c>
      <c r="E366" s="5" t="s">
        <v>1808</v>
      </c>
      <c r="F366" s="34" t="s">
        <v>3574</v>
      </c>
      <c r="G366" s="26">
        <v>0.11599999999999999</v>
      </c>
      <c r="H366" s="1" t="s">
        <v>774</v>
      </c>
      <c r="I366" s="9">
        <v>200</v>
      </c>
      <c r="J366" s="36">
        <v>0.06</v>
      </c>
    </row>
    <row r="367" spans="2:10" s="44" customFormat="1" x14ac:dyDescent="0.35">
      <c r="B367" s="9">
        <v>1120405</v>
      </c>
      <c r="C367" s="5" t="s">
        <v>2730</v>
      </c>
      <c r="D367" s="5" t="s">
        <v>3565</v>
      </c>
      <c r="E367" s="5" t="s">
        <v>2731</v>
      </c>
      <c r="F367" s="34" t="s">
        <v>3574</v>
      </c>
      <c r="G367" s="26">
        <v>0.21200000000000002</v>
      </c>
      <c r="H367" s="1" t="s">
        <v>774</v>
      </c>
      <c r="I367" s="9">
        <v>100</v>
      </c>
      <c r="J367" s="36">
        <v>0.06</v>
      </c>
    </row>
    <row r="368" spans="2:10" s="44" customFormat="1" x14ac:dyDescent="0.35">
      <c r="B368" s="9">
        <v>1120409</v>
      </c>
      <c r="C368" s="5" t="s">
        <v>2661</v>
      </c>
      <c r="D368" s="5" t="s">
        <v>3565</v>
      </c>
      <c r="E368" s="5" t="s">
        <v>2662</v>
      </c>
      <c r="F368" s="34" t="s">
        <v>3574</v>
      </c>
      <c r="G368" s="26">
        <v>0.21200000000000002</v>
      </c>
      <c r="H368" s="1" t="s">
        <v>774</v>
      </c>
      <c r="I368" s="9">
        <v>100</v>
      </c>
      <c r="J368" s="36">
        <v>0.06</v>
      </c>
    </row>
    <row r="369" spans="2:10" s="44" customFormat="1" x14ac:dyDescent="0.35">
      <c r="B369" s="9">
        <v>1120410</v>
      </c>
      <c r="C369" s="5" t="s">
        <v>3028</v>
      </c>
      <c r="D369" s="5" t="s">
        <v>3565</v>
      </c>
      <c r="E369" s="5" t="s">
        <v>3029</v>
      </c>
      <c r="F369" s="34" t="s">
        <v>3574</v>
      </c>
      <c r="G369" s="26">
        <v>0.3</v>
      </c>
      <c r="H369" s="1" t="s">
        <v>774</v>
      </c>
      <c r="I369" s="9">
        <v>100</v>
      </c>
      <c r="J369" s="36">
        <v>0.06</v>
      </c>
    </row>
    <row r="370" spans="2:10" s="44" customFormat="1" x14ac:dyDescent="0.35">
      <c r="B370" s="9">
        <v>1120423</v>
      </c>
      <c r="C370" s="5" t="s">
        <v>2469</v>
      </c>
      <c r="D370" s="5" t="s">
        <v>3565</v>
      </c>
      <c r="E370" s="5" t="s">
        <v>1300</v>
      </c>
      <c r="F370" s="34" t="s">
        <v>3574</v>
      </c>
      <c r="G370" s="26">
        <v>0.08</v>
      </c>
      <c r="H370" s="1" t="s">
        <v>774</v>
      </c>
      <c r="I370" s="9">
        <v>100</v>
      </c>
      <c r="J370" s="36">
        <v>0.06</v>
      </c>
    </row>
    <row r="371" spans="2:10" s="44" customFormat="1" x14ac:dyDescent="0.35">
      <c r="B371" s="9">
        <v>1120424</v>
      </c>
      <c r="C371" s="5" t="s">
        <v>2695</v>
      </c>
      <c r="D371" s="5" t="s">
        <v>3565</v>
      </c>
      <c r="E371" s="5" t="s">
        <v>2696</v>
      </c>
      <c r="F371" s="34" t="s">
        <v>3574</v>
      </c>
      <c r="G371" s="26">
        <v>6.1999999999999993E-2</v>
      </c>
      <c r="H371" s="1" t="s">
        <v>774</v>
      </c>
      <c r="I371" s="9">
        <v>200</v>
      </c>
      <c r="J371" s="36">
        <v>0.06</v>
      </c>
    </row>
    <row r="372" spans="2:10" s="44" customFormat="1" x14ac:dyDescent="0.35">
      <c r="B372" s="9">
        <v>1120425</v>
      </c>
      <c r="C372" s="5" t="s">
        <v>1299</v>
      </c>
      <c r="D372" s="5" t="s">
        <v>3565</v>
      </c>
      <c r="E372" s="5" t="s">
        <v>1300</v>
      </c>
      <c r="F372" s="34" t="s">
        <v>3574</v>
      </c>
      <c r="G372" s="26">
        <v>0.11199999999999999</v>
      </c>
      <c r="H372" s="1" t="s">
        <v>774</v>
      </c>
      <c r="I372" s="9">
        <v>200</v>
      </c>
      <c r="J372" s="36">
        <v>0.06</v>
      </c>
    </row>
    <row r="373" spans="2:10" s="44" customFormat="1" x14ac:dyDescent="0.35">
      <c r="B373" s="9">
        <v>1120439</v>
      </c>
      <c r="C373" s="5" t="s">
        <v>2898</v>
      </c>
      <c r="D373" s="5" t="s">
        <v>3565</v>
      </c>
      <c r="E373" s="5" t="s">
        <v>2899</v>
      </c>
      <c r="F373" s="34" t="s">
        <v>3574</v>
      </c>
      <c r="G373" s="26">
        <v>0.10300000000000001</v>
      </c>
      <c r="H373" s="1" t="s">
        <v>774</v>
      </c>
      <c r="I373" s="9">
        <v>200</v>
      </c>
      <c r="J373" s="36">
        <v>0.06</v>
      </c>
    </row>
    <row r="374" spans="2:10" s="44" customFormat="1" x14ac:dyDescent="0.35">
      <c r="B374" s="9">
        <v>1120442</v>
      </c>
      <c r="C374" s="5" t="s">
        <v>2137</v>
      </c>
      <c r="D374" s="5" t="s">
        <v>3565</v>
      </c>
      <c r="E374" s="5" t="s">
        <v>2138</v>
      </c>
      <c r="F374" s="34" t="s">
        <v>3574</v>
      </c>
      <c r="G374" s="26">
        <v>0.105</v>
      </c>
      <c r="H374" s="1" t="s">
        <v>774</v>
      </c>
      <c r="I374" s="9">
        <v>200</v>
      </c>
      <c r="J374" s="36">
        <v>0.06</v>
      </c>
    </row>
    <row r="375" spans="2:10" s="44" customFormat="1" x14ac:dyDescent="0.35">
      <c r="B375" s="9">
        <v>1120447</v>
      </c>
      <c r="C375" s="5" t="s">
        <v>1570</v>
      </c>
      <c r="D375" s="5" t="s">
        <v>3565</v>
      </c>
      <c r="E375" s="5" t="s">
        <v>1571</v>
      </c>
      <c r="F375" s="34" t="s">
        <v>3574</v>
      </c>
      <c r="G375" s="26">
        <v>0.17600000000000002</v>
      </c>
      <c r="H375" s="1" t="s">
        <v>774</v>
      </c>
      <c r="I375" s="9">
        <v>100</v>
      </c>
      <c r="J375" s="36">
        <v>0.06</v>
      </c>
    </row>
    <row r="376" spans="2:10" s="44" customFormat="1" x14ac:dyDescent="0.35">
      <c r="B376" s="9">
        <v>1120449</v>
      </c>
      <c r="C376" s="5" t="s">
        <v>3014</v>
      </c>
      <c r="D376" s="5" t="s">
        <v>3565</v>
      </c>
      <c r="E376" s="5" t="s">
        <v>3015</v>
      </c>
      <c r="F376" s="34" t="s">
        <v>3574</v>
      </c>
      <c r="G376" s="26">
        <v>1.2</v>
      </c>
      <c r="H376" s="1" t="s">
        <v>774</v>
      </c>
      <c r="I376" s="9">
        <v>100</v>
      </c>
      <c r="J376" s="36">
        <v>0.06</v>
      </c>
    </row>
    <row r="377" spans="2:10" s="44" customFormat="1" x14ac:dyDescent="0.35">
      <c r="B377" s="9">
        <v>1121007</v>
      </c>
      <c r="C377" s="5" t="s">
        <v>3389</v>
      </c>
      <c r="D377" s="5" t="s">
        <v>3565</v>
      </c>
      <c r="E377" s="5" t="s">
        <v>3390</v>
      </c>
      <c r="F377" s="34" t="s">
        <v>3574</v>
      </c>
      <c r="G377" s="26">
        <v>0.17499999999999999</v>
      </c>
      <c r="H377" s="1" t="s">
        <v>774</v>
      </c>
      <c r="I377" s="9">
        <v>200</v>
      </c>
      <c r="J377" s="36">
        <v>0.06</v>
      </c>
    </row>
    <row r="378" spans="2:10" s="44" customFormat="1" x14ac:dyDescent="0.35">
      <c r="B378" s="9">
        <v>1121009</v>
      </c>
      <c r="C378" s="5" t="s">
        <v>2210</v>
      </c>
      <c r="D378" s="5" t="s">
        <v>3565</v>
      </c>
      <c r="E378" s="5" t="s">
        <v>2211</v>
      </c>
      <c r="F378" s="34" t="s">
        <v>3574</v>
      </c>
      <c r="G378" s="26">
        <v>0.35200000000000004</v>
      </c>
      <c r="H378" s="1" t="s">
        <v>774</v>
      </c>
      <c r="I378" s="9">
        <v>100</v>
      </c>
      <c r="J378" s="36">
        <v>0.06</v>
      </c>
    </row>
    <row r="379" spans="2:10" s="44" customFormat="1" x14ac:dyDescent="0.35">
      <c r="B379" s="9">
        <v>1121011</v>
      </c>
      <c r="C379" s="5" t="s">
        <v>1524</v>
      </c>
      <c r="D379" s="5" t="s">
        <v>3565</v>
      </c>
      <c r="E379" s="5" t="s">
        <v>1523</v>
      </c>
      <c r="F379" s="34" t="s">
        <v>3574</v>
      </c>
      <c r="G379" s="26">
        <v>5.8999999999999997E-2</v>
      </c>
      <c r="H379" s="1" t="s">
        <v>774</v>
      </c>
      <c r="I379" s="9">
        <v>100</v>
      </c>
      <c r="J379" s="36">
        <v>0.06</v>
      </c>
    </row>
    <row r="380" spans="2:10" s="44" customFormat="1" x14ac:dyDescent="0.35">
      <c r="B380" s="9">
        <v>1121012</v>
      </c>
      <c r="C380" s="5" t="s">
        <v>730</v>
      </c>
      <c r="D380" s="5" t="s">
        <v>3565</v>
      </c>
      <c r="E380" s="5" t="s">
        <v>2920</v>
      </c>
      <c r="F380" s="34" t="s">
        <v>3574</v>
      </c>
      <c r="G380" s="26">
        <v>0.155</v>
      </c>
      <c r="H380" s="1" t="s">
        <v>774</v>
      </c>
      <c r="I380" s="9">
        <v>100</v>
      </c>
      <c r="J380" s="36">
        <v>0.06</v>
      </c>
    </row>
    <row r="381" spans="2:10" s="44" customFormat="1" x14ac:dyDescent="0.35">
      <c r="B381" s="9">
        <v>1121032</v>
      </c>
      <c r="C381" s="5" t="s">
        <v>2470</v>
      </c>
      <c r="D381" s="5" t="s">
        <v>3565</v>
      </c>
      <c r="E381" s="5" t="s">
        <v>2471</v>
      </c>
      <c r="F381" s="34" t="s">
        <v>3574</v>
      </c>
      <c r="G381" s="26">
        <v>1.3859999999999999</v>
      </c>
      <c r="H381" s="1" t="s">
        <v>774</v>
      </c>
      <c r="I381" s="9">
        <v>100</v>
      </c>
      <c r="J381" s="36">
        <v>0.06</v>
      </c>
    </row>
    <row r="382" spans="2:10" s="44" customFormat="1" x14ac:dyDescent="0.35">
      <c r="B382" s="9">
        <v>1121033</v>
      </c>
      <c r="C382" s="5" t="s">
        <v>2472</v>
      </c>
      <c r="D382" s="5" t="s">
        <v>3565</v>
      </c>
      <c r="E382" s="5" t="s">
        <v>2473</v>
      </c>
      <c r="F382" s="34" t="s">
        <v>3574</v>
      </c>
      <c r="G382" s="26">
        <v>1.365</v>
      </c>
      <c r="H382" s="1" t="s">
        <v>774</v>
      </c>
      <c r="I382" s="9">
        <v>100</v>
      </c>
      <c r="J382" s="36">
        <v>0.06</v>
      </c>
    </row>
    <row r="383" spans="2:10" s="44" customFormat="1" x14ac:dyDescent="0.35">
      <c r="B383" s="9">
        <v>1121173</v>
      </c>
      <c r="C383" s="5" t="s">
        <v>1572</v>
      </c>
      <c r="D383" s="5" t="s">
        <v>3565</v>
      </c>
      <c r="E383" s="5" t="s">
        <v>1573</v>
      </c>
      <c r="F383" s="34" t="s">
        <v>3574</v>
      </c>
      <c r="G383" s="26">
        <v>0.47300000000000003</v>
      </c>
      <c r="H383" s="1" t="s">
        <v>774</v>
      </c>
      <c r="I383" s="9">
        <v>100</v>
      </c>
      <c r="J383" s="36">
        <v>0.06</v>
      </c>
    </row>
    <row r="384" spans="2:10" s="44" customFormat="1" x14ac:dyDescent="0.35">
      <c r="B384" s="9">
        <v>1121174</v>
      </c>
      <c r="C384" s="5" t="s">
        <v>1574</v>
      </c>
      <c r="D384" s="5" t="s">
        <v>3565</v>
      </c>
      <c r="E384" s="11" t="s">
        <v>3573</v>
      </c>
      <c r="F384" s="34" t="s">
        <v>3574</v>
      </c>
      <c r="G384" s="26">
        <v>0.59899999999999998</v>
      </c>
      <c r="H384" s="1" t="s">
        <v>774</v>
      </c>
      <c r="I384" s="9">
        <v>100</v>
      </c>
      <c r="J384" s="36">
        <v>0.06</v>
      </c>
    </row>
    <row r="385" spans="2:10" s="44" customFormat="1" x14ac:dyDescent="0.35">
      <c r="B385" s="9">
        <v>1128073</v>
      </c>
      <c r="C385" s="5" t="s">
        <v>2738</v>
      </c>
      <c r="D385" s="5" t="s">
        <v>3565</v>
      </c>
      <c r="E385" s="5" t="s">
        <v>2739</v>
      </c>
      <c r="F385" s="34" t="s">
        <v>3574</v>
      </c>
      <c r="G385" s="26">
        <v>12.36</v>
      </c>
      <c r="H385" s="1" t="s">
        <v>774</v>
      </c>
      <c r="I385" s="9">
        <v>10</v>
      </c>
      <c r="J385" s="36">
        <v>0.06</v>
      </c>
    </row>
    <row r="386" spans="2:10" s="44" customFormat="1" x14ac:dyDescent="0.35">
      <c r="B386" s="9">
        <v>1130059</v>
      </c>
      <c r="C386" s="5" t="s">
        <v>1607</v>
      </c>
      <c r="D386" s="5" t="s">
        <v>3565</v>
      </c>
      <c r="E386" s="5" t="s">
        <v>654</v>
      </c>
      <c r="F386" s="34" t="s">
        <v>3574</v>
      </c>
      <c r="G386" s="26">
        <v>1.575</v>
      </c>
      <c r="H386" s="1" t="s">
        <v>774</v>
      </c>
      <c r="I386" s="9">
        <v>100</v>
      </c>
      <c r="J386" s="36">
        <v>0.06</v>
      </c>
    </row>
    <row r="387" spans="2:10" s="44" customFormat="1" x14ac:dyDescent="0.35">
      <c r="B387" s="9">
        <v>1130105</v>
      </c>
      <c r="C387" s="5" t="s">
        <v>3178</v>
      </c>
      <c r="D387" s="5" t="s">
        <v>3565</v>
      </c>
      <c r="E387" s="5" t="s">
        <v>3179</v>
      </c>
      <c r="F387" s="34" t="s">
        <v>3574</v>
      </c>
      <c r="G387" s="26">
        <v>0.8</v>
      </c>
      <c r="H387" s="1" t="s">
        <v>774</v>
      </c>
      <c r="I387" s="9">
        <v>100</v>
      </c>
      <c r="J387" s="36">
        <v>0.06</v>
      </c>
    </row>
    <row r="388" spans="2:10" s="44" customFormat="1" x14ac:dyDescent="0.35">
      <c r="B388" s="9">
        <v>1130142</v>
      </c>
      <c r="C388" s="5" t="s">
        <v>1844</v>
      </c>
      <c r="D388" s="5" t="s">
        <v>3565</v>
      </c>
      <c r="E388" s="5" t="s">
        <v>2010</v>
      </c>
      <c r="F388" s="34" t="s">
        <v>3574</v>
      </c>
      <c r="G388" s="26">
        <v>0.21</v>
      </c>
      <c r="H388" s="1" t="s">
        <v>774</v>
      </c>
      <c r="I388" s="9">
        <v>100</v>
      </c>
      <c r="J388" s="36">
        <v>0.06</v>
      </c>
    </row>
    <row r="389" spans="2:10" s="44" customFormat="1" x14ac:dyDescent="0.35">
      <c r="B389" s="9">
        <v>1130148</v>
      </c>
      <c r="C389" s="5" t="s">
        <v>1508</v>
      </c>
      <c r="D389" s="5" t="s">
        <v>3565</v>
      </c>
      <c r="E389" s="5" t="s">
        <v>1509</v>
      </c>
      <c r="F389" s="34" t="s">
        <v>3574</v>
      </c>
      <c r="G389" s="26">
        <v>0.21</v>
      </c>
      <c r="H389" s="1" t="s">
        <v>774</v>
      </c>
      <c r="I389" s="9">
        <v>100</v>
      </c>
      <c r="J389" s="36">
        <v>0.06</v>
      </c>
    </row>
    <row r="390" spans="2:10" s="44" customFormat="1" x14ac:dyDescent="0.35">
      <c r="B390" s="9">
        <v>1130183</v>
      </c>
      <c r="C390" s="5" t="s">
        <v>1506</v>
      </c>
      <c r="D390" s="5" t="s">
        <v>3565</v>
      </c>
      <c r="E390" s="5" t="s">
        <v>1507</v>
      </c>
      <c r="F390" s="34" t="s">
        <v>3574</v>
      </c>
      <c r="G390" s="26">
        <v>0.69899999999999995</v>
      </c>
      <c r="H390" s="1" t="s">
        <v>774</v>
      </c>
      <c r="I390" s="9">
        <v>100</v>
      </c>
      <c r="J390" s="36">
        <v>0.06</v>
      </c>
    </row>
    <row r="391" spans="2:10" s="44" customFormat="1" x14ac:dyDescent="0.35">
      <c r="B391" s="9">
        <v>1130268</v>
      </c>
      <c r="C391" s="5" t="s">
        <v>2129</v>
      </c>
      <c r="D391" s="5" t="s">
        <v>3565</v>
      </c>
      <c r="E391" s="5" t="s">
        <v>2130</v>
      </c>
      <c r="F391" s="34" t="s">
        <v>3574</v>
      </c>
      <c r="G391" s="26">
        <v>1.9950000000000001</v>
      </c>
      <c r="H391" s="1" t="s">
        <v>774</v>
      </c>
      <c r="I391" s="9">
        <v>100</v>
      </c>
      <c r="J391" s="36">
        <v>0.06</v>
      </c>
    </row>
    <row r="392" spans="2:10" s="44" customFormat="1" x14ac:dyDescent="0.35">
      <c r="B392" s="9">
        <v>1130300</v>
      </c>
      <c r="C392" s="5" t="s">
        <v>988</v>
      </c>
      <c r="D392" s="5" t="s">
        <v>3565</v>
      </c>
      <c r="E392" s="5" t="s">
        <v>989</v>
      </c>
      <c r="F392" s="34" t="s">
        <v>3574</v>
      </c>
      <c r="G392" s="26">
        <v>0.27200000000000002</v>
      </c>
      <c r="H392" s="1" t="s">
        <v>774</v>
      </c>
      <c r="I392" s="9">
        <v>100</v>
      </c>
      <c r="J392" s="36">
        <v>0.06</v>
      </c>
    </row>
    <row r="393" spans="2:10" s="44" customFormat="1" x14ac:dyDescent="0.35">
      <c r="B393" s="9">
        <v>1130398</v>
      </c>
      <c r="C393" s="5" t="s">
        <v>2825</v>
      </c>
      <c r="D393" s="5" t="s">
        <v>3565</v>
      </c>
      <c r="E393" s="5" t="s">
        <v>2826</v>
      </c>
      <c r="F393" s="34" t="s">
        <v>3574</v>
      </c>
      <c r="G393" s="26">
        <v>11.33</v>
      </c>
      <c r="H393" s="1" t="s">
        <v>774</v>
      </c>
      <c r="I393" s="9">
        <v>1</v>
      </c>
      <c r="J393" s="36">
        <v>0.06</v>
      </c>
    </row>
    <row r="394" spans="2:10" s="44" customFormat="1" x14ac:dyDescent="0.35">
      <c r="B394" s="9">
        <v>1130407</v>
      </c>
      <c r="C394" s="5" t="s">
        <v>974</v>
      </c>
      <c r="D394" s="5" t="s">
        <v>3565</v>
      </c>
      <c r="E394" s="5">
        <v>1114654</v>
      </c>
      <c r="F394" s="34" t="s">
        <v>3574</v>
      </c>
      <c r="G394" s="26">
        <v>0.13900000000000001</v>
      </c>
      <c r="H394" s="1" t="s">
        <v>774</v>
      </c>
      <c r="I394" s="9">
        <v>100</v>
      </c>
      <c r="J394" s="36">
        <v>0.06</v>
      </c>
    </row>
    <row r="395" spans="2:10" s="44" customFormat="1" x14ac:dyDescent="0.35">
      <c r="B395" s="9">
        <v>1130454</v>
      </c>
      <c r="C395" s="5" t="s">
        <v>2279</v>
      </c>
      <c r="D395" s="5" t="s">
        <v>3565</v>
      </c>
      <c r="E395" s="5" t="s">
        <v>2280</v>
      </c>
      <c r="F395" s="34" t="s">
        <v>3574</v>
      </c>
      <c r="G395" s="26">
        <v>1.575</v>
      </c>
      <c r="H395" s="1" t="s">
        <v>774</v>
      </c>
      <c r="I395" s="9">
        <v>100</v>
      </c>
      <c r="J395" s="36">
        <v>0.06</v>
      </c>
    </row>
    <row r="396" spans="2:10" s="44" customFormat="1" x14ac:dyDescent="0.35">
      <c r="B396" s="9">
        <v>1130475</v>
      </c>
      <c r="C396" s="5" t="s">
        <v>2552</v>
      </c>
      <c r="D396" s="5" t="s">
        <v>3565</v>
      </c>
      <c r="E396" s="5" t="s">
        <v>2553</v>
      </c>
      <c r="F396" s="34" t="s">
        <v>3574</v>
      </c>
      <c r="G396" s="26">
        <v>1.8540000000000001</v>
      </c>
      <c r="H396" s="1" t="s">
        <v>774</v>
      </c>
      <c r="I396" s="9">
        <v>100</v>
      </c>
      <c r="J396" s="36">
        <v>0.06</v>
      </c>
    </row>
    <row r="397" spans="2:10" s="44" customFormat="1" x14ac:dyDescent="0.35">
      <c r="B397" s="9">
        <v>1130476</v>
      </c>
      <c r="C397" s="5" t="s">
        <v>1830</v>
      </c>
      <c r="D397" s="5" t="s">
        <v>3565</v>
      </c>
      <c r="E397" s="5" t="s">
        <v>2679</v>
      </c>
      <c r="F397" s="34" t="s">
        <v>3574</v>
      </c>
      <c r="G397" s="26">
        <v>0.25800000000000001</v>
      </c>
      <c r="H397" s="1" t="s">
        <v>774</v>
      </c>
      <c r="I397" s="9">
        <v>100</v>
      </c>
      <c r="J397" s="36">
        <v>0.06</v>
      </c>
    </row>
    <row r="398" spans="2:10" s="44" customFormat="1" x14ac:dyDescent="0.35">
      <c r="B398" s="9">
        <v>1130480</v>
      </c>
      <c r="C398" s="5" t="s">
        <v>1830</v>
      </c>
      <c r="D398" s="5" t="s">
        <v>3565</v>
      </c>
      <c r="E398" s="5" t="s">
        <v>2252</v>
      </c>
      <c r="F398" s="34" t="s">
        <v>3574</v>
      </c>
      <c r="G398" s="26">
        <v>0.315</v>
      </c>
      <c r="H398" s="1" t="s">
        <v>774</v>
      </c>
      <c r="I398" s="9">
        <v>100</v>
      </c>
      <c r="J398" s="36">
        <v>0.06</v>
      </c>
    </row>
    <row r="399" spans="2:10" s="44" customFormat="1" x14ac:dyDescent="0.35">
      <c r="B399" s="9">
        <v>1130487</v>
      </c>
      <c r="C399" s="5" t="s">
        <v>1830</v>
      </c>
      <c r="D399" s="5" t="s">
        <v>3565</v>
      </c>
      <c r="E399" s="5" t="s">
        <v>1930</v>
      </c>
      <c r="F399" s="34" t="s">
        <v>3574</v>
      </c>
      <c r="G399" s="26">
        <v>0.47300000000000003</v>
      </c>
      <c r="H399" s="1" t="s">
        <v>774</v>
      </c>
      <c r="I399" s="9">
        <v>100</v>
      </c>
      <c r="J399" s="36">
        <v>0.06</v>
      </c>
    </row>
    <row r="400" spans="2:10" s="44" customFormat="1" x14ac:dyDescent="0.35">
      <c r="B400" s="9">
        <v>1130489</v>
      </c>
      <c r="C400" s="5" t="s">
        <v>1830</v>
      </c>
      <c r="D400" s="5" t="s">
        <v>3565</v>
      </c>
      <c r="E400" s="5" t="s">
        <v>2126</v>
      </c>
      <c r="F400" s="34" t="s">
        <v>3574</v>
      </c>
      <c r="G400" s="26">
        <v>0.7669999999999999</v>
      </c>
      <c r="H400" s="1" t="s">
        <v>774</v>
      </c>
      <c r="I400" s="9">
        <v>100</v>
      </c>
      <c r="J400" s="36">
        <v>0.06</v>
      </c>
    </row>
    <row r="401" spans="2:10" s="44" customFormat="1" x14ac:dyDescent="0.35">
      <c r="B401" s="9">
        <v>1130490</v>
      </c>
      <c r="C401" s="5" t="s">
        <v>1830</v>
      </c>
      <c r="D401" s="5" t="s">
        <v>3565</v>
      </c>
      <c r="E401" s="5" t="s">
        <v>2674</v>
      </c>
      <c r="F401" s="34" t="s">
        <v>3574</v>
      </c>
      <c r="G401" s="26">
        <v>0.8859999999999999</v>
      </c>
      <c r="H401" s="1" t="s">
        <v>774</v>
      </c>
      <c r="I401" s="9">
        <v>100</v>
      </c>
      <c r="J401" s="36">
        <v>0.06</v>
      </c>
    </row>
    <row r="402" spans="2:10" s="44" customFormat="1" x14ac:dyDescent="0.35">
      <c r="B402" s="9">
        <v>1130493</v>
      </c>
      <c r="C402" s="5" t="s">
        <v>1944</v>
      </c>
      <c r="D402" s="5" t="s">
        <v>3565</v>
      </c>
      <c r="E402" s="5" t="s">
        <v>2715</v>
      </c>
      <c r="F402" s="34" t="s">
        <v>3574</v>
      </c>
      <c r="G402" s="26">
        <v>3.7080000000000002</v>
      </c>
      <c r="H402" s="1" t="s">
        <v>774</v>
      </c>
      <c r="I402" s="9">
        <v>50</v>
      </c>
      <c r="J402" s="36">
        <v>0.06</v>
      </c>
    </row>
    <row r="403" spans="2:10" s="44" customFormat="1" x14ac:dyDescent="0.35">
      <c r="B403" s="9">
        <v>1130504</v>
      </c>
      <c r="C403" s="5" t="s">
        <v>2757</v>
      </c>
      <c r="D403" s="5" t="s">
        <v>3565</v>
      </c>
      <c r="E403" s="5" t="s">
        <v>2758</v>
      </c>
      <c r="F403" s="34" t="s">
        <v>3574</v>
      </c>
      <c r="G403" s="26">
        <v>0.495</v>
      </c>
      <c r="H403" s="1" t="s">
        <v>774</v>
      </c>
      <c r="I403" s="9">
        <v>100</v>
      </c>
      <c r="J403" s="36">
        <v>0.06</v>
      </c>
    </row>
    <row r="404" spans="2:10" s="44" customFormat="1" x14ac:dyDescent="0.35">
      <c r="B404" s="9">
        <v>1130509</v>
      </c>
      <c r="C404" s="5" t="s">
        <v>3271</v>
      </c>
      <c r="D404" s="5" t="s">
        <v>3565</v>
      </c>
      <c r="E404" s="5" t="s">
        <v>778</v>
      </c>
      <c r="F404" s="34" t="s">
        <v>3574</v>
      </c>
      <c r="G404" s="26">
        <v>0.6</v>
      </c>
      <c r="H404" s="1" t="s">
        <v>774</v>
      </c>
      <c r="I404" s="9">
        <v>100</v>
      </c>
      <c r="J404" s="36">
        <v>0.06</v>
      </c>
    </row>
    <row r="405" spans="2:10" s="44" customFormat="1" x14ac:dyDescent="0.35">
      <c r="B405" s="9">
        <v>1130518</v>
      </c>
      <c r="C405" s="5" t="s">
        <v>3363</v>
      </c>
      <c r="D405" s="5" t="s">
        <v>3565</v>
      </c>
      <c r="E405" s="5" t="s">
        <v>3364</v>
      </c>
      <c r="F405" s="34" t="s">
        <v>3574</v>
      </c>
      <c r="G405" s="26">
        <v>0.18</v>
      </c>
      <c r="H405" s="1" t="s">
        <v>774</v>
      </c>
      <c r="I405" s="9">
        <v>200</v>
      </c>
      <c r="J405" s="36">
        <v>0.06</v>
      </c>
    </row>
    <row r="406" spans="2:10" s="44" customFormat="1" x14ac:dyDescent="0.35">
      <c r="B406" s="9">
        <v>1130639</v>
      </c>
      <c r="C406" s="5" t="s">
        <v>636</v>
      </c>
      <c r="D406" s="5" t="s">
        <v>3565</v>
      </c>
      <c r="E406" s="5" t="s">
        <v>2191</v>
      </c>
      <c r="F406" s="34" t="s">
        <v>3574</v>
      </c>
      <c r="G406" s="26">
        <v>15.96</v>
      </c>
      <c r="H406" s="1" t="s">
        <v>774</v>
      </c>
      <c r="I406" s="9">
        <v>100</v>
      </c>
      <c r="J406" s="36">
        <v>0.06</v>
      </c>
    </row>
    <row r="407" spans="2:10" s="44" customFormat="1" x14ac:dyDescent="0.35">
      <c r="B407" s="9">
        <v>1130654</v>
      </c>
      <c r="C407" s="5" t="s">
        <v>2583</v>
      </c>
      <c r="D407" s="5" t="s">
        <v>3565</v>
      </c>
      <c r="E407" s="5" t="s">
        <v>2584</v>
      </c>
      <c r="F407" s="34" t="s">
        <v>3574</v>
      </c>
      <c r="G407" s="26">
        <v>0.20600000000000002</v>
      </c>
      <c r="H407" s="1" t="s">
        <v>774</v>
      </c>
      <c r="I407" s="9">
        <v>100</v>
      </c>
      <c r="J407" s="36">
        <v>0.06</v>
      </c>
    </row>
    <row r="408" spans="2:10" s="44" customFormat="1" x14ac:dyDescent="0.35">
      <c r="B408" s="9">
        <v>1130655</v>
      </c>
      <c r="C408" s="5" t="s">
        <v>1588</v>
      </c>
      <c r="D408" s="5" t="s">
        <v>3565</v>
      </c>
      <c r="E408" s="5" t="s">
        <v>1589</v>
      </c>
      <c r="F408" s="34" t="s">
        <v>3574</v>
      </c>
      <c r="G408" s="26">
        <v>0.13299999999999998</v>
      </c>
      <c r="H408" s="1" t="s">
        <v>774</v>
      </c>
      <c r="I408" s="9">
        <v>100</v>
      </c>
      <c r="J408" s="36">
        <v>0.06</v>
      </c>
    </row>
    <row r="409" spans="2:10" s="44" customFormat="1" x14ac:dyDescent="0.35">
      <c r="B409" s="9">
        <v>1130667</v>
      </c>
      <c r="C409" s="5" t="s">
        <v>1690</v>
      </c>
      <c r="D409" s="5" t="s">
        <v>3565</v>
      </c>
      <c r="E409" s="5" t="s">
        <v>1691</v>
      </c>
      <c r="F409" s="34" t="s">
        <v>3574</v>
      </c>
      <c r="G409" s="26">
        <v>1.1589999999999998</v>
      </c>
      <c r="H409" s="1" t="s">
        <v>774</v>
      </c>
      <c r="I409" s="9">
        <v>100</v>
      </c>
      <c r="J409" s="36">
        <v>0.06</v>
      </c>
    </row>
    <row r="410" spans="2:10" s="44" customFormat="1" x14ac:dyDescent="0.35">
      <c r="B410" s="9">
        <v>1130668</v>
      </c>
      <c r="C410" s="5" t="s">
        <v>1284</v>
      </c>
      <c r="D410" s="5" t="s">
        <v>3565</v>
      </c>
      <c r="E410" s="5" t="s">
        <v>1285</v>
      </c>
      <c r="F410" s="34" t="s">
        <v>3574</v>
      </c>
      <c r="G410" s="26">
        <v>0.08</v>
      </c>
      <c r="H410" s="1" t="s">
        <v>774</v>
      </c>
      <c r="I410" s="9">
        <v>200</v>
      </c>
      <c r="J410" s="36">
        <v>0.06</v>
      </c>
    </row>
    <row r="411" spans="2:10" s="44" customFormat="1" x14ac:dyDescent="0.35">
      <c r="B411" s="9">
        <v>1130674</v>
      </c>
      <c r="C411" s="5" t="s">
        <v>2759</v>
      </c>
      <c r="D411" s="5" t="s">
        <v>3565</v>
      </c>
      <c r="E411" s="5" t="s">
        <v>2760</v>
      </c>
      <c r="F411" s="34" t="s">
        <v>3574</v>
      </c>
      <c r="G411" s="26">
        <v>0.13400000000000001</v>
      </c>
      <c r="H411" s="1" t="s">
        <v>774</v>
      </c>
      <c r="I411" s="9">
        <v>100</v>
      </c>
      <c r="J411" s="36">
        <v>0.06</v>
      </c>
    </row>
    <row r="412" spans="2:10" s="44" customFormat="1" x14ac:dyDescent="0.35">
      <c r="B412" s="9">
        <v>1130749</v>
      </c>
      <c r="C412" s="5" t="s">
        <v>2134</v>
      </c>
      <c r="D412" s="5" t="s">
        <v>3565</v>
      </c>
      <c r="E412" s="5" t="s">
        <v>2135</v>
      </c>
      <c r="F412" s="34" t="s">
        <v>3574</v>
      </c>
      <c r="G412" s="26">
        <v>2.625</v>
      </c>
      <c r="H412" s="1" t="s">
        <v>774</v>
      </c>
      <c r="I412" s="9">
        <v>100</v>
      </c>
      <c r="J412" s="36">
        <v>0.06</v>
      </c>
    </row>
    <row r="413" spans="2:10" s="44" customFormat="1" x14ac:dyDescent="0.35">
      <c r="B413" s="9">
        <v>1130752</v>
      </c>
      <c r="C413" s="5" t="s">
        <v>2604</v>
      </c>
      <c r="D413" s="5" t="s">
        <v>3565</v>
      </c>
      <c r="E413" s="5" t="s">
        <v>2605</v>
      </c>
      <c r="F413" s="34" t="s">
        <v>3574</v>
      </c>
      <c r="G413" s="26">
        <v>4.0790000000000006</v>
      </c>
      <c r="H413" s="1" t="s">
        <v>774</v>
      </c>
      <c r="I413" s="9">
        <v>100</v>
      </c>
      <c r="J413" s="36">
        <v>0.06</v>
      </c>
    </row>
    <row r="414" spans="2:10" s="44" customFormat="1" x14ac:dyDescent="0.35">
      <c r="B414" s="9">
        <v>1130771</v>
      </c>
      <c r="C414" s="5" t="s">
        <v>2761</v>
      </c>
      <c r="D414" s="5" t="s">
        <v>3565</v>
      </c>
      <c r="E414" s="5" t="s">
        <v>2762</v>
      </c>
      <c r="F414" s="34" t="s">
        <v>3574</v>
      </c>
      <c r="G414" s="26">
        <v>0.36099999999999999</v>
      </c>
      <c r="H414" s="1" t="s">
        <v>774</v>
      </c>
      <c r="I414" s="9">
        <v>100</v>
      </c>
      <c r="J414" s="36">
        <v>0.06</v>
      </c>
    </row>
    <row r="415" spans="2:10" s="44" customFormat="1" x14ac:dyDescent="0.35">
      <c r="B415" s="9">
        <v>1130850</v>
      </c>
      <c r="C415" s="5" t="s">
        <v>1478</v>
      </c>
      <c r="D415" s="5" t="s">
        <v>3565</v>
      </c>
      <c r="E415" s="5" t="s">
        <v>909</v>
      </c>
      <c r="F415" s="34" t="s">
        <v>3574</v>
      </c>
      <c r="G415" s="26">
        <v>0.26400000000000001</v>
      </c>
      <c r="H415" s="1" t="s">
        <v>774</v>
      </c>
      <c r="I415" s="9">
        <v>100</v>
      </c>
      <c r="J415" s="36">
        <v>0.06</v>
      </c>
    </row>
    <row r="416" spans="2:10" s="44" customFormat="1" x14ac:dyDescent="0.35">
      <c r="B416" s="9">
        <v>1130851</v>
      </c>
      <c r="C416" s="5" t="s">
        <v>1487</v>
      </c>
      <c r="D416" s="5" t="s">
        <v>3565</v>
      </c>
      <c r="E416" s="5" t="s">
        <v>909</v>
      </c>
      <c r="F416" s="34" t="s">
        <v>3574</v>
      </c>
      <c r="G416" s="26">
        <v>2.157</v>
      </c>
      <c r="H416" s="1" t="s">
        <v>774</v>
      </c>
      <c r="I416" s="9">
        <v>100</v>
      </c>
      <c r="J416" s="36">
        <v>0.06</v>
      </c>
    </row>
    <row r="417" spans="2:10" s="44" customFormat="1" x14ac:dyDescent="0.35">
      <c r="B417" s="9">
        <v>1131037</v>
      </c>
      <c r="C417" s="5" t="s">
        <v>907</v>
      </c>
      <c r="D417" s="5" t="s">
        <v>3565</v>
      </c>
      <c r="E417" s="5" t="s">
        <v>2616</v>
      </c>
      <c r="F417" s="34" t="s">
        <v>3574</v>
      </c>
      <c r="G417" s="26">
        <v>0.61799999999999999</v>
      </c>
      <c r="H417" s="1" t="s">
        <v>774</v>
      </c>
      <c r="I417" s="9">
        <v>100</v>
      </c>
      <c r="J417" s="36">
        <v>0.06</v>
      </c>
    </row>
    <row r="418" spans="2:10" s="44" customFormat="1" x14ac:dyDescent="0.35">
      <c r="B418" s="9">
        <v>1131047</v>
      </c>
      <c r="C418" s="5" t="s">
        <v>2458</v>
      </c>
      <c r="D418" s="5" t="s">
        <v>3565</v>
      </c>
      <c r="E418" s="5" t="s">
        <v>2459</v>
      </c>
      <c r="F418" s="34" t="s">
        <v>3574</v>
      </c>
      <c r="G418" s="26">
        <v>2.258</v>
      </c>
      <c r="H418" s="1" t="s">
        <v>774</v>
      </c>
      <c r="I418" s="9">
        <v>100</v>
      </c>
      <c r="J418" s="36">
        <v>0.06</v>
      </c>
    </row>
    <row r="419" spans="2:10" s="44" customFormat="1" x14ac:dyDescent="0.35">
      <c r="B419" s="9">
        <v>1131049</v>
      </c>
      <c r="C419" s="5" t="s">
        <v>1830</v>
      </c>
      <c r="D419" s="5" t="s">
        <v>3565</v>
      </c>
      <c r="E419" s="5" t="s">
        <v>2057</v>
      </c>
      <c r="F419" s="34" t="s">
        <v>3574</v>
      </c>
      <c r="G419" s="26">
        <v>0.2</v>
      </c>
      <c r="H419" s="1" t="s">
        <v>774</v>
      </c>
      <c r="I419" s="9">
        <v>100</v>
      </c>
      <c r="J419" s="36">
        <v>0.06</v>
      </c>
    </row>
    <row r="420" spans="2:10" s="44" customFormat="1" x14ac:dyDescent="0.35">
      <c r="B420" s="9">
        <v>1131066</v>
      </c>
      <c r="C420" s="5" t="s">
        <v>910</v>
      </c>
      <c r="D420" s="5" t="s">
        <v>3565</v>
      </c>
      <c r="E420" s="5" t="s">
        <v>911</v>
      </c>
      <c r="F420" s="34" t="s">
        <v>3574</v>
      </c>
      <c r="G420" s="26">
        <v>2.3250000000000002</v>
      </c>
      <c r="H420" s="1" t="s">
        <v>774</v>
      </c>
      <c r="I420" s="9">
        <v>100</v>
      </c>
      <c r="J420" s="36">
        <v>0.06</v>
      </c>
    </row>
    <row r="421" spans="2:10" s="44" customFormat="1" x14ac:dyDescent="0.35">
      <c r="B421" s="9">
        <v>1131139</v>
      </c>
      <c r="C421" s="5" t="s">
        <v>1735</v>
      </c>
      <c r="D421" s="5" t="s">
        <v>3565</v>
      </c>
      <c r="E421" s="5" t="s">
        <v>1736</v>
      </c>
      <c r="F421" s="34" t="s">
        <v>3574</v>
      </c>
      <c r="G421" s="26">
        <v>0.24200000000000002</v>
      </c>
      <c r="H421" s="1" t="s">
        <v>774</v>
      </c>
      <c r="I421" s="9">
        <v>100</v>
      </c>
      <c r="J421" s="36">
        <v>0.06</v>
      </c>
    </row>
    <row r="422" spans="2:10" s="44" customFormat="1" x14ac:dyDescent="0.35">
      <c r="B422" s="9">
        <v>1131148</v>
      </c>
      <c r="C422" s="5" t="s">
        <v>881</v>
      </c>
      <c r="D422" s="5" t="s">
        <v>3565</v>
      </c>
      <c r="E422" s="5">
        <v>1025007</v>
      </c>
      <c r="F422" s="34" t="s">
        <v>3574</v>
      </c>
      <c r="G422" s="26">
        <v>9.1999999999999998E-2</v>
      </c>
      <c r="H422" s="1" t="s">
        <v>774</v>
      </c>
      <c r="I422" s="9">
        <v>100</v>
      </c>
      <c r="J422" s="36">
        <v>0.06</v>
      </c>
    </row>
    <row r="423" spans="2:10" s="44" customFormat="1" x14ac:dyDescent="0.35">
      <c r="B423" s="9">
        <v>1131149</v>
      </c>
      <c r="C423" s="5" t="s">
        <v>885</v>
      </c>
      <c r="D423" s="5" t="s">
        <v>3565</v>
      </c>
      <c r="E423" s="5" t="s">
        <v>879</v>
      </c>
      <c r="F423" s="34" t="s">
        <v>3574</v>
      </c>
      <c r="G423" s="26">
        <v>9.5000000000000001E-2</v>
      </c>
      <c r="H423" s="1" t="s">
        <v>774</v>
      </c>
      <c r="I423" s="9">
        <v>100</v>
      </c>
      <c r="J423" s="36">
        <v>0.06</v>
      </c>
    </row>
    <row r="424" spans="2:10" s="44" customFormat="1" x14ac:dyDescent="0.35">
      <c r="B424" s="9">
        <v>1131150</v>
      </c>
      <c r="C424" s="5" t="s">
        <v>888</v>
      </c>
      <c r="D424" s="5" t="s">
        <v>3565</v>
      </c>
      <c r="E424" s="5" t="s">
        <v>879</v>
      </c>
      <c r="F424" s="34" t="s">
        <v>3574</v>
      </c>
      <c r="G424" s="26">
        <v>5.5E-2</v>
      </c>
      <c r="H424" s="1" t="s">
        <v>774</v>
      </c>
      <c r="I424" s="9">
        <v>100</v>
      </c>
      <c r="J424" s="36">
        <v>0.06</v>
      </c>
    </row>
    <row r="425" spans="2:10" s="44" customFormat="1" x14ac:dyDescent="0.35">
      <c r="B425" s="9">
        <v>1131151</v>
      </c>
      <c r="C425" s="5" t="s">
        <v>889</v>
      </c>
      <c r="D425" s="5" t="s">
        <v>3565</v>
      </c>
      <c r="E425" s="5" t="s">
        <v>879</v>
      </c>
      <c r="F425" s="34" t="s">
        <v>3574</v>
      </c>
      <c r="G425" s="26">
        <v>4.4000000000000004E-2</v>
      </c>
      <c r="H425" s="1" t="s">
        <v>774</v>
      </c>
      <c r="I425" s="9">
        <v>100</v>
      </c>
      <c r="J425" s="36">
        <v>0.06</v>
      </c>
    </row>
    <row r="426" spans="2:10" s="44" customFormat="1" x14ac:dyDescent="0.35">
      <c r="B426" s="9">
        <v>1131152</v>
      </c>
      <c r="C426" s="5" t="s">
        <v>890</v>
      </c>
      <c r="D426" s="5" t="s">
        <v>3565</v>
      </c>
      <c r="E426" s="5" t="s">
        <v>879</v>
      </c>
      <c r="F426" s="34" t="s">
        <v>3574</v>
      </c>
      <c r="G426" s="26">
        <v>5.3999999999999992E-2</v>
      </c>
      <c r="H426" s="1" t="s">
        <v>774</v>
      </c>
      <c r="I426" s="9">
        <v>100</v>
      </c>
      <c r="J426" s="36">
        <v>0.06</v>
      </c>
    </row>
    <row r="427" spans="2:10" s="44" customFormat="1" x14ac:dyDescent="0.35">
      <c r="B427" s="9">
        <v>1131153</v>
      </c>
      <c r="C427" s="5" t="s">
        <v>891</v>
      </c>
      <c r="D427" s="5" t="s">
        <v>3565</v>
      </c>
      <c r="E427" s="5">
        <v>1025309</v>
      </c>
      <c r="F427" s="34" t="s">
        <v>3574</v>
      </c>
      <c r="G427" s="26">
        <v>8.199999999999999E-2</v>
      </c>
      <c r="H427" s="1" t="s">
        <v>774</v>
      </c>
      <c r="I427" s="9">
        <v>100</v>
      </c>
      <c r="J427" s="36">
        <v>0.06</v>
      </c>
    </row>
    <row r="428" spans="2:10" s="44" customFormat="1" x14ac:dyDescent="0.35">
      <c r="B428" s="9">
        <v>1131154</v>
      </c>
      <c r="C428" s="5" t="s">
        <v>892</v>
      </c>
      <c r="D428" s="5" t="s">
        <v>3565</v>
      </c>
      <c r="E428" s="5" t="s">
        <v>879</v>
      </c>
      <c r="F428" s="34" t="s">
        <v>3574</v>
      </c>
      <c r="G428" s="26">
        <v>0.122</v>
      </c>
      <c r="H428" s="1" t="s">
        <v>774</v>
      </c>
      <c r="I428" s="9">
        <v>200</v>
      </c>
      <c r="J428" s="36">
        <v>0.06</v>
      </c>
    </row>
    <row r="429" spans="2:10" s="44" customFormat="1" x14ac:dyDescent="0.35">
      <c r="B429" s="9">
        <v>1131155</v>
      </c>
      <c r="C429" s="5" t="s">
        <v>893</v>
      </c>
      <c r="D429" s="5" t="s">
        <v>3565</v>
      </c>
      <c r="E429" s="5" t="s">
        <v>879</v>
      </c>
      <c r="F429" s="34" t="s">
        <v>3574</v>
      </c>
      <c r="G429" s="26">
        <v>0.13100000000000001</v>
      </c>
      <c r="H429" s="1" t="s">
        <v>774</v>
      </c>
      <c r="I429" s="9">
        <v>100</v>
      </c>
      <c r="J429" s="36">
        <v>0.06</v>
      </c>
    </row>
    <row r="430" spans="2:10" s="44" customFormat="1" x14ac:dyDescent="0.35">
      <c r="B430" s="9">
        <v>1131156</v>
      </c>
      <c r="C430" s="5" t="s">
        <v>894</v>
      </c>
      <c r="D430" s="5" t="s">
        <v>3565</v>
      </c>
      <c r="E430" s="5" t="s">
        <v>879</v>
      </c>
      <c r="F430" s="34" t="s">
        <v>3574</v>
      </c>
      <c r="G430" s="26">
        <v>0.13500000000000001</v>
      </c>
      <c r="H430" s="1" t="s">
        <v>774</v>
      </c>
      <c r="I430" s="9">
        <v>100</v>
      </c>
      <c r="J430" s="36">
        <v>0.06</v>
      </c>
    </row>
    <row r="431" spans="2:10" s="44" customFormat="1" x14ac:dyDescent="0.35">
      <c r="B431" s="9">
        <v>1131157</v>
      </c>
      <c r="C431" s="5" t="s">
        <v>895</v>
      </c>
      <c r="D431" s="5" t="s">
        <v>3565</v>
      </c>
      <c r="E431" s="5" t="s">
        <v>879</v>
      </c>
      <c r="F431" s="34" t="s">
        <v>3574</v>
      </c>
      <c r="G431" s="26">
        <v>0.18200000000000002</v>
      </c>
      <c r="H431" s="1" t="s">
        <v>774</v>
      </c>
      <c r="I431" s="9">
        <v>100</v>
      </c>
      <c r="J431" s="36">
        <v>0.06</v>
      </c>
    </row>
    <row r="432" spans="2:10" s="44" customFormat="1" x14ac:dyDescent="0.35">
      <c r="B432" s="9">
        <v>1131158</v>
      </c>
      <c r="C432" s="5" t="s">
        <v>1815</v>
      </c>
      <c r="D432" s="5" t="s">
        <v>3565</v>
      </c>
      <c r="E432" s="5" t="s">
        <v>2433</v>
      </c>
      <c r="F432" s="34" t="s">
        <v>3574</v>
      </c>
      <c r="G432" s="26">
        <v>0.44700000000000001</v>
      </c>
      <c r="H432" s="1" t="s">
        <v>774</v>
      </c>
      <c r="I432" s="9">
        <v>100</v>
      </c>
      <c r="J432" s="36">
        <v>0.06</v>
      </c>
    </row>
    <row r="433" spans="2:10" s="44" customFormat="1" x14ac:dyDescent="0.35">
      <c r="B433" s="9">
        <v>1131224</v>
      </c>
      <c r="C433" s="5" t="s">
        <v>1830</v>
      </c>
      <c r="D433" s="5" t="s">
        <v>3565</v>
      </c>
      <c r="E433" s="5" t="s">
        <v>2056</v>
      </c>
      <c r="F433" s="34" t="s">
        <v>3574</v>
      </c>
      <c r="G433" s="26">
        <v>0.21</v>
      </c>
      <c r="H433" s="1" t="s">
        <v>774</v>
      </c>
      <c r="I433" s="9">
        <v>100</v>
      </c>
      <c r="J433" s="36">
        <v>0.06</v>
      </c>
    </row>
    <row r="434" spans="2:10" s="44" customFormat="1" x14ac:dyDescent="0.35">
      <c r="B434" s="9">
        <v>1131237</v>
      </c>
      <c r="C434" s="5" t="s">
        <v>2617</v>
      </c>
      <c r="D434" s="5" t="s">
        <v>3565</v>
      </c>
      <c r="E434" s="5" t="s">
        <v>2618</v>
      </c>
      <c r="F434" s="34" t="s">
        <v>3574</v>
      </c>
      <c r="G434" s="26">
        <v>0.10300000000000001</v>
      </c>
      <c r="H434" s="1" t="s">
        <v>774</v>
      </c>
      <c r="I434" s="9">
        <v>100</v>
      </c>
      <c r="J434" s="36">
        <v>0.06</v>
      </c>
    </row>
    <row r="435" spans="2:10" s="44" customFormat="1" x14ac:dyDescent="0.35">
      <c r="B435" s="9">
        <v>1131291</v>
      </c>
      <c r="C435" s="5" t="s">
        <v>1685</v>
      </c>
      <c r="D435" s="5" t="s">
        <v>3565</v>
      </c>
      <c r="E435" s="5" t="s">
        <v>1676</v>
      </c>
      <c r="F435" s="34" t="s">
        <v>3574</v>
      </c>
      <c r="G435" s="26">
        <v>8.900000000000001E-2</v>
      </c>
      <c r="H435" s="1" t="s">
        <v>774</v>
      </c>
      <c r="I435" s="9">
        <v>100</v>
      </c>
      <c r="J435" s="36">
        <v>0.06</v>
      </c>
    </row>
    <row r="436" spans="2:10" s="44" customFormat="1" x14ac:dyDescent="0.35">
      <c r="B436" s="9">
        <v>1131305</v>
      </c>
      <c r="C436" s="5" t="s">
        <v>2376</v>
      </c>
      <c r="D436" s="5" t="s">
        <v>3565</v>
      </c>
      <c r="E436" s="5" t="s">
        <v>2377</v>
      </c>
      <c r="F436" s="34" t="s">
        <v>3574</v>
      </c>
      <c r="G436" s="26">
        <v>32.549999999999997</v>
      </c>
      <c r="H436" s="1" t="s">
        <v>774</v>
      </c>
      <c r="I436" s="9">
        <v>10</v>
      </c>
      <c r="J436" s="36">
        <v>0.06</v>
      </c>
    </row>
    <row r="437" spans="2:10" s="44" customFormat="1" x14ac:dyDescent="0.35">
      <c r="B437" s="9">
        <v>1131331</v>
      </c>
      <c r="C437" s="5" t="s">
        <v>1580</v>
      </c>
      <c r="D437" s="5" t="s">
        <v>3565</v>
      </c>
      <c r="E437" s="5" t="s">
        <v>1581</v>
      </c>
      <c r="F437" s="34" t="s">
        <v>3574</v>
      </c>
      <c r="G437" s="26">
        <v>8.6999999999999994E-2</v>
      </c>
      <c r="H437" s="1" t="s">
        <v>774</v>
      </c>
      <c r="I437" s="9">
        <v>100</v>
      </c>
      <c r="J437" s="36">
        <v>0.06</v>
      </c>
    </row>
    <row r="438" spans="2:10" s="44" customFormat="1" x14ac:dyDescent="0.35">
      <c r="B438" s="9">
        <v>1131415</v>
      </c>
      <c r="C438" s="5" t="s">
        <v>2253</v>
      </c>
      <c r="D438" s="5" t="s">
        <v>3565</v>
      </c>
      <c r="E438" s="5" t="s">
        <v>2400</v>
      </c>
      <c r="F438" s="34" t="s">
        <v>3574</v>
      </c>
      <c r="G438" s="26">
        <v>0.78799999999999992</v>
      </c>
      <c r="H438" s="1" t="s">
        <v>774</v>
      </c>
      <c r="I438" s="9">
        <v>100</v>
      </c>
      <c r="J438" s="36">
        <v>0.06</v>
      </c>
    </row>
    <row r="439" spans="2:10" s="44" customFormat="1" x14ac:dyDescent="0.35">
      <c r="B439" s="9">
        <v>1131423</v>
      </c>
      <c r="C439" s="5" t="s">
        <v>18</v>
      </c>
      <c r="D439" s="5" t="s">
        <v>3565</v>
      </c>
      <c r="E439" s="5" t="s">
        <v>2192</v>
      </c>
      <c r="F439" s="34" t="s">
        <v>3574</v>
      </c>
      <c r="G439" s="26">
        <v>34.965000000000003</v>
      </c>
      <c r="H439" s="1" t="s">
        <v>774</v>
      </c>
      <c r="I439" s="9">
        <v>20</v>
      </c>
      <c r="J439" s="36">
        <v>0.06</v>
      </c>
    </row>
    <row r="440" spans="2:10" s="44" customFormat="1" x14ac:dyDescent="0.35">
      <c r="B440" s="9">
        <v>1131431</v>
      </c>
      <c r="C440" s="5" t="s">
        <v>2643</v>
      </c>
      <c r="D440" s="5" t="s">
        <v>3565</v>
      </c>
      <c r="E440" s="5" t="s">
        <v>2644</v>
      </c>
      <c r="F440" s="34" t="s">
        <v>3574</v>
      </c>
      <c r="G440" s="26">
        <v>0.23700000000000002</v>
      </c>
      <c r="H440" s="1" t="s">
        <v>774</v>
      </c>
      <c r="I440" s="9">
        <v>200</v>
      </c>
      <c r="J440" s="36">
        <v>0.06</v>
      </c>
    </row>
    <row r="441" spans="2:10" s="44" customFormat="1" x14ac:dyDescent="0.35">
      <c r="B441" s="9">
        <v>1131463</v>
      </c>
      <c r="C441" s="5" t="s">
        <v>1169</v>
      </c>
      <c r="D441" s="5" t="s">
        <v>3565</v>
      </c>
      <c r="E441" s="5">
        <v>1237810</v>
      </c>
      <c r="F441" s="34" t="s">
        <v>3574</v>
      </c>
      <c r="G441" s="26">
        <v>0.28499999999999998</v>
      </c>
      <c r="H441" s="1" t="s">
        <v>774</v>
      </c>
      <c r="I441" s="9">
        <v>100</v>
      </c>
      <c r="J441" s="36">
        <v>0.06</v>
      </c>
    </row>
    <row r="442" spans="2:10" s="44" customFormat="1" x14ac:dyDescent="0.35">
      <c r="B442" s="9">
        <v>1131523</v>
      </c>
      <c r="C442" s="5" t="s">
        <v>2193</v>
      </c>
      <c r="D442" s="5" t="s">
        <v>3565</v>
      </c>
      <c r="E442" s="5" t="s">
        <v>2194</v>
      </c>
      <c r="F442" s="34" t="s">
        <v>3574</v>
      </c>
      <c r="G442" s="26">
        <v>61.844999999999999</v>
      </c>
      <c r="H442" s="1" t="s">
        <v>774</v>
      </c>
      <c r="I442" s="9">
        <v>50</v>
      </c>
      <c r="J442" s="36">
        <v>0.06</v>
      </c>
    </row>
    <row r="443" spans="2:10" s="44" customFormat="1" x14ac:dyDescent="0.35">
      <c r="B443" s="9">
        <v>1131537</v>
      </c>
      <c r="C443" s="5" t="s">
        <v>1439</v>
      </c>
      <c r="D443" s="5" t="s">
        <v>3565</v>
      </c>
      <c r="E443" s="5" t="s">
        <v>1123</v>
      </c>
      <c r="F443" s="34" t="s">
        <v>3574</v>
      </c>
      <c r="G443" s="26">
        <v>0.152</v>
      </c>
      <c r="H443" s="1" t="s">
        <v>774</v>
      </c>
      <c r="I443" s="9">
        <v>100</v>
      </c>
      <c r="J443" s="36">
        <v>0.06</v>
      </c>
    </row>
    <row r="444" spans="2:10" s="44" customFormat="1" x14ac:dyDescent="0.35">
      <c r="B444" s="9">
        <v>1131539</v>
      </c>
      <c r="C444" s="5" t="s">
        <v>1878</v>
      </c>
      <c r="D444" s="5" t="s">
        <v>3565</v>
      </c>
      <c r="E444" s="5" t="s">
        <v>1936</v>
      </c>
      <c r="F444" s="34" t="s">
        <v>3574</v>
      </c>
      <c r="G444" s="26">
        <v>0.52500000000000002</v>
      </c>
      <c r="H444" s="1" t="s">
        <v>774</v>
      </c>
      <c r="I444" s="9">
        <v>100</v>
      </c>
      <c r="J444" s="36">
        <v>0.06</v>
      </c>
    </row>
    <row r="445" spans="2:10" s="44" customFormat="1" x14ac:dyDescent="0.35">
      <c r="B445" s="9">
        <v>1131542</v>
      </c>
      <c r="C445" s="5" t="s">
        <v>1884</v>
      </c>
      <c r="D445" s="5" t="s">
        <v>3565</v>
      </c>
      <c r="E445" s="5" t="s">
        <v>1885</v>
      </c>
      <c r="F445" s="34" t="s">
        <v>3574</v>
      </c>
      <c r="G445" s="26">
        <v>0.47499999999999998</v>
      </c>
      <c r="H445" s="1" t="s">
        <v>774</v>
      </c>
      <c r="I445" s="9">
        <v>200</v>
      </c>
      <c r="J445" s="36">
        <v>0.06</v>
      </c>
    </row>
    <row r="446" spans="2:10" s="44" customFormat="1" x14ac:dyDescent="0.35">
      <c r="B446" s="9">
        <v>1131545</v>
      </c>
      <c r="C446" s="5" t="s">
        <v>2829</v>
      </c>
      <c r="D446" s="5" t="s">
        <v>3565</v>
      </c>
      <c r="E446" s="5" t="s">
        <v>2830</v>
      </c>
      <c r="F446" s="34" t="s">
        <v>3574</v>
      </c>
      <c r="G446" s="26">
        <v>40.17</v>
      </c>
      <c r="H446" s="1" t="s">
        <v>774</v>
      </c>
      <c r="I446" s="9">
        <v>10</v>
      </c>
      <c r="J446" s="36">
        <v>0.06</v>
      </c>
    </row>
    <row r="447" spans="2:10" s="44" customFormat="1" x14ac:dyDescent="0.35">
      <c r="B447" s="9">
        <v>1131553</v>
      </c>
      <c r="C447" s="5" t="s">
        <v>1731</v>
      </c>
      <c r="D447" s="5" t="s">
        <v>3565</v>
      </c>
      <c r="E447" s="5" t="s">
        <v>836</v>
      </c>
      <c r="F447" s="34" t="s">
        <v>3574</v>
      </c>
      <c r="G447" s="26">
        <v>0.89599999999999991</v>
      </c>
      <c r="H447" s="1" t="s">
        <v>774</v>
      </c>
      <c r="I447" s="9">
        <v>100</v>
      </c>
      <c r="J447" s="36">
        <v>0.06</v>
      </c>
    </row>
    <row r="448" spans="2:10" s="44" customFormat="1" x14ac:dyDescent="0.35">
      <c r="B448" s="9">
        <v>1131650</v>
      </c>
      <c r="C448" s="5" t="s">
        <v>2195</v>
      </c>
      <c r="D448" s="5" t="s">
        <v>3565</v>
      </c>
      <c r="E448" s="5" t="s">
        <v>2196</v>
      </c>
      <c r="F448" s="34" t="s">
        <v>3574</v>
      </c>
      <c r="G448" s="26">
        <v>33.6</v>
      </c>
      <c r="H448" s="1" t="s">
        <v>774</v>
      </c>
      <c r="I448" s="9">
        <v>10</v>
      </c>
      <c r="J448" s="36">
        <v>0.06</v>
      </c>
    </row>
    <row r="449" spans="2:10" s="44" customFormat="1" x14ac:dyDescent="0.35">
      <c r="B449" s="9">
        <v>1131679</v>
      </c>
      <c r="C449" s="5" t="s">
        <v>1737</v>
      </c>
      <c r="D449" s="5" t="s">
        <v>3565</v>
      </c>
      <c r="E449" s="5" t="s">
        <v>1736</v>
      </c>
      <c r="F449" s="34" t="s">
        <v>3574</v>
      </c>
      <c r="G449" s="26">
        <v>0.14499999999999999</v>
      </c>
      <c r="H449" s="1" t="s">
        <v>774</v>
      </c>
      <c r="I449" s="9">
        <v>100</v>
      </c>
      <c r="J449" s="36">
        <v>0.06</v>
      </c>
    </row>
    <row r="450" spans="2:10" s="44" customFormat="1" x14ac:dyDescent="0.35">
      <c r="B450" s="9">
        <v>1131686</v>
      </c>
      <c r="C450" s="5" t="s">
        <v>2014</v>
      </c>
      <c r="D450" s="5" t="s">
        <v>3565</v>
      </c>
      <c r="E450" s="5" t="s">
        <v>2015</v>
      </c>
      <c r="F450" s="34" t="s">
        <v>3574</v>
      </c>
      <c r="G450" s="26">
        <v>0.47300000000000003</v>
      </c>
      <c r="H450" s="1" t="s">
        <v>774</v>
      </c>
      <c r="I450" s="9">
        <v>100</v>
      </c>
      <c r="J450" s="36">
        <v>0.06</v>
      </c>
    </row>
    <row r="451" spans="2:10" s="44" customFormat="1" x14ac:dyDescent="0.35">
      <c r="B451" s="9">
        <v>1131735</v>
      </c>
      <c r="C451" s="5" t="s">
        <v>3136</v>
      </c>
      <c r="D451" s="5" t="s">
        <v>3565</v>
      </c>
      <c r="E451" s="5" t="s">
        <v>3137</v>
      </c>
      <c r="F451" s="34" t="s">
        <v>3574</v>
      </c>
      <c r="G451" s="26">
        <v>2.5</v>
      </c>
      <c r="H451" s="1" t="s">
        <v>774</v>
      </c>
      <c r="I451" s="9">
        <v>100</v>
      </c>
      <c r="J451" s="36">
        <v>0.06</v>
      </c>
    </row>
    <row r="452" spans="2:10" s="44" customFormat="1" x14ac:dyDescent="0.35">
      <c r="B452" s="9">
        <v>1131738</v>
      </c>
      <c r="C452" s="5" t="s">
        <v>2229</v>
      </c>
      <c r="D452" s="5" t="s">
        <v>3565</v>
      </c>
      <c r="E452" s="5" t="s">
        <v>2230</v>
      </c>
      <c r="F452" s="34" t="s">
        <v>3574</v>
      </c>
      <c r="G452" s="26">
        <v>0.28400000000000003</v>
      </c>
      <c r="H452" s="1" t="s">
        <v>774</v>
      </c>
      <c r="I452" s="9">
        <v>200</v>
      </c>
      <c r="J452" s="36">
        <v>0.06</v>
      </c>
    </row>
    <row r="453" spans="2:10" s="44" customFormat="1" x14ac:dyDescent="0.35">
      <c r="B453" s="9">
        <v>1131755</v>
      </c>
      <c r="C453" s="5" t="s">
        <v>2036</v>
      </c>
      <c r="D453" s="5" t="s">
        <v>3565</v>
      </c>
      <c r="E453" s="5" t="s">
        <v>2136</v>
      </c>
      <c r="F453" s="34" t="s">
        <v>3574</v>
      </c>
      <c r="G453" s="26">
        <v>0.42</v>
      </c>
      <c r="H453" s="1" t="s">
        <v>774</v>
      </c>
      <c r="I453" s="9">
        <v>100</v>
      </c>
      <c r="J453" s="36">
        <v>0.06</v>
      </c>
    </row>
    <row r="454" spans="2:10" s="44" customFormat="1" x14ac:dyDescent="0.35">
      <c r="B454" s="9">
        <v>1131766</v>
      </c>
      <c r="C454" s="5" t="s">
        <v>1584</v>
      </c>
      <c r="D454" s="5" t="s">
        <v>3565</v>
      </c>
      <c r="E454" s="5" t="s">
        <v>1581</v>
      </c>
      <c r="F454" s="34" t="s">
        <v>3574</v>
      </c>
      <c r="G454" s="26">
        <v>0.152</v>
      </c>
      <c r="H454" s="1" t="s">
        <v>774</v>
      </c>
      <c r="I454" s="9">
        <v>100</v>
      </c>
      <c r="J454" s="36">
        <v>0.06</v>
      </c>
    </row>
    <row r="455" spans="2:10" s="44" customFormat="1" x14ac:dyDescent="0.35">
      <c r="B455" s="9">
        <v>1131774</v>
      </c>
      <c r="C455" s="5" t="s">
        <v>2275</v>
      </c>
      <c r="D455" s="5" t="s">
        <v>3565</v>
      </c>
      <c r="E455" s="5" t="s">
        <v>2276</v>
      </c>
      <c r="F455" s="34" t="s">
        <v>3574</v>
      </c>
      <c r="G455" s="26">
        <v>0.441</v>
      </c>
      <c r="H455" s="1" t="s">
        <v>774</v>
      </c>
      <c r="I455" s="9">
        <v>100</v>
      </c>
      <c r="J455" s="36">
        <v>0.06</v>
      </c>
    </row>
    <row r="456" spans="2:10" s="44" customFormat="1" x14ac:dyDescent="0.35">
      <c r="B456" s="9">
        <v>1131849</v>
      </c>
      <c r="C456" s="5" t="s">
        <v>2253</v>
      </c>
      <c r="D456" s="5" t="s">
        <v>3565</v>
      </c>
      <c r="E456" s="5" t="s">
        <v>2269</v>
      </c>
      <c r="F456" s="34" t="s">
        <v>3574</v>
      </c>
      <c r="G456" s="26">
        <v>0.18899999999999997</v>
      </c>
      <c r="H456" s="1" t="s">
        <v>774</v>
      </c>
      <c r="I456" s="9">
        <v>100</v>
      </c>
      <c r="J456" s="36">
        <v>0.06</v>
      </c>
    </row>
    <row r="457" spans="2:10" s="44" customFormat="1" x14ac:dyDescent="0.35">
      <c r="B457" s="9">
        <v>1131944</v>
      </c>
      <c r="C457" s="5" t="s">
        <v>951</v>
      </c>
      <c r="D457" s="5" t="s">
        <v>3565</v>
      </c>
      <c r="E457" s="5" t="s">
        <v>1581</v>
      </c>
      <c r="F457" s="34" t="s">
        <v>3574</v>
      </c>
      <c r="G457" s="26">
        <v>5.2999999999999999E-2</v>
      </c>
      <c r="H457" s="1" t="s">
        <v>774</v>
      </c>
      <c r="I457" s="9">
        <v>100</v>
      </c>
      <c r="J457" s="36">
        <v>0.06</v>
      </c>
    </row>
    <row r="458" spans="2:10" s="44" customFormat="1" x14ac:dyDescent="0.35">
      <c r="B458" s="9">
        <v>1131999</v>
      </c>
      <c r="C458" s="5" t="s">
        <v>2046</v>
      </c>
      <c r="D458" s="5" t="s">
        <v>3565</v>
      </c>
      <c r="E458" s="5" t="s">
        <v>2048</v>
      </c>
      <c r="F458" s="34" t="s">
        <v>3574</v>
      </c>
      <c r="G458" s="26">
        <v>0.79799999999999993</v>
      </c>
      <c r="H458" s="1" t="s">
        <v>774</v>
      </c>
      <c r="I458" s="9">
        <v>100</v>
      </c>
      <c r="J458" s="36">
        <v>0.06</v>
      </c>
    </row>
    <row r="459" spans="2:10" s="44" customFormat="1" x14ac:dyDescent="0.35">
      <c r="B459" s="9">
        <v>1132000</v>
      </c>
      <c r="C459" s="5" t="s">
        <v>2046</v>
      </c>
      <c r="D459" s="5" t="s">
        <v>3565</v>
      </c>
      <c r="E459" s="5" t="s">
        <v>2047</v>
      </c>
      <c r="F459" s="34" t="s">
        <v>3574</v>
      </c>
      <c r="G459" s="26">
        <v>0.84</v>
      </c>
      <c r="H459" s="1" t="s">
        <v>774</v>
      </c>
      <c r="I459" s="9">
        <v>100</v>
      </c>
      <c r="J459" s="36">
        <v>0.06</v>
      </c>
    </row>
    <row r="460" spans="2:10" s="44" customFormat="1" x14ac:dyDescent="0.35">
      <c r="B460" s="9">
        <v>1132046</v>
      </c>
      <c r="C460" s="5" t="s">
        <v>1923</v>
      </c>
      <c r="D460" s="5" t="s">
        <v>3565</v>
      </c>
      <c r="E460" s="5" t="s">
        <v>1924</v>
      </c>
      <c r="F460" s="34" t="s">
        <v>3574</v>
      </c>
      <c r="G460" s="26">
        <v>1.9950000000000001</v>
      </c>
      <c r="H460" s="1" t="s">
        <v>774</v>
      </c>
      <c r="I460" s="9">
        <v>100</v>
      </c>
      <c r="J460" s="36">
        <v>0.06</v>
      </c>
    </row>
    <row r="461" spans="2:10" s="44" customFormat="1" x14ac:dyDescent="0.35">
      <c r="B461" s="9">
        <v>1135081</v>
      </c>
      <c r="C461" s="5" t="s">
        <v>2398</v>
      </c>
      <c r="D461" s="5" t="s">
        <v>3565</v>
      </c>
      <c r="E461" s="5" t="s">
        <v>2399</v>
      </c>
      <c r="F461" s="34" t="s">
        <v>3574</v>
      </c>
      <c r="G461" s="26">
        <v>0.126</v>
      </c>
      <c r="H461" s="1" t="s">
        <v>774</v>
      </c>
      <c r="I461" s="9">
        <v>100</v>
      </c>
      <c r="J461" s="36">
        <v>0.06</v>
      </c>
    </row>
    <row r="462" spans="2:10" s="44" customFormat="1" x14ac:dyDescent="0.35">
      <c r="B462" s="9">
        <v>1135129</v>
      </c>
      <c r="C462" s="5" t="s">
        <v>1529</v>
      </c>
      <c r="D462" s="5" t="s">
        <v>3565</v>
      </c>
      <c r="E462" s="5" t="s">
        <v>1530</v>
      </c>
      <c r="F462" s="34" t="s">
        <v>3574</v>
      </c>
      <c r="G462" s="26">
        <v>0.77300000000000002</v>
      </c>
      <c r="H462" s="1" t="s">
        <v>774</v>
      </c>
      <c r="I462" s="9">
        <v>100</v>
      </c>
      <c r="J462" s="36">
        <v>0.06</v>
      </c>
    </row>
    <row r="463" spans="2:10" s="44" customFormat="1" x14ac:dyDescent="0.35">
      <c r="B463" s="9">
        <v>1135235</v>
      </c>
      <c r="C463" s="5" t="s">
        <v>1748</v>
      </c>
      <c r="D463" s="5" t="s">
        <v>3565</v>
      </c>
      <c r="E463" s="5" t="s">
        <v>1749</v>
      </c>
      <c r="F463" s="34" t="s">
        <v>3574</v>
      </c>
      <c r="G463" s="26">
        <v>0.69899999999999995</v>
      </c>
      <c r="H463" s="1" t="s">
        <v>774</v>
      </c>
      <c r="I463" s="9">
        <v>100</v>
      </c>
      <c r="J463" s="36">
        <v>0.06</v>
      </c>
    </row>
    <row r="464" spans="2:10" s="44" customFormat="1" x14ac:dyDescent="0.35">
      <c r="B464" s="9">
        <v>1135243</v>
      </c>
      <c r="C464" s="5" t="s">
        <v>2220</v>
      </c>
      <c r="D464" s="5" t="s">
        <v>3565</v>
      </c>
      <c r="E464" s="5" t="s">
        <v>2221</v>
      </c>
      <c r="F464" s="34" t="s">
        <v>3574</v>
      </c>
      <c r="G464" s="26">
        <v>89.25</v>
      </c>
      <c r="H464" s="1" t="s">
        <v>774</v>
      </c>
      <c r="I464" s="9">
        <v>100</v>
      </c>
      <c r="J464" s="36">
        <v>0.06</v>
      </c>
    </row>
    <row r="465" spans="2:10" s="44" customFormat="1" x14ac:dyDescent="0.35">
      <c r="B465" s="9">
        <v>1135352</v>
      </c>
      <c r="C465" s="5" t="s">
        <v>1583</v>
      </c>
      <c r="D465" s="5" t="s">
        <v>3565</v>
      </c>
      <c r="E465" s="5" t="s">
        <v>1581</v>
      </c>
      <c r="F465" s="34" t="s">
        <v>3574</v>
      </c>
      <c r="G465" s="26">
        <v>8.6999999999999994E-2</v>
      </c>
      <c r="H465" s="1" t="s">
        <v>774</v>
      </c>
      <c r="I465" s="9">
        <v>100</v>
      </c>
      <c r="J465" s="36">
        <v>0.06</v>
      </c>
    </row>
    <row r="466" spans="2:10" s="44" customFormat="1" x14ac:dyDescent="0.35">
      <c r="B466" s="9">
        <v>1135353</v>
      </c>
      <c r="C466" s="5" t="s">
        <v>2253</v>
      </c>
      <c r="D466" s="5" t="s">
        <v>3565</v>
      </c>
      <c r="E466" s="5" t="s">
        <v>2254</v>
      </c>
      <c r="F466" s="34" t="s">
        <v>3574</v>
      </c>
      <c r="G466" s="26">
        <v>0.18899999999999997</v>
      </c>
      <c r="H466" s="1" t="s">
        <v>774</v>
      </c>
      <c r="I466" s="9">
        <v>100</v>
      </c>
      <c r="J466" s="36">
        <v>0.06</v>
      </c>
    </row>
    <row r="467" spans="2:10" s="44" customFormat="1" x14ac:dyDescent="0.35">
      <c r="B467" s="9">
        <v>1135394</v>
      </c>
      <c r="C467" s="5" t="s">
        <v>2675</v>
      </c>
      <c r="D467" s="5" t="s">
        <v>3565</v>
      </c>
      <c r="E467" s="5" t="s">
        <v>2676</v>
      </c>
      <c r="F467" s="34" t="s">
        <v>3574</v>
      </c>
      <c r="G467" s="26">
        <v>0.22700000000000004</v>
      </c>
      <c r="H467" s="1" t="s">
        <v>774</v>
      </c>
      <c r="I467" s="9">
        <v>100</v>
      </c>
      <c r="J467" s="36">
        <v>0.06</v>
      </c>
    </row>
    <row r="468" spans="2:10" s="44" customFormat="1" x14ac:dyDescent="0.35">
      <c r="B468" s="9">
        <v>1135395</v>
      </c>
      <c r="C468" s="5" t="s">
        <v>2666</v>
      </c>
      <c r="D468" s="5" t="s">
        <v>3565</v>
      </c>
      <c r="E468" s="5" t="s">
        <v>2667</v>
      </c>
      <c r="F468" s="34" t="s">
        <v>3574</v>
      </c>
      <c r="G468" s="26">
        <v>0.28900000000000003</v>
      </c>
      <c r="H468" s="1" t="s">
        <v>774</v>
      </c>
      <c r="I468" s="9">
        <v>100</v>
      </c>
      <c r="J468" s="36">
        <v>0.06</v>
      </c>
    </row>
    <row r="469" spans="2:10" s="44" customFormat="1" x14ac:dyDescent="0.35">
      <c r="B469" s="9">
        <v>1135396</v>
      </c>
      <c r="C469" s="5" t="s">
        <v>2404</v>
      </c>
      <c r="D469" s="5" t="s">
        <v>3565</v>
      </c>
      <c r="E469" s="5" t="s">
        <v>2405</v>
      </c>
      <c r="F469" s="34" t="s">
        <v>3574</v>
      </c>
      <c r="G469" s="26">
        <v>0.63</v>
      </c>
      <c r="H469" s="1" t="s">
        <v>774</v>
      </c>
      <c r="I469" s="9">
        <v>100</v>
      </c>
      <c r="J469" s="36">
        <v>0.06</v>
      </c>
    </row>
    <row r="470" spans="2:10" s="44" customFormat="1" x14ac:dyDescent="0.35">
      <c r="B470" s="9">
        <v>1135397</v>
      </c>
      <c r="C470" s="5" t="s">
        <v>2437</v>
      </c>
      <c r="D470" s="5" t="s">
        <v>3565</v>
      </c>
      <c r="E470" s="5" t="s">
        <v>2438</v>
      </c>
      <c r="F470" s="34" t="s">
        <v>3574</v>
      </c>
      <c r="G470" s="26">
        <v>2.1</v>
      </c>
      <c r="H470" s="1" t="s">
        <v>774</v>
      </c>
      <c r="I470" s="9">
        <v>100</v>
      </c>
      <c r="J470" s="36">
        <v>0.06</v>
      </c>
    </row>
    <row r="471" spans="2:10" s="44" customFormat="1" x14ac:dyDescent="0.35">
      <c r="B471" s="9">
        <v>1135398</v>
      </c>
      <c r="C471" s="5" t="s">
        <v>2465</v>
      </c>
      <c r="D471" s="5" t="s">
        <v>3565</v>
      </c>
      <c r="E471" s="5" t="s">
        <v>2466</v>
      </c>
      <c r="F471" s="34" t="s">
        <v>3574</v>
      </c>
      <c r="G471" s="26">
        <v>29.4</v>
      </c>
      <c r="H471" s="1" t="s">
        <v>774</v>
      </c>
      <c r="I471" s="9">
        <v>1</v>
      </c>
      <c r="J471" s="36">
        <v>0.06</v>
      </c>
    </row>
    <row r="472" spans="2:10" s="44" customFormat="1" x14ac:dyDescent="0.35">
      <c r="B472" s="9">
        <v>1135494</v>
      </c>
      <c r="C472" s="5" t="s">
        <v>1022</v>
      </c>
      <c r="D472" s="5" t="s">
        <v>3565</v>
      </c>
      <c r="E472" s="5" t="s">
        <v>1023</v>
      </c>
      <c r="F472" s="34" t="s">
        <v>3574</v>
      </c>
      <c r="G472" s="26">
        <v>0.33899999999999997</v>
      </c>
      <c r="H472" s="1" t="s">
        <v>774</v>
      </c>
      <c r="I472" s="9">
        <v>100</v>
      </c>
      <c r="J472" s="36">
        <v>0.06</v>
      </c>
    </row>
    <row r="473" spans="2:10" s="44" customFormat="1" x14ac:dyDescent="0.35">
      <c r="B473" s="9">
        <v>1135565</v>
      </c>
      <c r="C473" s="5" t="s">
        <v>1913</v>
      </c>
      <c r="D473" s="5" t="s">
        <v>3565</v>
      </c>
      <c r="E473" s="5" t="s">
        <v>1914</v>
      </c>
      <c r="F473" s="34" t="s">
        <v>3574</v>
      </c>
      <c r="G473" s="26">
        <v>2.468</v>
      </c>
      <c r="H473" s="1" t="s">
        <v>774</v>
      </c>
      <c r="I473" s="9">
        <v>100</v>
      </c>
      <c r="J473" s="36">
        <v>0.06</v>
      </c>
    </row>
    <row r="474" spans="2:10" s="44" customFormat="1" x14ac:dyDescent="0.35">
      <c r="B474" s="9">
        <v>1135591</v>
      </c>
      <c r="C474" s="5" t="s">
        <v>1026</v>
      </c>
      <c r="D474" s="5" t="s">
        <v>3565</v>
      </c>
      <c r="E474" s="5" t="s">
        <v>1027</v>
      </c>
      <c r="F474" s="34" t="s">
        <v>3574</v>
      </c>
      <c r="G474" s="26">
        <v>0.49</v>
      </c>
      <c r="H474" s="1" t="s">
        <v>774</v>
      </c>
      <c r="I474" s="9">
        <v>100</v>
      </c>
      <c r="J474" s="36">
        <v>0.06</v>
      </c>
    </row>
    <row r="475" spans="2:10" s="44" customFormat="1" x14ac:dyDescent="0.35">
      <c r="B475" s="9">
        <v>1135603</v>
      </c>
      <c r="C475" s="5" t="s">
        <v>1436</v>
      </c>
      <c r="D475" s="5" t="s">
        <v>3565</v>
      </c>
      <c r="E475" s="5" t="s">
        <v>1437</v>
      </c>
      <c r="F475" s="34" t="s">
        <v>3574</v>
      </c>
      <c r="G475" s="26">
        <v>0.20900000000000002</v>
      </c>
      <c r="H475" s="1" t="s">
        <v>774</v>
      </c>
      <c r="I475" s="9">
        <v>100</v>
      </c>
      <c r="J475" s="36">
        <v>0.06</v>
      </c>
    </row>
    <row r="476" spans="2:10" s="44" customFormat="1" x14ac:dyDescent="0.35">
      <c r="B476" s="9">
        <v>1135604</v>
      </c>
      <c r="C476" s="5" t="s">
        <v>1656</v>
      </c>
      <c r="D476" s="5" t="s">
        <v>3565</v>
      </c>
      <c r="E476" s="5" t="s">
        <v>1657</v>
      </c>
      <c r="F476" s="34" t="s">
        <v>3574</v>
      </c>
      <c r="G476" s="26">
        <v>4.33</v>
      </c>
      <c r="H476" s="1" t="s">
        <v>774</v>
      </c>
      <c r="I476" s="9">
        <v>1</v>
      </c>
      <c r="J476" s="36">
        <v>0.06</v>
      </c>
    </row>
    <row r="477" spans="2:10" s="44" customFormat="1" x14ac:dyDescent="0.35">
      <c r="B477" s="9">
        <v>1135608</v>
      </c>
      <c r="C477" s="5" t="s">
        <v>2664</v>
      </c>
      <c r="D477" s="5" t="s">
        <v>3565</v>
      </c>
      <c r="E477" s="5" t="s">
        <v>2665</v>
      </c>
      <c r="F477" s="34" t="s">
        <v>3574</v>
      </c>
      <c r="G477" s="26">
        <v>0.155</v>
      </c>
      <c r="H477" s="1" t="s">
        <v>774</v>
      </c>
      <c r="I477" s="9">
        <v>200</v>
      </c>
      <c r="J477" s="36">
        <v>0.06</v>
      </c>
    </row>
    <row r="478" spans="2:10" s="44" customFormat="1" x14ac:dyDescent="0.35">
      <c r="B478" s="9">
        <v>1135623</v>
      </c>
      <c r="C478" s="5" t="s">
        <v>2025</v>
      </c>
      <c r="D478" s="5" t="s">
        <v>3565</v>
      </c>
      <c r="E478" s="5" t="s">
        <v>2321</v>
      </c>
      <c r="F478" s="34" t="s">
        <v>3574</v>
      </c>
      <c r="G478" s="26">
        <v>0.73499999999999999</v>
      </c>
      <c r="H478" s="1" t="s">
        <v>774</v>
      </c>
      <c r="I478" s="9">
        <v>100</v>
      </c>
      <c r="J478" s="36">
        <v>0.06</v>
      </c>
    </row>
    <row r="479" spans="2:10" s="44" customFormat="1" x14ac:dyDescent="0.35">
      <c r="B479" s="9">
        <v>1135631</v>
      </c>
      <c r="C479" s="5" t="s">
        <v>869</v>
      </c>
      <c r="D479" s="5" t="s">
        <v>3565</v>
      </c>
      <c r="E479" s="5" t="s">
        <v>662</v>
      </c>
      <c r="F479" s="34" t="s">
        <v>3574</v>
      </c>
      <c r="G479" s="26">
        <v>0.60399999999999998</v>
      </c>
      <c r="H479" s="1" t="s">
        <v>774</v>
      </c>
      <c r="I479" s="9">
        <v>100</v>
      </c>
      <c r="J479" s="36">
        <v>0.06</v>
      </c>
    </row>
    <row r="480" spans="2:10" s="44" customFormat="1" x14ac:dyDescent="0.35">
      <c r="B480" s="9">
        <v>1135636</v>
      </c>
      <c r="C480" s="5" t="s">
        <v>1734</v>
      </c>
      <c r="D480" s="5" t="s">
        <v>3565</v>
      </c>
      <c r="E480" s="5" t="s">
        <v>924</v>
      </c>
      <c r="F480" s="34" t="s">
        <v>3574</v>
      </c>
      <c r="G480" s="26">
        <v>0.32899999999999996</v>
      </c>
      <c r="H480" s="1" t="s">
        <v>774</v>
      </c>
      <c r="I480" s="9">
        <v>100</v>
      </c>
      <c r="J480" s="36">
        <v>0.06</v>
      </c>
    </row>
    <row r="481" spans="2:10" s="44" customFormat="1" x14ac:dyDescent="0.35">
      <c r="B481" s="9">
        <v>1135651</v>
      </c>
      <c r="C481" s="5" t="s">
        <v>2368</v>
      </c>
      <c r="D481" s="5" t="s">
        <v>3565</v>
      </c>
      <c r="E481" s="5" t="s">
        <v>2369</v>
      </c>
      <c r="F481" s="34" t="s">
        <v>3574</v>
      </c>
      <c r="G481" s="26">
        <v>0.29399999999999998</v>
      </c>
      <c r="H481" s="1" t="s">
        <v>774</v>
      </c>
      <c r="I481" s="9">
        <v>100</v>
      </c>
      <c r="J481" s="36">
        <v>0.06</v>
      </c>
    </row>
    <row r="482" spans="2:10" s="44" customFormat="1" x14ac:dyDescent="0.35">
      <c r="B482" s="9">
        <v>1135659</v>
      </c>
      <c r="C482" s="5" t="s">
        <v>1844</v>
      </c>
      <c r="D482" s="5" t="s">
        <v>3565</v>
      </c>
      <c r="E482" s="5" t="s">
        <v>2143</v>
      </c>
      <c r="F482" s="34" t="s">
        <v>3574</v>
      </c>
      <c r="G482" s="26">
        <v>1.575</v>
      </c>
      <c r="H482" s="1" t="s">
        <v>774</v>
      </c>
      <c r="I482" s="9">
        <v>100</v>
      </c>
      <c r="J482" s="36">
        <v>0.06</v>
      </c>
    </row>
    <row r="483" spans="2:10" s="44" customFormat="1" x14ac:dyDescent="0.35">
      <c r="B483" s="9">
        <v>1135670</v>
      </c>
      <c r="C483" s="5" t="s">
        <v>1590</v>
      </c>
      <c r="D483" s="5" t="s">
        <v>3565</v>
      </c>
      <c r="E483" s="5" t="s">
        <v>1591</v>
      </c>
      <c r="F483" s="34" t="s">
        <v>3574</v>
      </c>
      <c r="G483" s="26">
        <v>0.18400000000000002</v>
      </c>
      <c r="H483" s="1" t="s">
        <v>774</v>
      </c>
      <c r="I483" s="9">
        <v>100</v>
      </c>
      <c r="J483" s="36">
        <v>0.06</v>
      </c>
    </row>
    <row r="484" spans="2:10" s="44" customFormat="1" x14ac:dyDescent="0.35">
      <c r="B484" s="9">
        <v>1135673</v>
      </c>
      <c r="C484" s="5" t="s">
        <v>1903</v>
      </c>
      <c r="D484" s="5" t="s">
        <v>3565</v>
      </c>
      <c r="E484" s="5" t="s">
        <v>1904</v>
      </c>
      <c r="F484" s="34" t="s">
        <v>3574</v>
      </c>
      <c r="G484" s="26">
        <v>1.7329999999999999</v>
      </c>
      <c r="H484" s="1" t="s">
        <v>774</v>
      </c>
      <c r="I484" s="9">
        <v>1000</v>
      </c>
      <c r="J484" s="36">
        <v>0.06</v>
      </c>
    </row>
    <row r="485" spans="2:10" s="44" customFormat="1" x14ac:dyDescent="0.35">
      <c r="B485" s="9">
        <v>1135674</v>
      </c>
      <c r="C485" s="5" t="s">
        <v>1901</v>
      </c>
      <c r="D485" s="5" t="s">
        <v>3565</v>
      </c>
      <c r="E485" s="5" t="s">
        <v>1902</v>
      </c>
      <c r="F485" s="34" t="s">
        <v>3574</v>
      </c>
      <c r="G485" s="26">
        <v>2.5830000000000002</v>
      </c>
      <c r="H485" s="1" t="s">
        <v>774</v>
      </c>
      <c r="I485" s="9">
        <v>1000</v>
      </c>
      <c r="J485" s="36">
        <v>0.06</v>
      </c>
    </row>
    <row r="486" spans="2:10" s="44" customFormat="1" x14ac:dyDescent="0.35">
      <c r="B486" s="9">
        <v>1135675</v>
      </c>
      <c r="C486" s="5" t="s">
        <v>1932</v>
      </c>
      <c r="D486" s="5" t="s">
        <v>3565</v>
      </c>
      <c r="E486" s="5" t="s">
        <v>1933</v>
      </c>
      <c r="F486" s="34" t="s">
        <v>3574</v>
      </c>
      <c r="G486" s="26">
        <v>1.4280000000000002</v>
      </c>
      <c r="H486" s="1" t="s">
        <v>774</v>
      </c>
      <c r="I486" s="9">
        <v>1000</v>
      </c>
      <c r="J486" s="36">
        <v>0.06</v>
      </c>
    </row>
    <row r="487" spans="2:10" s="44" customFormat="1" x14ac:dyDescent="0.35">
      <c r="B487" s="9">
        <v>1135684</v>
      </c>
      <c r="C487" s="5" t="s">
        <v>1797</v>
      </c>
      <c r="D487" s="5" t="s">
        <v>3565</v>
      </c>
      <c r="E487" s="5" t="s">
        <v>1798</v>
      </c>
      <c r="F487" s="34" t="s">
        <v>3574</v>
      </c>
      <c r="G487" s="26">
        <v>0.77500000000000002</v>
      </c>
      <c r="H487" s="1" t="s">
        <v>774</v>
      </c>
      <c r="I487" s="9">
        <v>1000</v>
      </c>
      <c r="J487" s="36">
        <v>0.06</v>
      </c>
    </row>
    <row r="488" spans="2:10" s="44" customFormat="1" x14ac:dyDescent="0.35">
      <c r="B488" s="9">
        <v>1135685</v>
      </c>
      <c r="C488" s="5" t="s">
        <v>1799</v>
      </c>
      <c r="D488" s="5" t="s">
        <v>3565</v>
      </c>
      <c r="E488" s="5" t="s">
        <v>1800</v>
      </c>
      <c r="F488" s="34" t="s">
        <v>3574</v>
      </c>
      <c r="G488" s="26">
        <v>2.17</v>
      </c>
      <c r="H488" s="1" t="s">
        <v>774</v>
      </c>
      <c r="I488" s="9">
        <v>1000</v>
      </c>
      <c r="J488" s="36">
        <v>0.06</v>
      </c>
    </row>
    <row r="489" spans="2:10" s="44" customFormat="1" x14ac:dyDescent="0.35">
      <c r="B489" s="9">
        <v>1135686</v>
      </c>
      <c r="C489" s="5" t="s">
        <v>1892</v>
      </c>
      <c r="D489" s="5" t="s">
        <v>3565</v>
      </c>
      <c r="E489" s="5" t="s">
        <v>1893</v>
      </c>
      <c r="F489" s="34" t="s">
        <v>3574</v>
      </c>
      <c r="G489" s="26">
        <v>2.0269999999999997</v>
      </c>
      <c r="H489" s="1" t="s">
        <v>774</v>
      </c>
      <c r="I489" s="9">
        <v>100</v>
      </c>
      <c r="J489" s="36">
        <v>0.06</v>
      </c>
    </row>
    <row r="490" spans="2:10" s="44" customFormat="1" x14ac:dyDescent="0.35">
      <c r="B490" s="9">
        <v>1135687</v>
      </c>
      <c r="C490" s="5" t="s">
        <v>945</v>
      </c>
      <c r="D490" s="5" t="s">
        <v>3565</v>
      </c>
      <c r="E490" s="5" t="s">
        <v>946</v>
      </c>
      <c r="F490" s="34" t="s">
        <v>3574</v>
      </c>
      <c r="G490" s="26">
        <v>0.17600000000000002</v>
      </c>
      <c r="H490" s="1" t="s">
        <v>774</v>
      </c>
      <c r="I490" s="9">
        <v>100</v>
      </c>
      <c r="J490" s="36">
        <v>0.06</v>
      </c>
    </row>
    <row r="491" spans="2:10" s="44" customFormat="1" x14ac:dyDescent="0.35">
      <c r="B491" s="9">
        <v>1135689</v>
      </c>
      <c r="C491" s="5" t="s">
        <v>2030</v>
      </c>
      <c r="D491" s="5" t="s">
        <v>3565</v>
      </c>
      <c r="E491" s="5" t="s">
        <v>2031</v>
      </c>
      <c r="F491" s="34" t="s">
        <v>3574</v>
      </c>
      <c r="G491" s="26">
        <v>0.29399999999999998</v>
      </c>
      <c r="H491" s="1" t="s">
        <v>774</v>
      </c>
      <c r="I491" s="9">
        <v>100</v>
      </c>
      <c r="J491" s="36">
        <v>0.06</v>
      </c>
    </row>
    <row r="492" spans="2:10" s="44" customFormat="1" x14ac:dyDescent="0.35">
      <c r="B492" s="9">
        <v>1135690</v>
      </c>
      <c r="C492" s="5" t="s">
        <v>943</v>
      </c>
      <c r="D492" s="5" t="s">
        <v>3565</v>
      </c>
      <c r="E492" s="5" t="s">
        <v>944</v>
      </c>
      <c r="F492" s="34" t="s">
        <v>3574</v>
      </c>
      <c r="G492" s="26">
        <v>0.13</v>
      </c>
      <c r="H492" s="1" t="s">
        <v>774</v>
      </c>
      <c r="I492" s="9">
        <v>100</v>
      </c>
      <c r="J492" s="36">
        <v>0.06</v>
      </c>
    </row>
    <row r="493" spans="2:10" s="44" customFormat="1" x14ac:dyDescent="0.35">
      <c r="B493" s="9">
        <v>1135693</v>
      </c>
      <c r="C493" s="5" t="s">
        <v>1925</v>
      </c>
      <c r="D493" s="5" t="s">
        <v>3565</v>
      </c>
      <c r="E493" s="5" t="s">
        <v>1926</v>
      </c>
      <c r="F493" s="34" t="s">
        <v>3574</v>
      </c>
      <c r="G493" s="26">
        <v>0.33899999999999997</v>
      </c>
      <c r="H493" s="1" t="s">
        <v>774</v>
      </c>
      <c r="I493" s="9">
        <v>200</v>
      </c>
      <c r="J493" s="36">
        <v>0.06</v>
      </c>
    </row>
    <row r="494" spans="2:10" s="44" customFormat="1" x14ac:dyDescent="0.35">
      <c r="B494" s="9">
        <v>1135696</v>
      </c>
      <c r="C494" s="5" t="s">
        <v>1679</v>
      </c>
      <c r="D494" s="5" t="s">
        <v>3565</v>
      </c>
      <c r="E494" s="5" t="s">
        <v>1680</v>
      </c>
      <c r="F494" s="34" t="s">
        <v>3574</v>
      </c>
      <c r="G494" s="26">
        <v>0.23100000000000001</v>
      </c>
      <c r="H494" s="1" t="s">
        <v>774</v>
      </c>
      <c r="I494" s="9">
        <v>100</v>
      </c>
      <c r="J494" s="36">
        <v>0.06</v>
      </c>
    </row>
    <row r="495" spans="2:10" s="44" customFormat="1" x14ac:dyDescent="0.35">
      <c r="B495" s="9">
        <v>1135703</v>
      </c>
      <c r="C495" s="5" t="s">
        <v>1564</v>
      </c>
      <c r="D495" s="5" t="s">
        <v>3565</v>
      </c>
      <c r="E495" s="5">
        <v>1435086</v>
      </c>
      <c r="F495" s="34" t="s">
        <v>3574</v>
      </c>
      <c r="G495" s="26">
        <v>5.5E-2</v>
      </c>
      <c r="H495" s="1" t="s">
        <v>774</v>
      </c>
      <c r="I495" s="9">
        <v>200</v>
      </c>
      <c r="J495" s="36">
        <v>0.06</v>
      </c>
    </row>
    <row r="496" spans="2:10" s="44" customFormat="1" x14ac:dyDescent="0.35">
      <c r="B496" s="9">
        <v>1135705</v>
      </c>
      <c r="C496" s="5" t="s">
        <v>1746</v>
      </c>
      <c r="D496" s="5" t="s">
        <v>3565</v>
      </c>
      <c r="E496" s="5" t="s">
        <v>1747</v>
      </c>
      <c r="F496" s="34" t="s">
        <v>3574</v>
      </c>
      <c r="G496" s="26">
        <v>5.2999999999999999E-2</v>
      </c>
      <c r="H496" s="1" t="s">
        <v>774</v>
      </c>
      <c r="I496" s="9">
        <v>100</v>
      </c>
      <c r="J496" s="36">
        <v>0.06</v>
      </c>
    </row>
    <row r="497" spans="2:10" s="44" customFormat="1" x14ac:dyDescent="0.35">
      <c r="B497" s="9">
        <v>1135713</v>
      </c>
      <c r="C497" s="5" t="s">
        <v>1911</v>
      </c>
      <c r="D497" s="5" t="s">
        <v>3565</v>
      </c>
      <c r="E497" s="5" t="s">
        <v>1912</v>
      </c>
      <c r="F497" s="34" t="s">
        <v>3574</v>
      </c>
      <c r="G497" s="26">
        <v>0.441</v>
      </c>
      <c r="H497" s="1" t="s">
        <v>774</v>
      </c>
      <c r="I497" s="9">
        <v>100</v>
      </c>
      <c r="J497" s="36">
        <v>0.06</v>
      </c>
    </row>
    <row r="498" spans="2:10" s="44" customFormat="1" x14ac:dyDescent="0.35">
      <c r="B498" s="9">
        <v>1135714</v>
      </c>
      <c r="C498" s="5" t="s">
        <v>1895</v>
      </c>
      <c r="D498" s="5" t="s">
        <v>3565</v>
      </c>
      <c r="E498" s="5" t="s">
        <v>1896</v>
      </c>
      <c r="F498" s="34" t="s">
        <v>3574</v>
      </c>
      <c r="G498" s="26">
        <v>0.30499999999999999</v>
      </c>
      <c r="H498" s="1" t="s">
        <v>774</v>
      </c>
      <c r="I498" s="9">
        <v>200</v>
      </c>
      <c r="J498" s="36">
        <v>0.06</v>
      </c>
    </row>
    <row r="499" spans="2:10" s="44" customFormat="1" x14ac:dyDescent="0.35">
      <c r="B499" s="9">
        <v>1135715</v>
      </c>
      <c r="C499" s="5" t="s">
        <v>1909</v>
      </c>
      <c r="D499" s="5" t="s">
        <v>3565</v>
      </c>
      <c r="E499" s="5" t="s">
        <v>1910</v>
      </c>
      <c r="F499" s="34" t="s">
        <v>3574</v>
      </c>
      <c r="G499" s="26">
        <v>2.048</v>
      </c>
      <c r="H499" s="1" t="s">
        <v>774</v>
      </c>
      <c r="I499" s="9">
        <v>100</v>
      </c>
      <c r="J499" s="36">
        <v>0.06</v>
      </c>
    </row>
    <row r="500" spans="2:10" s="44" customFormat="1" x14ac:dyDescent="0.35">
      <c r="B500" s="9">
        <v>1135725</v>
      </c>
      <c r="C500" s="5" t="s">
        <v>1255</v>
      </c>
      <c r="D500" s="5" t="s">
        <v>3565</v>
      </c>
      <c r="E500" s="5" t="s">
        <v>1256</v>
      </c>
      <c r="F500" s="34" t="s">
        <v>3574</v>
      </c>
      <c r="G500" s="26">
        <v>1.4969999999999999</v>
      </c>
      <c r="H500" s="1" t="s">
        <v>774</v>
      </c>
      <c r="I500" s="9">
        <v>100</v>
      </c>
      <c r="J500" s="36">
        <v>0.06</v>
      </c>
    </row>
    <row r="501" spans="2:10" s="44" customFormat="1" x14ac:dyDescent="0.35">
      <c r="B501" s="9">
        <v>1135736</v>
      </c>
      <c r="C501" s="5" t="s">
        <v>2614</v>
      </c>
      <c r="D501" s="5" t="s">
        <v>3565</v>
      </c>
      <c r="E501" s="5" t="s">
        <v>2615</v>
      </c>
      <c r="F501" s="34" t="s">
        <v>3574</v>
      </c>
      <c r="G501" s="26">
        <v>0.22700000000000004</v>
      </c>
      <c r="H501" s="1" t="s">
        <v>774</v>
      </c>
      <c r="I501" s="9">
        <v>100</v>
      </c>
      <c r="J501" s="36">
        <v>0.06</v>
      </c>
    </row>
    <row r="502" spans="2:10" s="44" customFormat="1" x14ac:dyDescent="0.35">
      <c r="B502" s="9">
        <v>1135760</v>
      </c>
      <c r="C502" s="5" t="s">
        <v>990</v>
      </c>
      <c r="D502" s="5" t="s">
        <v>3565</v>
      </c>
      <c r="E502" s="5">
        <v>1138928</v>
      </c>
      <c r="F502" s="34" t="s">
        <v>3574</v>
      </c>
      <c r="G502" s="26">
        <v>12.408999999999999</v>
      </c>
      <c r="H502" s="1" t="s">
        <v>774</v>
      </c>
      <c r="I502" s="9">
        <v>100</v>
      </c>
      <c r="J502" s="36">
        <v>0.06</v>
      </c>
    </row>
    <row r="503" spans="2:10" s="44" customFormat="1" x14ac:dyDescent="0.35">
      <c r="B503" s="9">
        <v>1135776</v>
      </c>
      <c r="C503" s="5" t="s">
        <v>1018</v>
      </c>
      <c r="D503" s="5" t="s">
        <v>3565</v>
      </c>
      <c r="E503" s="5" t="s">
        <v>1019</v>
      </c>
      <c r="F503" s="34" t="s">
        <v>3574</v>
      </c>
      <c r="G503" s="26">
        <v>0.441</v>
      </c>
      <c r="H503" s="1" t="s">
        <v>774</v>
      </c>
      <c r="I503" s="9">
        <v>100</v>
      </c>
      <c r="J503" s="36">
        <v>0.06</v>
      </c>
    </row>
    <row r="504" spans="2:10" s="44" customFormat="1" x14ac:dyDescent="0.35">
      <c r="B504" s="9">
        <v>1135788</v>
      </c>
      <c r="C504" s="5" t="s">
        <v>2053</v>
      </c>
      <c r="D504" s="5" t="s">
        <v>3565</v>
      </c>
      <c r="E504" s="5" t="s">
        <v>2054</v>
      </c>
      <c r="F504" s="34" t="s">
        <v>3574</v>
      </c>
      <c r="G504" s="26">
        <v>0.105</v>
      </c>
      <c r="H504" s="1" t="s">
        <v>774</v>
      </c>
      <c r="I504" s="9">
        <v>200</v>
      </c>
      <c r="J504" s="36">
        <v>0.06</v>
      </c>
    </row>
    <row r="505" spans="2:10" s="44" customFormat="1" x14ac:dyDescent="0.35">
      <c r="B505" s="9">
        <v>1135789</v>
      </c>
      <c r="C505" s="5" t="s">
        <v>1884</v>
      </c>
      <c r="D505" s="5" t="s">
        <v>3565</v>
      </c>
      <c r="E505" s="5" t="s">
        <v>2052</v>
      </c>
      <c r="F505" s="34" t="s">
        <v>3574</v>
      </c>
      <c r="G505" s="26">
        <v>0.315</v>
      </c>
      <c r="H505" s="1" t="s">
        <v>774</v>
      </c>
      <c r="I505" s="9">
        <v>100</v>
      </c>
      <c r="J505" s="36">
        <v>0.06</v>
      </c>
    </row>
    <row r="506" spans="2:10" s="44" customFormat="1" x14ac:dyDescent="0.35">
      <c r="B506" s="9">
        <v>1135795</v>
      </c>
      <c r="C506" s="5" t="s">
        <v>2658</v>
      </c>
      <c r="D506" s="5" t="s">
        <v>3565</v>
      </c>
      <c r="E506" s="11" t="s">
        <v>3573</v>
      </c>
      <c r="F506" s="34" t="s">
        <v>3574</v>
      </c>
      <c r="G506" s="26">
        <v>2.411</v>
      </c>
      <c r="H506" s="1" t="s">
        <v>774</v>
      </c>
      <c r="I506" s="9">
        <v>100</v>
      </c>
      <c r="J506" s="36">
        <v>0.06</v>
      </c>
    </row>
    <row r="507" spans="2:10" s="44" customFormat="1" x14ac:dyDescent="0.35">
      <c r="B507" s="9">
        <v>1135838</v>
      </c>
      <c r="C507" s="5" t="s">
        <v>1236</v>
      </c>
      <c r="D507" s="5" t="s">
        <v>3565</v>
      </c>
      <c r="E507" s="5" t="s">
        <v>1237</v>
      </c>
      <c r="F507" s="34" t="s">
        <v>3574</v>
      </c>
      <c r="G507" s="26">
        <v>7.1999999999999995E-2</v>
      </c>
      <c r="H507" s="1" t="s">
        <v>774</v>
      </c>
      <c r="I507" s="9">
        <v>100</v>
      </c>
      <c r="J507" s="36">
        <v>0.06</v>
      </c>
    </row>
    <row r="508" spans="2:10" s="44" customFormat="1" x14ac:dyDescent="0.35">
      <c r="B508" s="9">
        <v>1135877</v>
      </c>
      <c r="C508" s="5" t="s">
        <v>997</v>
      </c>
      <c r="D508" s="5" t="s">
        <v>3565</v>
      </c>
      <c r="E508" s="5" t="s">
        <v>998</v>
      </c>
      <c r="F508" s="34" t="s">
        <v>3574</v>
      </c>
      <c r="G508" s="26">
        <v>0.55700000000000005</v>
      </c>
      <c r="H508" s="1" t="s">
        <v>774</v>
      </c>
      <c r="I508" s="9">
        <v>100</v>
      </c>
      <c r="J508" s="36">
        <v>0.06</v>
      </c>
    </row>
    <row r="509" spans="2:10" s="44" customFormat="1" x14ac:dyDescent="0.35">
      <c r="B509" s="9">
        <v>1139180</v>
      </c>
      <c r="C509" s="5" t="s">
        <v>1020</v>
      </c>
      <c r="D509" s="5" t="s">
        <v>3565</v>
      </c>
      <c r="E509" s="5" t="s">
        <v>1021</v>
      </c>
      <c r="F509" s="34" t="s">
        <v>3574</v>
      </c>
      <c r="G509" s="26">
        <v>0.314</v>
      </c>
      <c r="H509" s="1" t="s">
        <v>774</v>
      </c>
      <c r="I509" s="9">
        <v>100</v>
      </c>
      <c r="J509" s="36">
        <v>0.06</v>
      </c>
    </row>
    <row r="510" spans="2:10" s="44" customFormat="1" x14ac:dyDescent="0.35">
      <c r="B510" s="9">
        <v>1139181</v>
      </c>
      <c r="C510" s="5" t="s">
        <v>2735</v>
      </c>
      <c r="D510" s="5" t="s">
        <v>3565</v>
      </c>
      <c r="E510" s="5" t="s">
        <v>2736</v>
      </c>
      <c r="F510" s="34" t="s">
        <v>3574</v>
      </c>
      <c r="G510" s="26">
        <v>0.26800000000000002</v>
      </c>
      <c r="H510" s="1" t="s">
        <v>774</v>
      </c>
      <c r="I510" s="9">
        <v>100</v>
      </c>
      <c r="J510" s="36">
        <v>0.06</v>
      </c>
    </row>
    <row r="511" spans="2:10" s="44" customFormat="1" x14ac:dyDescent="0.35">
      <c r="B511" s="9">
        <v>1145001</v>
      </c>
      <c r="C511" s="5" t="s">
        <v>1815</v>
      </c>
      <c r="D511" s="5" t="s">
        <v>3565</v>
      </c>
      <c r="E511" s="5" t="s">
        <v>1816</v>
      </c>
      <c r="F511" s="34" t="s">
        <v>3574</v>
      </c>
      <c r="G511" s="26">
        <v>0.17900000000000002</v>
      </c>
      <c r="H511" s="1" t="s">
        <v>774</v>
      </c>
      <c r="I511" s="9">
        <v>100</v>
      </c>
      <c r="J511" s="36">
        <v>0.06</v>
      </c>
    </row>
    <row r="512" spans="2:10" s="44" customFormat="1" x14ac:dyDescent="0.35">
      <c r="B512" s="9">
        <v>1145002</v>
      </c>
      <c r="C512" s="5" t="s">
        <v>1815</v>
      </c>
      <c r="D512" s="5" t="s">
        <v>3565</v>
      </c>
      <c r="E512" s="5" t="s">
        <v>2266</v>
      </c>
      <c r="F512" s="34" t="s">
        <v>3574</v>
      </c>
      <c r="G512" s="26">
        <v>0.75599999999999989</v>
      </c>
      <c r="H512" s="1" t="s">
        <v>774</v>
      </c>
      <c r="I512" s="9">
        <v>100</v>
      </c>
      <c r="J512" s="36">
        <v>0.06</v>
      </c>
    </row>
    <row r="513" spans="2:10" s="44" customFormat="1" x14ac:dyDescent="0.35">
      <c r="B513" s="9">
        <v>1145003</v>
      </c>
      <c r="C513" s="5" t="s">
        <v>1166</v>
      </c>
      <c r="D513" s="5" t="s">
        <v>3565</v>
      </c>
      <c r="E513" s="5" t="s">
        <v>924</v>
      </c>
      <c r="F513" s="34" t="s">
        <v>3574</v>
      </c>
      <c r="G513" s="26">
        <v>0.77099999999999991</v>
      </c>
      <c r="H513" s="1" t="s">
        <v>774</v>
      </c>
      <c r="I513" s="9">
        <v>100</v>
      </c>
      <c r="J513" s="36">
        <v>0.06</v>
      </c>
    </row>
    <row r="514" spans="2:10" s="44" customFormat="1" x14ac:dyDescent="0.35">
      <c r="B514" s="9">
        <v>1145005</v>
      </c>
      <c r="C514" s="5" t="s">
        <v>2900</v>
      </c>
      <c r="D514" s="5" t="s">
        <v>3565</v>
      </c>
      <c r="E514" s="5" t="s">
        <v>2901</v>
      </c>
      <c r="F514" s="34" t="s">
        <v>3574</v>
      </c>
      <c r="G514" s="26">
        <v>2.1630000000000003</v>
      </c>
      <c r="H514" s="1" t="s">
        <v>774</v>
      </c>
      <c r="I514" s="9">
        <v>100</v>
      </c>
      <c r="J514" s="36">
        <v>0.06</v>
      </c>
    </row>
    <row r="515" spans="2:10" s="44" customFormat="1" x14ac:dyDescent="0.35">
      <c r="B515" s="9">
        <v>1145006</v>
      </c>
      <c r="C515" s="5" t="s">
        <v>1844</v>
      </c>
      <c r="D515" s="5" t="s">
        <v>3565</v>
      </c>
      <c r="E515" s="5" t="s">
        <v>2309</v>
      </c>
      <c r="F515" s="34" t="s">
        <v>3574</v>
      </c>
      <c r="G515" s="26">
        <v>0.94499999999999995</v>
      </c>
      <c r="H515" s="1" t="s">
        <v>774</v>
      </c>
      <c r="I515" s="9">
        <v>100</v>
      </c>
      <c r="J515" s="36">
        <v>0.06</v>
      </c>
    </row>
    <row r="516" spans="2:10" s="44" customFormat="1" x14ac:dyDescent="0.35">
      <c r="B516" s="9">
        <v>1145009</v>
      </c>
      <c r="C516" s="5" t="s">
        <v>1844</v>
      </c>
      <c r="D516" s="5" t="s">
        <v>3565</v>
      </c>
      <c r="E516" s="5" t="s">
        <v>2317</v>
      </c>
      <c r="F516" s="34" t="s">
        <v>3574</v>
      </c>
      <c r="G516" s="26">
        <v>3.15</v>
      </c>
      <c r="H516" s="1" t="s">
        <v>774</v>
      </c>
      <c r="I516" s="9">
        <v>100</v>
      </c>
      <c r="J516" s="36">
        <v>0.06</v>
      </c>
    </row>
    <row r="517" spans="2:10" s="44" customFormat="1" x14ac:dyDescent="0.35">
      <c r="B517" s="9">
        <v>1145011</v>
      </c>
      <c r="C517" s="5" t="s">
        <v>2312</v>
      </c>
      <c r="D517" s="5" t="s">
        <v>3565</v>
      </c>
      <c r="E517" s="5" t="s">
        <v>2313</v>
      </c>
      <c r="F517" s="34" t="s">
        <v>3574</v>
      </c>
      <c r="G517" s="26">
        <v>1.7849999999999999</v>
      </c>
      <c r="H517" s="1" t="s">
        <v>774</v>
      </c>
      <c r="I517" s="9">
        <v>100</v>
      </c>
      <c r="J517" s="36">
        <v>0.06</v>
      </c>
    </row>
    <row r="518" spans="2:10" s="44" customFormat="1" x14ac:dyDescent="0.35">
      <c r="B518" s="9">
        <v>1145013</v>
      </c>
      <c r="C518" s="5" t="s">
        <v>3093</v>
      </c>
      <c r="D518" s="5" t="s">
        <v>3565</v>
      </c>
      <c r="E518" s="5" t="s">
        <v>3094</v>
      </c>
      <c r="F518" s="34" t="s">
        <v>3574</v>
      </c>
      <c r="G518" s="26">
        <v>0.2</v>
      </c>
      <c r="H518" s="1" t="s">
        <v>774</v>
      </c>
      <c r="I518" s="9">
        <v>200</v>
      </c>
      <c r="J518" s="36">
        <v>0.06</v>
      </c>
    </row>
    <row r="519" spans="2:10" s="44" customFormat="1" x14ac:dyDescent="0.35">
      <c r="B519" s="9">
        <v>1145014</v>
      </c>
      <c r="C519" s="5" t="s">
        <v>2550</v>
      </c>
      <c r="D519" s="5" t="s">
        <v>3565</v>
      </c>
      <c r="E519" s="5" t="s">
        <v>2551</v>
      </c>
      <c r="F519" s="34" t="s">
        <v>3574</v>
      </c>
      <c r="G519" s="26">
        <v>0.159</v>
      </c>
      <c r="H519" s="1" t="s">
        <v>774</v>
      </c>
      <c r="I519" s="9">
        <v>100</v>
      </c>
      <c r="J519" s="36">
        <v>0.06</v>
      </c>
    </row>
    <row r="520" spans="2:10" s="44" customFormat="1" x14ac:dyDescent="0.35">
      <c r="B520" s="9">
        <v>1145015</v>
      </c>
      <c r="C520" s="5" t="s">
        <v>3095</v>
      </c>
      <c r="D520" s="5" t="s">
        <v>3565</v>
      </c>
      <c r="E520" s="5" t="s">
        <v>3096</v>
      </c>
      <c r="F520" s="34" t="s">
        <v>3574</v>
      </c>
      <c r="G520" s="26">
        <v>0.32</v>
      </c>
      <c r="H520" s="1" t="s">
        <v>774</v>
      </c>
      <c r="I520" s="9">
        <v>100</v>
      </c>
      <c r="J520" s="36">
        <v>0.06</v>
      </c>
    </row>
    <row r="521" spans="2:10" s="44" customFormat="1" x14ac:dyDescent="0.35">
      <c r="B521" s="9">
        <v>1145016</v>
      </c>
      <c r="C521" s="5" t="s">
        <v>2659</v>
      </c>
      <c r="D521" s="5" t="s">
        <v>3565</v>
      </c>
      <c r="E521" s="5" t="s">
        <v>2660</v>
      </c>
      <c r="F521" s="34" t="s">
        <v>3574</v>
      </c>
      <c r="G521" s="26">
        <v>0.46399999999999997</v>
      </c>
      <c r="H521" s="1" t="s">
        <v>774</v>
      </c>
      <c r="I521" s="9">
        <v>100</v>
      </c>
      <c r="J521" s="36">
        <v>0.06</v>
      </c>
    </row>
    <row r="522" spans="2:10" s="44" customFormat="1" x14ac:dyDescent="0.35">
      <c r="B522" s="9">
        <v>1145017</v>
      </c>
      <c r="C522" s="5" t="s">
        <v>1167</v>
      </c>
      <c r="D522" s="5" t="s">
        <v>3565</v>
      </c>
      <c r="E522" s="11" t="s">
        <v>3573</v>
      </c>
      <c r="F522" s="34" t="s">
        <v>3574</v>
      </c>
      <c r="G522" s="26">
        <v>0.51900000000000002</v>
      </c>
      <c r="H522" s="1" t="s">
        <v>774</v>
      </c>
      <c r="I522" s="9">
        <v>100</v>
      </c>
      <c r="J522" s="36">
        <v>0.06</v>
      </c>
    </row>
    <row r="523" spans="2:10" s="44" customFormat="1" x14ac:dyDescent="0.35">
      <c r="B523" s="9">
        <v>1145020</v>
      </c>
      <c r="C523" s="5" t="s">
        <v>878</v>
      </c>
      <c r="D523" s="5" t="s">
        <v>3565</v>
      </c>
      <c r="E523" s="5" t="s">
        <v>879</v>
      </c>
      <c r="F523" s="34" t="s">
        <v>3574</v>
      </c>
      <c r="G523" s="26">
        <v>0.21299999999999999</v>
      </c>
      <c r="H523" s="1" t="s">
        <v>774</v>
      </c>
      <c r="I523" s="9">
        <v>100</v>
      </c>
      <c r="J523" s="36">
        <v>0.06</v>
      </c>
    </row>
    <row r="524" spans="2:10" s="44" customFormat="1" x14ac:dyDescent="0.35">
      <c r="B524" s="9">
        <v>1145021</v>
      </c>
      <c r="C524" s="5" t="s">
        <v>1958</v>
      </c>
      <c r="D524" s="5" t="s">
        <v>3565</v>
      </c>
      <c r="E524" s="5" t="s">
        <v>1959</v>
      </c>
      <c r="F524" s="34" t="s">
        <v>3574</v>
      </c>
      <c r="G524" s="26">
        <v>0.47300000000000003</v>
      </c>
      <c r="H524" s="1" t="s">
        <v>774</v>
      </c>
      <c r="I524" s="9">
        <v>100</v>
      </c>
      <c r="J524" s="36">
        <v>0.06</v>
      </c>
    </row>
    <row r="525" spans="2:10" s="44" customFormat="1" x14ac:dyDescent="0.35">
      <c r="B525" s="9">
        <v>1145400</v>
      </c>
      <c r="C525" s="5" t="s">
        <v>1533</v>
      </c>
      <c r="D525" s="5" t="s">
        <v>3565</v>
      </c>
      <c r="E525" s="5" t="s">
        <v>1097</v>
      </c>
      <c r="F525" s="34" t="s">
        <v>3574</v>
      </c>
      <c r="G525" s="26">
        <v>7.9000000000000001E-2</v>
      </c>
      <c r="H525" s="1" t="s">
        <v>774</v>
      </c>
      <c r="I525" s="9">
        <v>100</v>
      </c>
      <c r="J525" s="36">
        <v>0.06</v>
      </c>
    </row>
    <row r="526" spans="2:10" s="44" customFormat="1" x14ac:dyDescent="0.35">
      <c r="B526" s="9">
        <v>1145401</v>
      </c>
      <c r="C526" s="5" t="s">
        <v>1534</v>
      </c>
      <c r="D526" s="5" t="s">
        <v>3565</v>
      </c>
      <c r="E526" s="5" t="s">
        <v>1097</v>
      </c>
      <c r="F526" s="34" t="s">
        <v>3574</v>
      </c>
      <c r="G526" s="26">
        <v>0.11</v>
      </c>
      <c r="H526" s="1" t="s">
        <v>774</v>
      </c>
      <c r="I526" s="9">
        <v>100</v>
      </c>
      <c r="J526" s="36">
        <v>0.06</v>
      </c>
    </row>
    <row r="527" spans="2:10" s="44" customFormat="1" x14ac:dyDescent="0.35">
      <c r="B527" s="9">
        <v>1145402</v>
      </c>
      <c r="C527" s="5" t="s">
        <v>1535</v>
      </c>
      <c r="D527" s="5" t="s">
        <v>3565</v>
      </c>
      <c r="E527" s="5" t="s">
        <v>1097</v>
      </c>
      <c r="F527" s="34" t="s">
        <v>3574</v>
      </c>
      <c r="G527" s="26">
        <v>7.9000000000000001E-2</v>
      </c>
      <c r="H527" s="1" t="s">
        <v>774</v>
      </c>
      <c r="I527" s="9">
        <v>100</v>
      </c>
      <c r="J527" s="36">
        <v>0.06</v>
      </c>
    </row>
    <row r="528" spans="2:10" s="44" customFormat="1" x14ac:dyDescent="0.35">
      <c r="B528" s="9">
        <v>1145405</v>
      </c>
      <c r="C528" s="5" t="s">
        <v>1537</v>
      </c>
      <c r="D528" s="5" t="s">
        <v>3565</v>
      </c>
      <c r="E528" s="5" t="s">
        <v>1097</v>
      </c>
      <c r="F528" s="34" t="s">
        <v>3574</v>
      </c>
      <c r="G528" s="26">
        <v>0.14000000000000001</v>
      </c>
      <c r="H528" s="1" t="s">
        <v>774</v>
      </c>
      <c r="I528" s="9">
        <v>100</v>
      </c>
      <c r="J528" s="36">
        <v>0.06</v>
      </c>
    </row>
    <row r="529" spans="2:10" s="44" customFormat="1" x14ac:dyDescent="0.35">
      <c r="B529" s="9">
        <v>1145408</v>
      </c>
      <c r="C529" s="5" t="s">
        <v>1551</v>
      </c>
      <c r="D529" s="5" t="s">
        <v>3565</v>
      </c>
      <c r="E529" s="5" t="s">
        <v>1097</v>
      </c>
      <c r="F529" s="34" t="s">
        <v>3574</v>
      </c>
      <c r="G529" s="26">
        <v>6.8999999999999992E-2</v>
      </c>
      <c r="H529" s="1" t="s">
        <v>774</v>
      </c>
      <c r="I529" s="9">
        <v>100</v>
      </c>
      <c r="J529" s="36">
        <v>0.06</v>
      </c>
    </row>
    <row r="530" spans="2:10" s="44" customFormat="1" x14ac:dyDescent="0.35">
      <c r="B530" s="9">
        <v>1145409</v>
      </c>
      <c r="C530" s="5" t="s">
        <v>1826</v>
      </c>
      <c r="D530" s="5" t="s">
        <v>3565</v>
      </c>
      <c r="E530" s="5" t="s">
        <v>1827</v>
      </c>
      <c r="F530" s="34" t="s">
        <v>3574</v>
      </c>
      <c r="G530" s="26">
        <v>0.18899999999999997</v>
      </c>
      <c r="H530" s="1" t="s">
        <v>774</v>
      </c>
      <c r="I530" s="9">
        <v>100</v>
      </c>
      <c r="J530" s="36">
        <v>0.06</v>
      </c>
    </row>
    <row r="531" spans="2:10" s="44" customFormat="1" x14ac:dyDescent="0.35">
      <c r="B531" s="9">
        <v>1145410</v>
      </c>
      <c r="C531" s="5" t="s">
        <v>1553</v>
      </c>
      <c r="D531" s="5" t="s">
        <v>3565</v>
      </c>
      <c r="E531" s="5" t="s">
        <v>1097</v>
      </c>
      <c r="F531" s="34" t="s">
        <v>3574</v>
      </c>
      <c r="G531" s="26">
        <v>0.23100000000000001</v>
      </c>
      <c r="H531" s="1" t="s">
        <v>774</v>
      </c>
      <c r="I531" s="9">
        <v>200</v>
      </c>
      <c r="J531" s="36">
        <v>0.06</v>
      </c>
    </row>
    <row r="532" spans="2:10" s="44" customFormat="1" x14ac:dyDescent="0.35">
      <c r="B532" s="9">
        <v>1145430</v>
      </c>
      <c r="C532" s="5" t="s">
        <v>3182</v>
      </c>
      <c r="D532" s="5" t="s">
        <v>3565</v>
      </c>
      <c r="E532" s="5" t="s">
        <v>3183</v>
      </c>
      <c r="F532" s="34" t="s">
        <v>3574</v>
      </c>
      <c r="G532" s="26">
        <v>0.28000000000000003</v>
      </c>
      <c r="H532" s="1" t="s">
        <v>774</v>
      </c>
      <c r="I532" s="9">
        <v>100</v>
      </c>
      <c r="J532" s="36">
        <v>0.06</v>
      </c>
    </row>
    <row r="533" spans="2:10" s="44" customFormat="1" x14ac:dyDescent="0.35">
      <c r="B533" s="9">
        <v>1145434</v>
      </c>
      <c r="C533" s="5" t="s">
        <v>1137</v>
      </c>
      <c r="D533" s="5" t="s">
        <v>3565</v>
      </c>
      <c r="E533" s="5">
        <v>1235583</v>
      </c>
      <c r="F533" s="34" t="s">
        <v>3574</v>
      </c>
      <c r="G533" s="26">
        <v>5.2999999999999999E-2</v>
      </c>
      <c r="H533" s="1" t="s">
        <v>774</v>
      </c>
      <c r="I533" s="9">
        <v>100</v>
      </c>
      <c r="J533" s="36">
        <v>0.06</v>
      </c>
    </row>
    <row r="534" spans="2:10" s="44" customFormat="1" x14ac:dyDescent="0.35">
      <c r="B534" s="9">
        <v>1145435</v>
      </c>
      <c r="C534" s="5" t="s">
        <v>1149</v>
      </c>
      <c r="D534" s="5" t="s">
        <v>3565</v>
      </c>
      <c r="E534" s="5" t="s">
        <v>924</v>
      </c>
      <c r="F534" s="34" t="s">
        <v>3574</v>
      </c>
      <c r="G534" s="26">
        <v>0.53900000000000003</v>
      </c>
      <c r="H534" s="1" t="s">
        <v>774</v>
      </c>
      <c r="I534" s="9">
        <v>100</v>
      </c>
      <c r="J534" s="36">
        <v>0.06</v>
      </c>
    </row>
    <row r="535" spans="2:10" s="44" customFormat="1" x14ac:dyDescent="0.35">
      <c r="B535" s="9">
        <v>1145436</v>
      </c>
      <c r="C535" s="5" t="s">
        <v>1138</v>
      </c>
      <c r="D535" s="5" t="s">
        <v>3565</v>
      </c>
      <c r="E535" s="5" t="s">
        <v>924</v>
      </c>
      <c r="F535" s="34" t="s">
        <v>3574</v>
      </c>
      <c r="G535" s="26">
        <v>7.3999999999999996E-2</v>
      </c>
      <c r="H535" s="1" t="s">
        <v>774</v>
      </c>
      <c r="I535" s="9">
        <v>100</v>
      </c>
      <c r="J535" s="36">
        <v>0.06</v>
      </c>
    </row>
    <row r="536" spans="2:10" s="44" customFormat="1" x14ac:dyDescent="0.35">
      <c r="B536" s="9">
        <v>1145438</v>
      </c>
      <c r="C536" s="5" t="s">
        <v>1844</v>
      </c>
      <c r="D536" s="5" t="s">
        <v>3565</v>
      </c>
      <c r="E536" s="5" t="s">
        <v>2288</v>
      </c>
      <c r="F536" s="34" t="s">
        <v>3574</v>
      </c>
      <c r="G536" s="26">
        <v>0.7</v>
      </c>
      <c r="H536" s="1" t="s">
        <v>774</v>
      </c>
      <c r="I536" s="9">
        <v>100</v>
      </c>
      <c r="J536" s="36">
        <v>0.06</v>
      </c>
    </row>
    <row r="537" spans="2:10" s="44" customFormat="1" x14ac:dyDescent="0.35">
      <c r="B537" s="9">
        <v>1145439</v>
      </c>
      <c r="C537" s="5" t="s">
        <v>1032</v>
      </c>
      <c r="D537" s="5" t="s">
        <v>3565</v>
      </c>
      <c r="E537" s="5" t="s">
        <v>1033</v>
      </c>
      <c r="F537" s="34" t="s">
        <v>3574</v>
      </c>
      <c r="G537" s="26">
        <v>0.56600000000000006</v>
      </c>
      <c r="H537" s="1" t="s">
        <v>774</v>
      </c>
      <c r="I537" s="9">
        <v>100</v>
      </c>
      <c r="J537" s="36">
        <v>0.06</v>
      </c>
    </row>
    <row r="538" spans="2:10" s="44" customFormat="1" x14ac:dyDescent="0.35">
      <c r="B538" s="9">
        <v>1145447</v>
      </c>
      <c r="C538" s="5" t="s">
        <v>1057</v>
      </c>
      <c r="D538" s="5" t="s">
        <v>3565</v>
      </c>
      <c r="E538" s="5" t="s">
        <v>838</v>
      </c>
      <c r="F538" s="34" t="s">
        <v>3574</v>
      </c>
      <c r="G538" s="26">
        <v>0.35</v>
      </c>
      <c r="H538" s="1" t="s">
        <v>774</v>
      </c>
      <c r="I538" s="9">
        <v>100</v>
      </c>
      <c r="J538" s="36">
        <v>0.06</v>
      </c>
    </row>
    <row r="539" spans="2:10" s="44" customFormat="1" x14ac:dyDescent="0.35">
      <c r="B539" s="9">
        <v>1145498</v>
      </c>
      <c r="C539" s="5" t="s">
        <v>2144</v>
      </c>
      <c r="D539" s="5" t="s">
        <v>3565</v>
      </c>
      <c r="E539" s="5" t="s">
        <v>2145</v>
      </c>
      <c r="F539" s="34" t="s">
        <v>3574</v>
      </c>
      <c r="G539" s="26">
        <v>0.36800000000000005</v>
      </c>
      <c r="H539" s="1" t="s">
        <v>774</v>
      </c>
      <c r="I539" s="9">
        <v>100</v>
      </c>
      <c r="J539" s="36">
        <v>0.06</v>
      </c>
    </row>
    <row r="540" spans="2:10" s="44" customFormat="1" x14ac:dyDescent="0.35">
      <c r="B540" s="9">
        <v>1145500</v>
      </c>
      <c r="C540" s="5" t="s">
        <v>3089</v>
      </c>
      <c r="D540" s="5" t="s">
        <v>3565</v>
      </c>
      <c r="E540" s="5" t="s">
        <v>3090</v>
      </c>
      <c r="F540" s="34" t="s">
        <v>3574</v>
      </c>
      <c r="G540" s="26">
        <v>0.22</v>
      </c>
      <c r="H540" s="1" t="s">
        <v>774</v>
      </c>
      <c r="I540" s="9">
        <v>200</v>
      </c>
      <c r="J540" s="36">
        <v>0.06</v>
      </c>
    </row>
    <row r="541" spans="2:10" s="44" customFormat="1" x14ac:dyDescent="0.35">
      <c r="B541" s="9">
        <v>1145503</v>
      </c>
      <c r="C541" s="5" t="s">
        <v>2144</v>
      </c>
      <c r="D541" s="5" t="s">
        <v>3565</v>
      </c>
      <c r="E541" s="5" t="s">
        <v>2328</v>
      </c>
      <c r="F541" s="34" t="s">
        <v>3574</v>
      </c>
      <c r="G541" s="26">
        <v>0.36800000000000005</v>
      </c>
      <c r="H541" s="1" t="s">
        <v>774</v>
      </c>
      <c r="I541" s="9">
        <v>100</v>
      </c>
      <c r="J541" s="36">
        <v>0.06</v>
      </c>
    </row>
    <row r="542" spans="2:10" s="44" customFormat="1" x14ac:dyDescent="0.35">
      <c r="B542" s="9">
        <v>1145504</v>
      </c>
      <c r="C542" s="5" t="s">
        <v>3097</v>
      </c>
      <c r="D542" s="5" t="s">
        <v>3565</v>
      </c>
      <c r="E542" s="5" t="s">
        <v>3098</v>
      </c>
      <c r="F542" s="34" t="s">
        <v>3574</v>
      </c>
      <c r="G542" s="26">
        <v>0.25</v>
      </c>
      <c r="H542" s="1" t="s">
        <v>774</v>
      </c>
      <c r="I542" s="9">
        <v>200</v>
      </c>
      <c r="J542" s="36">
        <v>0.06</v>
      </c>
    </row>
    <row r="543" spans="2:10" s="44" customFormat="1" x14ac:dyDescent="0.35">
      <c r="B543" s="9">
        <v>1145506</v>
      </c>
      <c r="C543" s="5" t="s">
        <v>2002</v>
      </c>
      <c r="D543" s="5" t="s">
        <v>3565</v>
      </c>
      <c r="E543" s="5" t="s">
        <v>2003</v>
      </c>
      <c r="F543" s="34" t="s">
        <v>3574</v>
      </c>
      <c r="G543" s="26">
        <v>0.52500000000000002</v>
      </c>
      <c r="H543" s="1" t="s">
        <v>774</v>
      </c>
      <c r="I543" s="9">
        <v>100</v>
      </c>
      <c r="J543" s="36">
        <v>0.06</v>
      </c>
    </row>
    <row r="544" spans="2:10" s="44" customFormat="1" x14ac:dyDescent="0.35">
      <c r="B544" s="9">
        <v>1145509</v>
      </c>
      <c r="C544" s="5" t="s">
        <v>2763</v>
      </c>
      <c r="D544" s="5" t="s">
        <v>3565</v>
      </c>
      <c r="E544" s="5" t="s">
        <v>2764</v>
      </c>
      <c r="F544" s="34" t="s">
        <v>3574</v>
      </c>
      <c r="G544" s="26">
        <v>0.26800000000000002</v>
      </c>
      <c r="H544" s="1" t="s">
        <v>774</v>
      </c>
      <c r="I544" s="9">
        <v>100</v>
      </c>
      <c r="J544" s="36">
        <v>0.06</v>
      </c>
    </row>
    <row r="545" spans="2:10" s="44" customFormat="1" x14ac:dyDescent="0.35">
      <c r="B545" s="9">
        <v>1145514</v>
      </c>
      <c r="C545" s="5" t="s">
        <v>1811</v>
      </c>
      <c r="D545" s="5" t="s">
        <v>3565</v>
      </c>
      <c r="E545" s="5" t="s">
        <v>1986</v>
      </c>
      <c r="F545" s="34" t="s">
        <v>3574</v>
      </c>
      <c r="G545" s="26">
        <v>1.5119999999999998</v>
      </c>
      <c r="H545" s="1" t="s">
        <v>774</v>
      </c>
      <c r="I545" s="9">
        <v>100</v>
      </c>
      <c r="J545" s="36">
        <v>0.06</v>
      </c>
    </row>
    <row r="546" spans="2:10" s="44" customFormat="1" x14ac:dyDescent="0.35">
      <c r="B546" s="9">
        <v>1145517</v>
      </c>
      <c r="C546" s="5" t="s">
        <v>2765</v>
      </c>
      <c r="D546" s="5" t="s">
        <v>3565</v>
      </c>
      <c r="E546" s="5" t="s">
        <v>2766</v>
      </c>
      <c r="F546" s="34" t="s">
        <v>3574</v>
      </c>
      <c r="G546" s="26">
        <v>0.56700000000000006</v>
      </c>
      <c r="H546" s="1" t="s">
        <v>774</v>
      </c>
      <c r="I546" s="9">
        <v>100</v>
      </c>
      <c r="J546" s="36">
        <v>0.06</v>
      </c>
    </row>
    <row r="547" spans="2:10" s="44" customFormat="1" x14ac:dyDescent="0.35">
      <c r="B547" s="9">
        <v>1145530</v>
      </c>
      <c r="C547" s="5" t="s">
        <v>2705</v>
      </c>
      <c r="D547" s="5" t="s">
        <v>3565</v>
      </c>
      <c r="E547" s="5" t="s">
        <v>2706</v>
      </c>
      <c r="F547" s="34" t="s">
        <v>3574</v>
      </c>
      <c r="G547" s="26">
        <v>0.15</v>
      </c>
      <c r="H547" s="1" t="s">
        <v>774</v>
      </c>
      <c r="I547" s="9">
        <v>100</v>
      </c>
      <c r="J547" s="36">
        <v>0.06</v>
      </c>
    </row>
    <row r="548" spans="2:10" s="44" customFormat="1" x14ac:dyDescent="0.35">
      <c r="B548" s="9">
        <v>1145540</v>
      </c>
      <c r="C548" s="5" t="s">
        <v>1142</v>
      </c>
      <c r="D548" s="5" t="s">
        <v>3565</v>
      </c>
      <c r="E548" s="5" t="s">
        <v>1143</v>
      </c>
      <c r="F548" s="34" t="s">
        <v>3574</v>
      </c>
      <c r="G548" s="26">
        <v>0.13799999999999998</v>
      </c>
      <c r="H548" s="1" t="s">
        <v>774</v>
      </c>
      <c r="I548" s="9">
        <v>100</v>
      </c>
      <c r="J548" s="36">
        <v>0.06</v>
      </c>
    </row>
    <row r="549" spans="2:10" s="44" customFormat="1" x14ac:dyDescent="0.35">
      <c r="B549" s="9">
        <v>1145543</v>
      </c>
      <c r="C549" s="5" t="s">
        <v>1594</v>
      </c>
      <c r="D549" s="5" t="s">
        <v>3565</v>
      </c>
      <c r="E549" s="5" t="s">
        <v>1595</v>
      </c>
      <c r="F549" s="34" t="s">
        <v>3574</v>
      </c>
      <c r="G549" s="26">
        <v>1.3479999999999999</v>
      </c>
      <c r="H549" s="1" t="s">
        <v>774</v>
      </c>
      <c r="I549" s="9">
        <v>100</v>
      </c>
      <c r="J549" s="36">
        <v>0.06</v>
      </c>
    </row>
    <row r="550" spans="2:10" s="44" customFormat="1" x14ac:dyDescent="0.35">
      <c r="B550" s="9">
        <v>1145544</v>
      </c>
      <c r="C550" s="5" t="s">
        <v>2257</v>
      </c>
      <c r="D550" s="5" t="s">
        <v>3565</v>
      </c>
      <c r="E550" s="5" t="s">
        <v>2258</v>
      </c>
      <c r="F550" s="34" t="s">
        <v>3574</v>
      </c>
      <c r="G550" s="26">
        <v>0.26300000000000001</v>
      </c>
      <c r="H550" s="1" t="s">
        <v>774</v>
      </c>
      <c r="I550" s="9">
        <v>100</v>
      </c>
      <c r="J550" s="36">
        <v>0.06</v>
      </c>
    </row>
    <row r="551" spans="2:10" s="44" customFormat="1" x14ac:dyDescent="0.35">
      <c r="B551" s="9">
        <v>1145546</v>
      </c>
      <c r="C551" s="5" t="s">
        <v>1596</v>
      </c>
      <c r="D551" s="5" t="s">
        <v>3565</v>
      </c>
      <c r="E551" s="5" t="s">
        <v>1242</v>
      </c>
      <c r="F551" s="34" t="s">
        <v>3574</v>
      </c>
      <c r="G551" s="26">
        <v>0.20100000000000001</v>
      </c>
      <c r="H551" s="1" t="s">
        <v>774</v>
      </c>
      <c r="I551" s="9">
        <v>100</v>
      </c>
      <c r="J551" s="36">
        <v>0.06</v>
      </c>
    </row>
    <row r="552" spans="2:10" s="44" customFormat="1" x14ac:dyDescent="0.35">
      <c r="B552" s="9">
        <v>1145547</v>
      </c>
      <c r="C552" s="5" t="s">
        <v>1878</v>
      </c>
      <c r="D552" s="5" t="s">
        <v>3565</v>
      </c>
      <c r="E552" s="5" t="s">
        <v>1946</v>
      </c>
      <c r="F552" s="34" t="s">
        <v>3574</v>
      </c>
      <c r="G552" s="26">
        <v>0.51500000000000001</v>
      </c>
      <c r="H552" s="1" t="s">
        <v>774</v>
      </c>
      <c r="I552" s="9">
        <v>100</v>
      </c>
      <c r="J552" s="36">
        <v>0.06</v>
      </c>
    </row>
    <row r="553" spans="2:10" s="44" customFormat="1" x14ac:dyDescent="0.35">
      <c r="B553" s="9">
        <v>1145548</v>
      </c>
      <c r="C553" s="5" t="s">
        <v>2823</v>
      </c>
      <c r="D553" s="5" t="s">
        <v>3565</v>
      </c>
      <c r="E553" s="5" t="s">
        <v>2824</v>
      </c>
      <c r="F553" s="34" t="s">
        <v>3574</v>
      </c>
      <c r="G553" s="26">
        <v>0.46399999999999997</v>
      </c>
      <c r="H553" s="1" t="s">
        <v>774</v>
      </c>
      <c r="I553" s="9">
        <v>100</v>
      </c>
      <c r="J553" s="36">
        <v>0.06</v>
      </c>
    </row>
    <row r="554" spans="2:10" s="44" customFormat="1" x14ac:dyDescent="0.35">
      <c r="B554" s="9">
        <v>1145549</v>
      </c>
      <c r="C554" s="5" t="s">
        <v>1598</v>
      </c>
      <c r="D554" s="5" t="s">
        <v>3565</v>
      </c>
      <c r="E554" s="5" t="s">
        <v>1242</v>
      </c>
      <c r="F554" s="34" t="s">
        <v>3574</v>
      </c>
      <c r="G554" s="26">
        <v>0.42800000000000005</v>
      </c>
      <c r="H554" s="1" t="s">
        <v>774</v>
      </c>
      <c r="I554" s="9">
        <v>100</v>
      </c>
      <c r="J554" s="36">
        <v>0.06</v>
      </c>
    </row>
    <row r="555" spans="2:10" s="44" customFormat="1" x14ac:dyDescent="0.35">
      <c r="B555" s="9">
        <v>1145578</v>
      </c>
      <c r="C555" s="5" t="s">
        <v>2767</v>
      </c>
      <c r="D555" s="5" t="s">
        <v>3565</v>
      </c>
      <c r="E555" s="5" t="s">
        <v>2768</v>
      </c>
      <c r="F555" s="34" t="s">
        <v>3574</v>
      </c>
      <c r="G555" s="26">
        <v>1.5449999999999999</v>
      </c>
      <c r="H555" s="1" t="s">
        <v>774</v>
      </c>
      <c r="I555" s="9">
        <v>100</v>
      </c>
      <c r="J555" s="36">
        <v>0.06</v>
      </c>
    </row>
    <row r="556" spans="2:10" s="44" customFormat="1" x14ac:dyDescent="0.35">
      <c r="B556" s="9">
        <v>1145580</v>
      </c>
      <c r="C556" s="5" t="s">
        <v>2769</v>
      </c>
      <c r="D556" s="5" t="s">
        <v>3565</v>
      </c>
      <c r="E556" s="5" t="s">
        <v>2770</v>
      </c>
      <c r="F556" s="34" t="s">
        <v>3574</v>
      </c>
      <c r="G556" s="26">
        <v>1.9569999999999999</v>
      </c>
      <c r="H556" s="1" t="s">
        <v>774</v>
      </c>
      <c r="I556" s="9">
        <v>100</v>
      </c>
      <c r="J556" s="36">
        <v>0.06</v>
      </c>
    </row>
    <row r="557" spans="2:10" s="44" customFormat="1" x14ac:dyDescent="0.35">
      <c r="B557" s="9">
        <v>1145586</v>
      </c>
      <c r="C557" s="5" t="s">
        <v>2027</v>
      </c>
      <c r="D557" s="5" t="s">
        <v>3565</v>
      </c>
      <c r="E557" s="5" t="s">
        <v>2028</v>
      </c>
      <c r="F557" s="34" t="s">
        <v>3574</v>
      </c>
      <c r="G557" s="26">
        <v>0.21</v>
      </c>
      <c r="H557" s="1" t="s">
        <v>774</v>
      </c>
      <c r="I557" s="9">
        <v>100</v>
      </c>
      <c r="J557" s="36">
        <v>0.06</v>
      </c>
    </row>
    <row r="558" spans="2:10" s="44" customFormat="1" x14ac:dyDescent="0.35">
      <c r="B558" s="9">
        <v>1145624</v>
      </c>
      <c r="C558" s="5" t="s">
        <v>2846</v>
      </c>
      <c r="D558" s="5" t="s">
        <v>3565</v>
      </c>
      <c r="E558" s="5" t="s">
        <v>2847</v>
      </c>
      <c r="F558" s="34" t="s">
        <v>3574</v>
      </c>
      <c r="G558" s="26">
        <v>7.2999999999999995E-2</v>
      </c>
      <c r="H558" s="1" t="s">
        <v>774</v>
      </c>
      <c r="I558" s="9">
        <v>100</v>
      </c>
      <c r="J558" s="36">
        <v>0.06</v>
      </c>
    </row>
    <row r="559" spans="2:10" s="44" customFormat="1" x14ac:dyDescent="0.35">
      <c r="B559" s="9">
        <v>1145625</v>
      </c>
      <c r="C559" s="5" t="s">
        <v>1497</v>
      </c>
      <c r="D559" s="5" t="s">
        <v>3565</v>
      </c>
      <c r="E559" s="5">
        <v>557.30799999999999</v>
      </c>
      <c r="F559" s="34" t="s">
        <v>3574</v>
      </c>
      <c r="G559" s="26">
        <v>0.376</v>
      </c>
      <c r="H559" s="1" t="s">
        <v>774</v>
      </c>
      <c r="I559" s="9">
        <v>100</v>
      </c>
      <c r="J559" s="36">
        <v>0.06</v>
      </c>
    </row>
    <row r="560" spans="2:10" s="44" customFormat="1" x14ac:dyDescent="0.35">
      <c r="B560" s="9">
        <v>1145657</v>
      </c>
      <c r="C560" s="5" t="s">
        <v>2095</v>
      </c>
      <c r="D560" s="5" t="s">
        <v>3565</v>
      </c>
      <c r="E560" s="5" t="s">
        <v>2096</v>
      </c>
      <c r="F560" s="34" t="s">
        <v>3574</v>
      </c>
      <c r="G560" s="26">
        <v>7.1999999999999995E-2</v>
      </c>
      <c r="H560" s="1" t="s">
        <v>774</v>
      </c>
      <c r="I560" s="9">
        <v>100</v>
      </c>
      <c r="J560" s="36">
        <v>0.06</v>
      </c>
    </row>
    <row r="561" spans="2:10" s="44" customFormat="1" x14ac:dyDescent="0.35">
      <c r="B561" s="9">
        <v>1145698</v>
      </c>
      <c r="C561" s="5" t="s">
        <v>1648</v>
      </c>
      <c r="D561" s="5" t="s">
        <v>3565</v>
      </c>
      <c r="E561" s="5" t="s">
        <v>1627</v>
      </c>
      <c r="F561" s="34" t="s">
        <v>3574</v>
      </c>
      <c r="G561" s="26">
        <v>0.3</v>
      </c>
      <c r="H561" s="1" t="s">
        <v>774</v>
      </c>
      <c r="I561" s="9">
        <v>100</v>
      </c>
      <c r="J561" s="36">
        <v>0.06</v>
      </c>
    </row>
    <row r="562" spans="2:10" s="44" customFormat="1" x14ac:dyDescent="0.35">
      <c r="B562" s="9">
        <v>1146000</v>
      </c>
      <c r="C562" s="5" t="s">
        <v>1818</v>
      </c>
      <c r="D562" s="5" t="s">
        <v>3565</v>
      </c>
      <c r="E562" s="5" t="s">
        <v>1819</v>
      </c>
      <c r="F562" s="34" t="s">
        <v>3574</v>
      </c>
      <c r="G562" s="26">
        <v>0.18899999999999997</v>
      </c>
      <c r="H562" s="1" t="s">
        <v>774</v>
      </c>
      <c r="I562" s="9">
        <v>100</v>
      </c>
      <c r="J562" s="36">
        <v>0.06</v>
      </c>
    </row>
    <row r="563" spans="2:10" s="44" customFormat="1" x14ac:dyDescent="0.35">
      <c r="B563" s="9">
        <v>1146018</v>
      </c>
      <c r="C563" s="5" t="s">
        <v>1058</v>
      </c>
      <c r="D563" s="5" t="s">
        <v>3565</v>
      </c>
      <c r="E563" s="5" t="s">
        <v>1059</v>
      </c>
      <c r="F563" s="34" t="s">
        <v>3574</v>
      </c>
      <c r="G563" s="26">
        <v>0.21</v>
      </c>
      <c r="H563" s="1" t="s">
        <v>774</v>
      </c>
      <c r="I563" s="9">
        <v>100</v>
      </c>
      <c r="J563" s="36">
        <v>0.06</v>
      </c>
    </row>
    <row r="564" spans="2:10" s="44" customFormat="1" x14ac:dyDescent="0.35">
      <c r="B564" s="9">
        <v>1146021</v>
      </c>
      <c r="C564" s="5" t="s">
        <v>876</v>
      </c>
      <c r="D564" s="5" t="s">
        <v>3565</v>
      </c>
      <c r="E564" s="5" t="s">
        <v>877</v>
      </c>
      <c r="F564" s="34" t="s">
        <v>3574</v>
      </c>
      <c r="G564" s="26">
        <v>0.315</v>
      </c>
      <c r="H564" s="1" t="s">
        <v>774</v>
      </c>
      <c r="I564" s="9">
        <v>100</v>
      </c>
      <c r="J564" s="36">
        <v>0.06</v>
      </c>
    </row>
    <row r="565" spans="2:10" s="44" customFormat="1" x14ac:dyDescent="0.35">
      <c r="B565" s="9">
        <v>1146031</v>
      </c>
      <c r="C565" s="5" t="s">
        <v>889</v>
      </c>
      <c r="D565" s="5" t="s">
        <v>3565</v>
      </c>
      <c r="E565" s="5" t="s">
        <v>2430</v>
      </c>
      <c r="F565" s="34" t="s">
        <v>3574</v>
      </c>
      <c r="G565" s="26">
        <v>0.1</v>
      </c>
      <c r="H565" s="1" t="s">
        <v>774</v>
      </c>
      <c r="I565" s="9">
        <v>100</v>
      </c>
      <c r="J565" s="36">
        <v>0.06</v>
      </c>
    </row>
    <row r="566" spans="2:10" s="44" customFormat="1" x14ac:dyDescent="0.35">
      <c r="B566" s="9">
        <v>1146032</v>
      </c>
      <c r="C566" s="5" t="s">
        <v>1844</v>
      </c>
      <c r="D566" s="5" t="s">
        <v>3565</v>
      </c>
      <c r="E566" s="5" t="s">
        <v>1845</v>
      </c>
      <c r="F566" s="34" t="s">
        <v>3574</v>
      </c>
      <c r="G566" s="26">
        <v>0.126</v>
      </c>
      <c r="H566" s="1" t="s">
        <v>774</v>
      </c>
      <c r="I566" s="9">
        <v>100</v>
      </c>
      <c r="J566" s="36">
        <v>0.06</v>
      </c>
    </row>
    <row r="567" spans="2:10" s="44" customFormat="1" x14ac:dyDescent="0.35">
      <c r="B567" s="9">
        <v>1146033</v>
      </c>
      <c r="C567" s="5" t="s">
        <v>1134</v>
      </c>
      <c r="D567" s="5" t="s">
        <v>3565</v>
      </c>
      <c r="E567" s="5" t="s">
        <v>924</v>
      </c>
      <c r="F567" s="34" t="s">
        <v>3574</v>
      </c>
      <c r="G567" s="26">
        <v>0.10199999999999999</v>
      </c>
      <c r="H567" s="1" t="s">
        <v>774</v>
      </c>
      <c r="I567" s="9">
        <v>100</v>
      </c>
      <c r="J567" s="36">
        <v>0.06</v>
      </c>
    </row>
    <row r="568" spans="2:10" s="44" customFormat="1" x14ac:dyDescent="0.35">
      <c r="B568" s="9">
        <v>1146034</v>
      </c>
      <c r="C568" s="5" t="s">
        <v>2608</v>
      </c>
      <c r="D568" s="5" t="s">
        <v>3565</v>
      </c>
      <c r="E568" s="5" t="s">
        <v>2609</v>
      </c>
      <c r="F568" s="34" t="s">
        <v>3574</v>
      </c>
      <c r="G568" s="26">
        <v>0.18600000000000003</v>
      </c>
      <c r="H568" s="1" t="s">
        <v>774</v>
      </c>
      <c r="I568" s="9">
        <v>100</v>
      </c>
      <c r="J568" s="36">
        <v>0.06</v>
      </c>
    </row>
    <row r="569" spans="2:10" s="44" customFormat="1" x14ac:dyDescent="0.35">
      <c r="B569" s="9">
        <v>1146035</v>
      </c>
      <c r="C569" s="5" t="s">
        <v>1031</v>
      </c>
      <c r="D569" s="5" t="s">
        <v>3565</v>
      </c>
      <c r="E569" s="5" t="s">
        <v>924</v>
      </c>
      <c r="F569" s="34" t="s">
        <v>3574</v>
      </c>
      <c r="G569" s="26">
        <v>0.21</v>
      </c>
      <c r="H569" s="1" t="s">
        <v>774</v>
      </c>
      <c r="I569" s="9">
        <v>100</v>
      </c>
      <c r="J569" s="36">
        <v>0.06</v>
      </c>
    </row>
    <row r="570" spans="2:10" s="44" customFormat="1" x14ac:dyDescent="0.35">
      <c r="B570" s="9">
        <v>1146036</v>
      </c>
      <c r="C570" s="5" t="s">
        <v>1150</v>
      </c>
      <c r="D570" s="5" t="s">
        <v>3565</v>
      </c>
      <c r="E570" s="5" t="s">
        <v>924</v>
      </c>
      <c r="F570" s="34" t="s">
        <v>3574</v>
      </c>
      <c r="G570" s="26">
        <v>0.13100000000000001</v>
      </c>
      <c r="H570" s="1" t="s">
        <v>774</v>
      </c>
      <c r="I570" s="9">
        <v>100</v>
      </c>
      <c r="J570" s="36">
        <v>0.06</v>
      </c>
    </row>
    <row r="571" spans="2:10" s="44" customFormat="1" x14ac:dyDescent="0.35">
      <c r="B571" s="9">
        <v>1146037</v>
      </c>
      <c r="C571" s="5" t="s">
        <v>1140</v>
      </c>
      <c r="D571" s="5" t="s">
        <v>3565</v>
      </c>
      <c r="E571" s="5" t="s">
        <v>924</v>
      </c>
      <c r="F571" s="34" t="s">
        <v>3574</v>
      </c>
      <c r="G571" s="26">
        <v>0.11799999999999999</v>
      </c>
      <c r="H571" s="1" t="s">
        <v>774</v>
      </c>
      <c r="I571" s="9">
        <v>100</v>
      </c>
      <c r="J571" s="36">
        <v>0.06</v>
      </c>
    </row>
    <row r="572" spans="2:10" s="44" customFormat="1" x14ac:dyDescent="0.35">
      <c r="B572" s="9">
        <v>1146038</v>
      </c>
      <c r="C572" s="5" t="s">
        <v>1141</v>
      </c>
      <c r="D572" s="5" t="s">
        <v>3565</v>
      </c>
      <c r="E572" s="5" t="s">
        <v>924</v>
      </c>
      <c r="F572" s="34" t="s">
        <v>3574</v>
      </c>
      <c r="G572" s="26">
        <v>0.13799999999999998</v>
      </c>
      <c r="H572" s="1" t="s">
        <v>774</v>
      </c>
      <c r="I572" s="9">
        <v>100</v>
      </c>
      <c r="J572" s="36">
        <v>0.06</v>
      </c>
    </row>
    <row r="573" spans="2:10" s="44" customFormat="1" x14ac:dyDescent="0.35">
      <c r="B573" s="9">
        <v>1146039</v>
      </c>
      <c r="C573" s="5" t="s">
        <v>1144</v>
      </c>
      <c r="D573" s="5" t="s">
        <v>3565</v>
      </c>
      <c r="E573" s="5" t="s">
        <v>924</v>
      </c>
      <c r="F573" s="34" t="s">
        <v>3574</v>
      </c>
      <c r="G573" s="26">
        <v>0.16300000000000001</v>
      </c>
      <c r="H573" s="1" t="s">
        <v>774</v>
      </c>
      <c r="I573" s="9">
        <v>100</v>
      </c>
      <c r="J573" s="36">
        <v>0.06</v>
      </c>
    </row>
    <row r="574" spans="2:10" s="44" customFormat="1" x14ac:dyDescent="0.35">
      <c r="B574" s="9">
        <v>1146041</v>
      </c>
      <c r="C574" s="5" t="s">
        <v>1147</v>
      </c>
      <c r="D574" s="5" t="s">
        <v>3565</v>
      </c>
      <c r="E574" s="5" t="s">
        <v>924</v>
      </c>
      <c r="F574" s="34" t="s">
        <v>3574</v>
      </c>
      <c r="G574" s="26">
        <v>0.439</v>
      </c>
      <c r="H574" s="1" t="s">
        <v>774</v>
      </c>
      <c r="I574" s="9">
        <v>100</v>
      </c>
      <c r="J574" s="36">
        <v>0.06</v>
      </c>
    </row>
    <row r="575" spans="2:10" s="44" customFormat="1" x14ac:dyDescent="0.35">
      <c r="B575" s="9">
        <v>1146042</v>
      </c>
      <c r="C575" s="5" t="s">
        <v>1152</v>
      </c>
      <c r="D575" s="5" t="s">
        <v>3565</v>
      </c>
      <c r="E575" s="5" t="s">
        <v>924</v>
      </c>
      <c r="F575" s="34" t="s">
        <v>3574</v>
      </c>
      <c r="G575" s="26">
        <v>0.17</v>
      </c>
      <c r="H575" s="1" t="s">
        <v>774</v>
      </c>
      <c r="I575" s="9">
        <v>100</v>
      </c>
      <c r="J575" s="36">
        <v>0.06</v>
      </c>
    </row>
    <row r="576" spans="2:10" s="44" customFormat="1" x14ac:dyDescent="0.35">
      <c r="B576" s="9">
        <v>1146043</v>
      </c>
      <c r="C576" s="5" t="s">
        <v>1153</v>
      </c>
      <c r="D576" s="5" t="s">
        <v>3565</v>
      </c>
      <c r="E576" s="5">
        <v>1235745</v>
      </c>
      <c r="F576" s="34" t="s">
        <v>3574</v>
      </c>
      <c r="G576" s="26">
        <v>0.16600000000000001</v>
      </c>
      <c r="H576" s="1" t="s">
        <v>774</v>
      </c>
      <c r="I576" s="9">
        <v>100</v>
      </c>
      <c r="J576" s="36">
        <v>0.06</v>
      </c>
    </row>
    <row r="577" spans="2:10" s="44" customFormat="1" x14ac:dyDescent="0.35">
      <c r="B577" s="9">
        <v>1146044</v>
      </c>
      <c r="C577" s="5" t="s">
        <v>1844</v>
      </c>
      <c r="D577" s="5" t="s">
        <v>3565</v>
      </c>
      <c r="E577" s="5" t="s">
        <v>2176</v>
      </c>
      <c r="F577" s="34" t="s">
        <v>3574</v>
      </c>
      <c r="G577" s="26">
        <v>0.26300000000000001</v>
      </c>
      <c r="H577" s="1" t="s">
        <v>774</v>
      </c>
      <c r="I577" s="9">
        <v>100</v>
      </c>
      <c r="J577" s="36">
        <v>0.06</v>
      </c>
    </row>
    <row r="578" spans="2:10" s="44" customFormat="1" x14ac:dyDescent="0.35">
      <c r="B578" s="9">
        <v>1146045</v>
      </c>
      <c r="C578" s="5" t="s">
        <v>1155</v>
      </c>
      <c r="D578" s="5" t="s">
        <v>3565</v>
      </c>
      <c r="E578" s="5" t="s">
        <v>924</v>
      </c>
      <c r="F578" s="34" t="s">
        <v>3574</v>
      </c>
      <c r="G578" s="26">
        <v>0.23300000000000001</v>
      </c>
      <c r="H578" s="1" t="s">
        <v>774</v>
      </c>
      <c r="I578" s="9">
        <v>100</v>
      </c>
      <c r="J578" s="36">
        <v>0.06</v>
      </c>
    </row>
    <row r="579" spans="2:10" s="44" customFormat="1" x14ac:dyDescent="0.35">
      <c r="B579" s="9">
        <v>1146046</v>
      </c>
      <c r="C579" s="5" t="s">
        <v>1157</v>
      </c>
      <c r="D579" s="5" t="s">
        <v>3565</v>
      </c>
      <c r="E579" s="5" t="s">
        <v>1033</v>
      </c>
      <c r="F579" s="34" t="s">
        <v>3574</v>
      </c>
      <c r="G579" s="26">
        <v>0.21700000000000003</v>
      </c>
      <c r="H579" s="1" t="s">
        <v>774</v>
      </c>
      <c r="I579" s="9">
        <v>100</v>
      </c>
      <c r="J579" s="36">
        <v>0.06</v>
      </c>
    </row>
    <row r="580" spans="2:10" s="44" customFormat="1" x14ac:dyDescent="0.35">
      <c r="B580" s="9">
        <v>1146050</v>
      </c>
      <c r="C580" s="5" t="s">
        <v>880</v>
      </c>
      <c r="D580" s="5" t="s">
        <v>3565</v>
      </c>
      <c r="E580" s="5" t="s">
        <v>879</v>
      </c>
      <c r="F580" s="34" t="s">
        <v>3574</v>
      </c>
      <c r="G580" s="26">
        <v>0.26500000000000001</v>
      </c>
      <c r="H580" s="1" t="s">
        <v>774</v>
      </c>
      <c r="I580" s="9">
        <v>100</v>
      </c>
      <c r="J580" s="36">
        <v>0.06</v>
      </c>
    </row>
    <row r="581" spans="2:10" s="44" customFormat="1" x14ac:dyDescent="0.35">
      <c r="B581" s="9">
        <v>1146052</v>
      </c>
      <c r="C581" s="5" t="s">
        <v>1804</v>
      </c>
      <c r="D581" s="5" t="s">
        <v>3565</v>
      </c>
      <c r="E581" s="5" t="s">
        <v>879</v>
      </c>
      <c r="F581" s="34" t="s">
        <v>3574</v>
      </c>
      <c r="G581" s="26">
        <v>0.13500000000000001</v>
      </c>
      <c r="H581" s="1" t="s">
        <v>774</v>
      </c>
      <c r="I581" s="9">
        <v>100</v>
      </c>
      <c r="J581" s="36">
        <v>0.06</v>
      </c>
    </row>
    <row r="582" spans="2:10" s="44" customFormat="1" x14ac:dyDescent="0.35">
      <c r="B582" s="9">
        <v>1146054</v>
      </c>
      <c r="C582" s="5" t="s">
        <v>883</v>
      </c>
      <c r="D582" s="5" t="s">
        <v>3565</v>
      </c>
      <c r="E582" s="5" t="s">
        <v>879</v>
      </c>
      <c r="F582" s="34" t="s">
        <v>3574</v>
      </c>
      <c r="G582" s="26">
        <v>0.111</v>
      </c>
      <c r="H582" s="1" t="s">
        <v>774</v>
      </c>
      <c r="I582" s="9">
        <v>100</v>
      </c>
      <c r="J582" s="36">
        <v>0.06</v>
      </c>
    </row>
    <row r="583" spans="2:10" s="44" customFormat="1" x14ac:dyDescent="0.35">
      <c r="B583" s="9">
        <v>1146055</v>
      </c>
      <c r="C583" s="5" t="s">
        <v>887</v>
      </c>
      <c r="D583" s="5" t="s">
        <v>3565</v>
      </c>
      <c r="E583" s="5" t="s">
        <v>879</v>
      </c>
      <c r="F583" s="34" t="s">
        <v>3574</v>
      </c>
      <c r="G583" s="26">
        <v>6.5000000000000002E-2</v>
      </c>
      <c r="H583" s="1" t="s">
        <v>774</v>
      </c>
      <c r="I583" s="9">
        <v>100</v>
      </c>
      <c r="J583" s="36">
        <v>0.06</v>
      </c>
    </row>
    <row r="584" spans="2:10" s="44" customFormat="1" x14ac:dyDescent="0.35">
      <c r="B584" s="9">
        <v>1146063</v>
      </c>
      <c r="C584" s="5" t="s">
        <v>904</v>
      </c>
      <c r="D584" s="5" t="s">
        <v>3565</v>
      </c>
      <c r="E584" s="5" t="s">
        <v>879</v>
      </c>
      <c r="F584" s="34" t="s">
        <v>3574</v>
      </c>
      <c r="G584" s="26">
        <v>0.126</v>
      </c>
      <c r="H584" s="1" t="s">
        <v>774</v>
      </c>
      <c r="I584" s="9">
        <v>100</v>
      </c>
      <c r="J584" s="36">
        <v>0.06</v>
      </c>
    </row>
    <row r="585" spans="2:10" s="44" customFormat="1" x14ac:dyDescent="0.35">
      <c r="B585" s="9">
        <v>1146067</v>
      </c>
      <c r="C585" s="5" t="s">
        <v>1732</v>
      </c>
      <c r="D585" s="5" t="s">
        <v>3565</v>
      </c>
      <c r="E585" s="5" t="s">
        <v>879</v>
      </c>
      <c r="F585" s="34" t="s">
        <v>3574</v>
      </c>
      <c r="G585" s="26">
        <v>0.45200000000000001</v>
      </c>
      <c r="H585" s="1" t="s">
        <v>774</v>
      </c>
      <c r="I585" s="9">
        <v>100</v>
      </c>
      <c r="J585" s="36">
        <v>0.06</v>
      </c>
    </row>
    <row r="586" spans="2:10" s="44" customFormat="1" x14ac:dyDescent="0.35">
      <c r="B586" s="9">
        <v>1146070</v>
      </c>
      <c r="C586" s="5" t="s">
        <v>922</v>
      </c>
      <c r="D586" s="5" t="s">
        <v>3565</v>
      </c>
      <c r="E586" s="5">
        <v>1080407</v>
      </c>
      <c r="F586" s="34" t="s">
        <v>3574</v>
      </c>
      <c r="G586" s="26">
        <v>0.29200000000000004</v>
      </c>
      <c r="H586" s="1" t="s">
        <v>774</v>
      </c>
      <c r="I586" s="9">
        <v>100</v>
      </c>
      <c r="J586" s="36">
        <v>0.06</v>
      </c>
    </row>
    <row r="587" spans="2:10" s="44" customFormat="1" x14ac:dyDescent="0.35">
      <c r="B587" s="9">
        <v>1146072</v>
      </c>
      <c r="C587" s="5" t="s">
        <v>1844</v>
      </c>
      <c r="D587" s="5" t="s">
        <v>3565</v>
      </c>
      <c r="E587" s="5" t="s">
        <v>1990</v>
      </c>
      <c r="F587" s="34" t="s">
        <v>3574</v>
      </c>
      <c r="G587" s="26">
        <v>0.126</v>
      </c>
      <c r="H587" s="1" t="s">
        <v>774</v>
      </c>
      <c r="I587" s="9">
        <v>100</v>
      </c>
      <c r="J587" s="36">
        <v>0.06</v>
      </c>
    </row>
    <row r="588" spans="2:10" s="44" customFormat="1" x14ac:dyDescent="0.35">
      <c r="B588" s="9">
        <v>1146074</v>
      </c>
      <c r="C588" s="5" t="s">
        <v>1165</v>
      </c>
      <c r="D588" s="5" t="s">
        <v>3565</v>
      </c>
      <c r="E588" s="5">
        <v>1236032</v>
      </c>
      <c r="F588" s="34" t="s">
        <v>3574</v>
      </c>
      <c r="G588" s="26">
        <v>0.76300000000000001</v>
      </c>
      <c r="H588" s="1" t="s">
        <v>774</v>
      </c>
      <c r="I588" s="9">
        <v>100</v>
      </c>
      <c r="J588" s="36">
        <v>0.06</v>
      </c>
    </row>
    <row r="589" spans="2:10" s="44" customFormat="1" x14ac:dyDescent="0.35">
      <c r="B589" s="9">
        <v>1146075</v>
      </c>
      <c r="C589" s="5" t="s">
        <v>3386</v>
      </c>
      <c r="D589" s="5" t="s">
        <v>3565</v>
      </c>
      <c r="E589" s="5" t="s">
        <v>3387</v>
      </c>
      <c r="F589" s="34" t="s">
        <v>3574</v>
      </c>
      <c r="G589" s="26">
        <v>0.85</v>
      </c>
      <c r="H589" s="1" t="s">
        <v>774</v>
      </c>
      <c r="I589" s="9">
        <v>100</v>
      </c>
      <c r="J589" s="36">
        <v>0.06</v>
      </c>
    </row>
    <row r="590" spans="2:10" s="44" customFormat="1" x14ac:dyDescent="0.35">
      <c r="B590" s="9">
        <v>1146078</v>
      </c>
      <c r="C590" s="5" t="s">
        <v>1844</v>
      </c>
      <c r="D590" s="5" t="s">
        <v>3565</v>
      </c>
      <c r="E590" s="5" t="s">
        <v>2319</v>
      </c>
      <c r="F590" s="34" t="s">
        <v>3574</v>
      </c>
      <c r="G590" s="26">
        <v>1.365</v>
      </c>
      <c r="H590" s="1" t="s">
        <v>774</v>
      </c>
      <c r="I590" s="9">
        <v>100</v>
      </c>
      <c r="J590" s="36">
        <v>0.06</v>
      </c>
    </row>
    <row r="591" spans="2:10" s="44" customFormat="1" x14ac:dyDescent="0.35">
      <c r="B591" s="9">
        <v>1146079</v>
      </c>
      <c r="C591" s="5" t="s">
        <v>1844</v>
      </c>
      <c r="D591" s="5" t="s">
        <v>3565</v>
      </c>
      <c r="E591" s="5" t="s">
        <v>2055</v>
      </c>
      <c r="F591" s="34" t="s">
        <v>3574</v>
      </c>
      <c r="G591" s="26">
        <v>1.05</v>
      </c>
      <c r="H591" s="1" t="s">
        <v>774</v>
      </c>
      <c r="I591" s="9">
        <v>100</v>
      </c>
      <c r="J591" s="36">
        <v>0.06</v>
      </c>
    </row>
    <row r="592" spans="2:10" s="44" customFormat="1" x14ac:dyDescent="0.35">
      <c r="B592" s="9">
        <v>1146095</v>
      </c>
      <c r="C592" s="5" t="s">
        <v>1151</v>
      </c>
      <c r="D592" s="5" t="s">
        <v>3565</v>
      </c>
      <c r="E592" s="5" t="s">
        <v>924</v>
      </c>
      <c r="F592" s="34" t="s">
        <v>3574</v>
      </c>
      <c r="G592" s="26">
        <v>9.9000000000000005E-2</v>
      </c>
      <c r="H592" s="1" t="s">
        <v>774</v>
      </c>
      <c r="I592" s="9">
        <v>100</v>
      </c>
      <c r="J592" s="36">
        <v>0.06</v>
      </c>
    </row>
    <row r="593" spans="2:10" s="44" customFormat="1" x14ac:dyDescent="0.35">
      <c r="B593" s="9">
        <v>1146098</v>
      </c>
      <c r="C593" s="5" t="s">
        <v>1156</v>
      </c>
      <c r="D593" s="5" t="s">
        <v>3565</v>
      </c>
      <c r="E593" s="5" t="s">
        <v>924</v>
      </c>
      <c r="F593" s="34" t="s">
        <v>3574</v>
      </c>
      <c r="G593" s="26">
        <v>0.308</v>
      </c>
      <c r="H593" s="1" t="s">
        <v>774</v>
      </c>
      <c r="I593" s="9">
        <v>100</v>
      </c>
      <c r="J593" s="36">
        <v>0.06</v>
      </c>
    </row>
    <row r="594" spans="2:10" s="44" customFormat="1" x14ac:dyDescent="0.35">
      <c r="B594" s="9">
        <v>1146099</v>
      </c>
      <c r="C594" s="5" t="s">
        <v>2647</v>
      </c>
      <c r="D594" s="5" t="s">
        <v>3565</v>
      </c>
      <c r="E594" s="5" t="s">
        <v>2648</v>
      </c>
      <c r="F594" s="34" t="s">
        <v>3574</v>
      </c>
      <c r="G594" s="26">
        <v>0.28900000000000003</v>
      </c>
      <c r="H594" s="1" t="s">
        <v>774</v>
      </c>
      <c r="I594" s="9">
        <v>100</v>
      </c>
      <c r="J594" s="36">
        <v>0.06</v>
      </c>
    </row>
    <row r="595" spans="2:10" s="44" customFormat="1" x14ac:dyDescent="0.35">
      <c r="B595" s="9">
        <v>1146116</v>
      </c>
      <c r="C595" s="5" t="s">
        <v>1554</v>
      </c>
      <c r="D595" s="5" t="s">
        <v>3565</v>
      </c>
      <c r="E595" s="5" t="s">
        <v>1052</v>
      </c>
      <c r="F595" s="34" t="s">
        <v>3574</v>
      </c>
      <c r="G595" s="26">
        <v>1.482</v>
      </c>
      <c r="H595" s="1" t="s">
        <v>774</v>
      </c>
      <c r="I595" s="9">
        <v>100</v>
      </c>
      <c r="J595" s="36">
        <v>0.06</v>
      </c>
    </row>
    <row r="596" spans="2:10" s="44" customFormat="1" x14ac:dyDescent="0.35">
      <c r="B596" s="9">
        <v>1146122</v>
      </c>
      <c r="C596" s="5" t="s">
        <v>1928</v>
      </c>
      <c r="D596" s="5" t="s">
        <v>3565</v>
      </c>
      <c r="E596" s="5" t="s">
        <v>868</v>
      </c>
      <c r="F596" s="34" t="s">
        <v>3574</v>
      </c>
      <c r="G596" s="26">
        <v>0.29399999999999998</v>
      </c>
      <c r="H596" s="1" t="s">
        <v>774</v>
      </c>
      <c r="I596" s="9">
        <v>100</v>
      </c>
      <c r="J596" s="36">
        <v>0.06</v>
      </c>
    </row>
    <row r="597" spans="2:10" s="44" customFormat="1" x14ac:dyDescent="0.35">
      <c r="B597" s="9">
        <v>1146123</v>
      </c>
      <c r="C597" s="5" t="s">
        <v>1948</v>
      </c>
      <c r="D597" s="5" t="s">
        <v>3565</v>
      </c>
      <c r="E597" s="5" t="s">
        <v>868</v>
      </c>
      <c r="F597" s="34" t="s">
        <v>3574</v>
      </c>
      <c r="G597" s="26">
        <v>0.26800000000000002</v>
      </c>
      <c r="H597" s="1" t="s">
        <v>774</v>
      </c>
      <c r="I597" s="9">
        <v>100</v>
      </c>
      <c r="J597" s="36">
        <v>0.06</v>
      </c>
    </row>
    <row r="598" spans="2:10" s="44" customFormat="1" x14ac:dyDescent="0.35">
      <c r="B598" s="9">
        <v>1146124</v>
      </c>
      <c r="C598" s="5" t="s">
        <v>867</v>
      </c>
      <c r="D598" s="5" t="s">
        <v>3565</v>
      </c>
      <c r="E598" s="5" t="s">
        <v>868</v>
      </c>
      <c r="F598" s="34" t="s">
        <v>3574</v>
      </c>
      <c r="G598" s="26">
        <v>0.55899999999999994</v>
      </c>
      <c r="H598" s="1" t="s">
        <v>774</v>
      </c>
      <c r="I598" s="9">
        <v>100</v>
      </c>
      <c r="J598" s="36">
        <v>0.06</v>
      </c>
    </row>
    <row r="599" spans="2:10" s="44" customFormat="1" x14ac:dyDescent="0.35">
      <c r="B599" s="9">
        <v>1146125</v>
      </c>
      <c r="C599" s="5" t="s">
        <v>2070</v>
      </c>
      <c r="D599" s="5" t="s">
        <v>3565</v>
      </c>
      <c r="E599" s="5" t="s">
        <v>2289</v>
      </c>
      <c r="F599" s="34" t="s">
        <v>3574</v>
      </c>
      <c r="G599" s="26">
        <v>0.66199999999999992</v>
      </c>
      <c r="H599" s="1" t="s">
        <v>774</v>
      </c>
      <c r="I599" s="9">
        <v>100</v>
      </c>
      <c r="J599" s="36">
        <v>0.06</v>
      </c>
    </row>
    <row r="600" spans="2:10" s="44" customFormat="1" x14ac:dyDescent="0.35">
      <c r="B600" s="9">
        <v>1146128</v>
      </c>
      <c r="C600" s="5" t="s">
        <v>1168</v>
      </c>
      <c r="D600" s="5" t="s">
        <v>3565</v>
      </c>
      <c r="E600" s="5">
        <v>1236989</v>
      </c>
      <c r="F600" s="34" t="s">
        <v>3574</v>
      </c>
      <c r="G600" s="26">
        <v>0.309</v>
      </c>
      <c r="H600" s="1" t="s">
        <v>774</v>
      </c>
      <c r="I600" s="9">
        <v>100</v>
      </c>
      <c r="J600" s="36">
        <v>0.06</v>
      </c>
    </row>
    <row r="601" spans="2:10" s="44" customFormat="1" x14ac:dyDescent="0.35">
      <c r="B601" s="9">
        <v>1146129</v>
      </c>
      <c r="C601" s="5" t="s">
        <v>2707</v>
      </c>
      <c r="D601" s="5" t="s">
        <v>3565</v>
      </c>
      <c r="E601" s="5" t="s">
        <v>2708</v>
      </c>
      <c r="F601" s="34" t="s">
        <v>3574</v>
      </c>
      <c r="G601" s="26">
        <v>0.48300000000000004</v>
      </c>
      <c r="H601" s="1" t="s">
        <v>774</v>
      </c>
      <c r="I601" s="9">
        <v>100</v>
      </c>
      <c r="J601" s="36">
        <v>0.06</v>
      </c>
    </row>
    <row r="602" spans="2:10" s="44" customFormat="1" x14ac:dyDescent="0.35">
      <c r="B602" s="9">
        <v>1146131</v>
      </c>
      <c r="C602" s="5" t="s">
        <v>2337</v>
      </c>
      <c r="D602" s="5" t="s">
        <v>3565</v>
      </c>
      <c r="E602" s="5" t="s">
        <v>2339</v>
      </c>
      <c r="F602" s="34" t="s">
        <v>3574</v>
      </c>
      <c r="G602" s="26">
        <v>0.16300000000000001</v>
      </c>
      <c r="H602" s="1" t="s">
        <v>774</v>
      </c>
      <c r="I602" s="9">
        <v>100</v>
      </c>
      <c r="J602" s="36">
        <v>0.06</v>
      </c>
    </row>
    <row r="603" spans="2:10" s="44" customFormat="1" x14ac:dyDescent="0.35">
      <c r="B603" s="9">
        <v>1146133</v>
      </c>
      <c r="C603" s="5" t="s">
        <v>2337</v>
      </c>
      <c r="D603" s="5" t="s">
        <v>3565</v>
      </c>
      <c r="E603" s="5" t="s">
        <v>2338</v>
      </c>
      <c r="F603" s="34" t="s">
        <v>3574</v>
      </c>
      <c r="G603" s="26">
        <v>0.128</v>
      </c>
      <c r="H603" s="1" t="s">
        <v>774</v>
      </c>
      <c r="I603" s="9">
        <v>100</v>
      </c>
      <c r="J603" s="36">
        <v>0.06</v>
      </c>
    </row>
    <row r="604" spans="2:10" s="44" customFormat="1" x14ac:dyDescent="0.35">
      <c r="B604" s="9">
        <v>1146142</v>
      </c>
      <c r="C604" s="5" t="s">
        <v>1164</v>
      </c>
      <c r="D604" s="5" t="s">
        <v>3565</v>
      </c>
      <c r="E604" s="5" t="s">
        <v>924</v>
      </c>
      <c r="F604" s="34" t="s">
        <v>3574</v>
      </c>
      <c r="G604" s="26">
        <v>0.255</v>
      </c>
      <c r="H604" s="1" t="s">
        <v>774</v>
      </c>
      <c r="I604" s="9">
        <v>100</v>
      </c>
      <c r="J604" s="36">
        <v>0.06</v>
      </c>
    </row>
    <row r="605" spans="2:10" s="44" customFormat="1" x14ac:dyDescent="0.35">
      <c r="B605" s="9">
        <v>1146144</v>
      </c>
      <c r="C605" s="5" t="s">
        <v>1034</v>
      </c>
      <c r="D605" s="5" t="s">
        <v>3565</v>
      </c>
      <c r="E605" s="5">
        <v>1169815</v>
      </c>
      <c r="F605" s="34" t="s">
        <v>3574</v>
      </c>
      <c r="G605" s="26">
        <v>1.5959999999999999</v>
      </c>
      <c r="H605" s="1" t="s">
        <v>774</v>
      </c>
      <c r="I605" s="9">
        <v>100</v>
      </c>
      <c r="J605" s="36">
        <v>0.06</v>
      </c>
    </row>
    <row r="606" spans="2:10" s="44" customFormat="1" x14ac:dyDescent="0.35">
      <c r="B606" s="9">
        <v>1146148</v>
      </c>
      <c r="C606" s="5" t="s">
        <v>3091</v>
      </c>
      <c r="D606" s="5" t="s">
        <v>3565</v>
      </c>
      <c r="E606" s="5" t="s">
        <v>3092</v>
      </c>
      <c r="F606" s="34" t="s">
        <v>3574</v>
      </c>
      <c r="G606" s="26">
        <v>0.55000000000000004</v>
      </c>
      <c r="H606" s="1" t="s">
        <v>774</v>
      </c>
      <c r="I606" s="9">
        <v>100</v>
      </c>
      <c r="J606" s="36">
        <v>0.06</v>
      </c>
    </row>
    <row r="607" spans="2:10" s="44" customFormat="1" x14ac:dyDescent="0.35">
      <c r="B607" s="9">
        <v>1146154</v>
      </c>
      <c r="C607" s="5" t="s">
        <v>2796</v>
      </c>
      <c r="D607" s="5" t="s">
        <v>3565</v>
      </c>
      <c r="E607" s="5" t="s">
        <v>2797</v>
      </c>
      <c r="F607" s="34" t="s">
        <v>3574</v>
      </c>
      <c r="G607" s="26">
        <v>0.38700000000000001</v>
      </c>
      <c r="H607" s="1" t="s">
        <v>774</v>
      </c>
      <c r="I607" s="9">
        <v>100</v>
      </c>
      <c r="J607" s="36">
        <v>0.06</v>
      </c>
    </row>
    <row r="608" spans="2:10" s="44" customFormat="1" x14ac:dyDescent="0.35">
      <c r="B608" s="9">
        <v>1146157</v>
      </c>
      <c r="C608" s="5" t="s">
        <v>2390</v>
      </c>
      <c r="D608" s="5" t="s">
        <v>3565</v>
      </c>
      <c r="E608" s="5" t="s">
        <v>2391</v>
      </c>
      <c r="F608" s="34" t="s">
        <v>3574</v>
      </c>
      <c r="G608" s="26">
        <v>0.21</v>
      </c>
      <c r="H608" s="1" t="s">
        <v>774</v>
      </c>
      <c r="I608" s="9">
        <v>100</v>
      </c>
      <c r="J608" s="36">
        <v>0.06</v>
      </c>
    </row>
    <row r="609" spans="2:10" s="44" customFormat="1" x14ac:dyDescent="0.35">
      <c r="B609" s="9">
        <v>1146159</v>
      </c>
      <c r="C609" s="5" t="s">
        <v>2382</v>
      </c>
      <c r="D609" s="5" t="s">
        <v>3565</v>
      </c>
      <c r="E609" s="5" t="s">
        <v>2383</v>
      </c>
      <c r="F609" s="34" t="s">
        <v>3574</v>
      </c>
      <c r="G609" s="26">
        <v>0.21</v>
      </c>
      <c r="H609" s="1" t="s">
        <v>774</v>
      </c>
      <c r="I609" s="9">
        <v>100</v>
      </c>
      <c r="J609" s="36">
        <v>0.06</v>
      </c>
    </row>
    <row r="610" spans="2:10" s="44" customFormat="1" x14ac:dyDescent="0.35">
      <c r="B610" s="9">
        <v>1146169</v>
      </c>
      <c r="C610" s="5" t="s">
        <v>2207</v>
      </c>
      <c r="D610" s="5" t="s">
        <v>3565</v>
      </c>
      <c r="E610" s="5" t="s">
        <v>2208</v>
      </c>
      <c r="F610" s="34" t="s">
        <v>3574</v>
      </c>
      <c r="G610" s="26">
        <v>0.13699999999999998</v>
      </c>
      <c r="H610" s="1" t="s">
        <v>774</v>
      </c>
      <c r="I610" s="9">
        <v>100</v>
      </c>
      <c r="J610" s="36">
        <v>0.06</v>
      </c>
    </row>
    <row r="611" spans="2:10" s="44" customFormat="1" x14ac:dyDescent="0.35">
      <c r="B611" s="9">
        <v>1146170</v>
      </c>
      <c r="C611" s="5" t="s">
        <v>2380</v>
      </c>
      <c r="D611" s="5" t="s">
        <v>3565</v>
      </c>
      <c r="E611" s="5" t="s">
        <v>2381</v>
      </c>
      <c r="F611" s="34" t="s">
        <v>3574</v>
      </c>
      <c r="G611" s="26">
        <v>0.126</v>
      </c>
      <c r="H611" s="1" t="s">
        <v>774</v>
      </c>
      <c r="I611" s="9">
        <v>100</v>
      </c>
      <c r="J611" s="36">
        <v>0.06</v>
      </c>
    </row>
    <row r="612" spans="2:10" s="44" customFormat="1" x14ac:dyDescent="0.35">
      <c r="B612" s="9">
        <v>1146172</v>
      </c>
      <c r="C612" s="5" t="s">
        <v>2080</v>
      </c>
      <c r="D612" s="5" t="s">
        <v>3565</v>
      </c>
      <c r="E612" s="5" t="s">
        <v>2081</v>
      </c>
      <c r="F612" s="34" t="s">
        <v>3574</v>
      </c>
      <c r="G612" s="26">
        <v>0.27300000000000002</v>
      </c>
      <c r="H612" s="1" t="s">
        <v>774</v>
      </c>
      <c r="I612" s="9">
        <v>100</v>
      </c>
      <c r="J612" s="36">
        <v>0.06</v>
      </c>
    </row>
    <row r="613" spans="2:10" s="44" customFormat="1" x14ac:dyDescent="0.35">
      <c r="B613" s="9">
        <v>1146173</v>
      </c>
      <c r="C613" s="5" t="s">
        <v>865</v>
      </c>
      <c r="D613" s="5" t="s">
        <v>3565</v>
      </c>
      <c r="E613" s="5" t="s">
        <v>866</v>
      </c>
      <c r="F613" s="34" t="s">
        <v>3574</v>
      </c>
      <c r="G613" s="26">
        <v>0.48299999999999998</v>
      </c>
      <c r="H613" s="1" t="s">
        <v>774</v>
      </c>
      <c r="I613" s="9">
        <v>100</v>
      </c>
      <c r="J613" s="36">
        <v>0.06</v>
      </c>
    </row>
    <row r="614" spans="2:10" s="44" customFormat="1" x14ac:dyDescent="0.35">
      <c r="B614" s="9">
        <v>1146174</v>
      </c>
      <c r="C614" s="5" t="s">
        <v>2744</v>
      </c>
      <c r="D614" s="5" t="s">
        <v>3565</v>
      </c>
      <c r="E614" s="5" t="s">
        <v>2745</v>
      </c>
      <c r="F614" s="34" t="s">
        <v>3574</v>
      </c>
      <c r="G614" s="26">
        <v>0.161</v>
      </c>
      <c r="H614" s="1" t="s">
        <v>774</v>
      </c>
      <c r="I614" s="9">
        <v>100</v>
      </c>
      <c r="J614" s="36">
        <v>0.06</v>
      </c>
    </row>
    <row r="615" spans="2:10" s="44" customFormat="1" x14ac:dyDescent="0.35">
      <c r="B615" s="9">
        <v>1146175</v>
      </c>
      <c r="C615" s="5" t="s">
        <v>2111</v>
      </c>
      <c r="D615" s="5" t="s">
        <v>3565</v>
      </c>
      <c r="E615" s="5" t="s">
        <v>2112</v>
      </c>
      <c r="F615" s="34" t="s">
        <v>3574</v>
      </c>
      <c r="G615" s="26">
        <v>0.29399999999999998</v>
      </c>
      <c r="H615" s="1" t="s">
        <v>774</v>
      </c>
      <c r="I615" s="9">
        <v>100</v>
      </c>
      <c r="J615" s="36">
        <v>0.06</v>
      </c>
    </row>
    <row r="616" spans="2:10" s="44" customFormat="1" x14ac:dyDescent="0.35">
      <c r="B616" s="9">
        <v>1146176</v>
      </c>
      <c r="C616" s="5" t="s">
        <v>1132</v>
      </c>
      <c r="D616" s="5" t="s">
        <v>3565</v>
      </c>
      <c r="E616" s="5" t="s">
        <v>1133</v>
      </c>
      <c r="F616" s="34" t="s">
        <v>3574</v>
      </c>
      <c r="G616" s="26">
        <v>0.23499999999999999</v>
      </c>
      <c r="H616" s="1" t="s">
        <v>774</v>
      </c>
      <c r="I616" s="9">
        <v>100</v>
      </c>
      <c r="J616" s="36">
        <v>0.06</v>
      </c>
    </row>
    <row r="617" spans="2:10" s="44" customFormat="1" x14ac:dyDescent="0.35">
      <c r="B617" s="9">
        <v>1146177</v>
      </c>
      <c r="C617" s="5" t="s">
        <v>2435</v>
      </c>
      <c r="D617" s="5" t="s">
        <v>3565</v>
      </c>
      <c r="E617" s="5" t="s">
        <v>2436</v>
      </c>
      <c r="F617" s="34" t="s">
        <v>3574</v>
      </c>
      <c r="G617" s="26">
        <v>0.37799999999999995</v>
      </c>
      <c r="H617" s="1" t="s">
        <v>774</v>
      </c>
      <c r="I617" s="9">
        <v>100</v>
      </c>
      <c r="J617" s="36">
        <v>0.06</v>
      </c>
    </row>
    <row r="618" spans="2:10" s="44" customFormat="1" x14ac:dyDescent="0.35">
      <c r="B618" s="9">
        <v>1146178</v>
      </c>
      <c r="C618" s="5" t="s">
        <v>2554</v>
      </c>
      <c r="D618" s="5" t="s">
        <v>3565</v>
      </c>
      <c r="E618" s="5" t="s">
        <v>2555</v>
      </c>
      <c r="F618" s="34" t="s">
        <v>3574</v>
      </c>
      <c r="G618" s="26">
        <v>0.61799999999999999</v>
      </c>
      <c r="H618" s="1" t="s">
        <v>774</v>
      </c>
      <c r="I618" s="9">
        <v>100</v>
      </c>
      <c r="J618" s="36">
        <v>0.06</v>
      </c>
    </row>
    <row r="619" spans="2:10" s="44" customFormat="1" x14ac:dyDescent="0.35">
      <c r="B619" s="9">
        <v>1146179</v>
      </c>
      <c r="C619" s="5" t="s">
        <v>2068</v>
      </c>
      <c r="D619" s="5" t="s">
        <v>3565</v>
      </c>
      <c r="E619" s="5" t="s">
        <v>2069</v>
      </c>
      <c r="F619" s="34" t="s">
        <v>3574</v>
      </c>
      <c r="G619" s="26">
        <v>0.315</v>
      </c>
      <c r="H619" s="1" t="s">
        <v>774</v>
      </c>
      <c r="I619" s="9">
        <v>100</v>
      </c>
      <c r="J619" s="36">
        <v>0.06</v>
      </c>
    </row>
    <row r="620" spans="2:10" s="44" customFormat="1" x14ac:dyDescent="0.35">
      <c r="B620" s="9">
        <v>1146190</v>
      </c>
      <c r="C620" s="5" t="s">
        <v>1844</v>
      </c>
      <c r="D620" s="5" t="s">
        <v>3565</v>
      </c>
      <c r="E620" s="5" t="s">
        <v>2318</v>
      </c>
      <c r="F620" s="34" t="s">
        <v>3574</v>
      </c>
      <c r="G620" s="26">
        <v>1.365</v>
      </c>
      <c r="H620" s="1" t="s">
        <v>774</v>
      </c>
      <c r="I620" s="9">
        <v>100</v>
      </c>
      <c r="J620" s="36">
        <v>0.06</v>
      </c>
    </row>
    <row r="621" spans="2:10" s="44" customFormat="1" x14ac:dyDescent="0.35">
      <c r="B621" s="9">
        <v>1146192</v>
      </c>
      <c r="C621" s="5" t="s">
        <v>869</v>
      </c>
      <c r="D621" s="5" t="s">
        <v>3565</v>
      </c>
      <c r="E621" s="5" t="s">
        <v>868</v>
      </c>
      <c r="F621" s="34" t="s">
        <v>3574</v>
      </c>
      <c r="G621" s="26">
        <v>0.61699999999999999</v>
      </c>
      <c r="H621" s="1" t="s">
        <v>774</v>
      </c>
      <c r="I621" s="9">
        <v>100</v>
      </c>
      <c r="J621" s="36">
        <v>0.06</v>
      </c>
    </row>
    <row r="622" spans="2:10" s="44" customFormat="1" x14ac:dyDescent="0.35">
      <c r="B622" s="9">
        <v>1146193</v>
      </c>
      <c r="C622" s="5" t="s">
        <v>2998</v>
      </c>
      <c r="D622" s="5" t="s">
        <v>3565</v>
      </c>
      <c r="E622" s="5" t="s">
        <v>2999</v>
      </c>
      <c r="F622" s="34" t="s">
        <v>3574</v>
      </c>
      <c r="G622" s="26">
        <v>1.05</v>
      </c>
      <c r="H622" s="1" t="s">
        <v>774</v>
      </c>
      <c r="I622" s="9">
        <v>100</v>
      </c>
      <c r="J622" s="36">
        <v>0.06</v>
      </c>
    </row>
    <row r="623" spans="2:10" s="44" customFormat="1" x14ac:dyDescent="0.35">
      <c r="B623" s="9">
        <v>1146194</v>
      </c>
      <c r="C623" s="5" t="s">
        <v>2070</v>
      </c>
      <c r="D623" s="5" t="s">
        <v>3565</v>
      </c>
      <c r="E623" s="5" t="s">
        <v>2071</v>
      </c>
      <c r="F623" s="34" t="s">
        <v>3574</v>
      </c>
      <c r="G623" s="26">
        <v>0.65099999999999991</v>
      </c>
      <c r="H623" s="1" t="s">
        <v>774</v>
      </c>
      <c r="I623" s="9">
        <v>100</v>
      </c>
      <c r="J623" s="36">
        <v>0.06</v>
      </c>
    </row>
    <row r="624" spans="2:10" s="44" customFormat="1" x14ac:dyDescent="0.35">
      <c r="B624" s="9">
        <v>1146195</v>
      </c>
      <c r="C624" s="5" t="s">
        <v>2968</v>
      </c>
      <c r="D624" s="5" t="s">
        <v>3565</v>
      </c>
      <c r="E624" s="5" t="s">
        <v>2969</v>
      </c>
      <c r="F624" s="34" t="s">
        <v>3574</v>
      </c>
      <c r="G624" s="26">
        <v>1.236</v>
      </c>
      <c r="H624" s="1" t="s">
        <v>774</v>
      </c>
      <c r="I624" s="9">
        <v>100</v>
      </c>
      <c r="J624" s="36">
        <v>0.06</v>
      </c>
    </row>
    <row r="625" spans="2:10" s="44" customFormat="1" x14ac:dyDescent="0.35">
      <c r="B625" s="9">
        <v>1146202</v>
      </c>
      <c r="C625" s="5" t="s">
        <v>1811</v>
      </c>
      <c r="D625" s="5" t="s">
        <v>3565</v>
      </c>
      <c r="E625" s="5" t="s">
        <v>2316</v>
      </c>
      <c r="F625" s="34" t="s">
        <v>3574</v>
      </c>
      <c r="G625" s="26">
        <v>3.4649999999999999</v>
      </c>
      <c r="H625" s="1" t="s">
        <v>774</v>
      </c>
      <c r="I625" s="9">
        <v>100</v>
      </c>
      <c r="J625" s="36">
        <v>0.06</v>
      </c>
    </row>
    <row r="626" spans="2:10" s="44" customFormat="1" x14ac:dyDescent="0.35">
      <c r="B626" s="9">
        <v>1146212</v>
      </c>
      <c r="C626" s="5" t="s">
        <v>2670</v>
      </c>
      <c r="D626" s="5" t="s">
        <v>3565</v>
      </c>
      <c r="E626" s="5" t="s">
        <v>2671</v>
      </c>
      <c r="F626" s="34" t="s">
        <v>3574</v>
      </c>
      <c r="G626" s="26">
        <v>0.38200000000000001</v>
      </c>
      <c r="H626" s="1" t="s">
        <v>774</v>
      </c>
      <c r="I626" s="9">
        <v>100</v>
      </c>
      <c r="J626" s="36">
        <v>0.06</v>
      </c>
    </row>
    <row r="627" spans="2:10" s="44" customFormat="1" x14ac:dyDescent="0.35">
      <c r="B627" s="9">
        <v>1146213</v>
      </c>
      <c r="C627" s="5" t="s">
        <v>1828</v>
      </c>
      <c r="D627" s="5" t="s">
        <v>3565</v>
      </c>
      <c r="E627" s="5" t="s">
        <v>1846</v>
      </c>
      <c r="F627" s="34" t="s">
        <v>3574</v>
      </c>
      <c r="G627" s="26">
        <v>0.52500000000000002</v>
      </c>
      <c r="H627" s="1" t="s">
        <v>774</v>
      </c>
      <c r="I627" s="9">
        <v>100</v>
      </c>
      <c r="J627" s="36">
        <v>0.06</v>
      </c>
    </row>
    <row r="628" spans="2:10" s="44" customFormat="1" x14ac:dyDescent="0.35">
      <c r="B628" s="9">
        <v>1146221</v>
      </c>
      <c r="C628" s="5" t="s">
        <v>2441</v>
      </c>
      <c r="D628" s="5" t="s">
        <v>3565</v>
      </c>
      <c r="E628" s="5" t="s">
        <v>2442</v>
      </c>
      <c r="F628" s="34" t="s">
        <v>3574</v>
      </c>
      <c r="G628" s="26">
        <v>0.21</v>
      </c>
      <c r="H628" s="1" t="s">
        <v>774</v>
      </c>
      <c r="I628" s="9">
        <v>100</v>
      </c>
      <c r="J628" s="36">
        <v>0.06</v>
      </c>
    </row>
    <row r="629" spans="2:10" s="44" customFormat="1" x14ac:dyDescent="0.35">
      <c r="B629" s="9">
        <v>1146223</v>
      </c>
      <c r="C629" s="5" t="s">
        <v>1828</v>
      </c>
      <c r="D629" s="5" t="s">
        <v>3565</v>
      </c>
      <c r="E629" s="5" t="s">
        <v>1829</v>
      </c>
      <c r="F629" s="34" t="s">
        <v>3574</v>
      </c>
      <c r="G629" s="26">
        <v>0.26300000000000001</v>
      </c>
      <c r="H629" s="1" t="s">
        <v>774</v>
      </c>
      <c r="I629" s="9">
        <v>100</v>
      </c>
      <c r="J629" s="36">
        <v>0.06</v>
      </c>
    </row>
    <row r="630" spans="2:10" s="44" customFormat="1" x14ac:dyDescent="0.35">
      <c r="B630" s="9">
        <v>1146226</v>
      </c>
      <c r="C630" s="5" t="s">
        <v>1828</v>
      </c>
      <c r="D630" s="5" t="s">
        <v>3565</v>
      </c>
      <c r="E630" s="5" t="s">
        <v>2082</v>
      </c>
      <c r="F630" s="34" t="s">
        <v>3574</v>
      </c>
      <c r="G630" s="26">
        <v>0.315</v>
      </c>
      <c r="H630" s="1" t="s">
        <v>774</v>
      </c>
      <c r="I630" s="9">
        <v>100</v>
      </c>
      <c r="J630" s="36">
        <v>0.06</v>
      </c>
    </row>
    <row r="631" spans="2:10" s="44" customFormat="1" x14ac:dyDescent="0.35">
      <c r="B631" s="9">
        <v>1146227</v>
      </c>
      <c r="C631" s="5" t="s">
        <v>2659</v>
      </c>
      <c r="D631" s="5" t="s">
        <v>3565</v>
      </c>
      <c r="E631" s="5" t="s">
        <v>2689</v>
      </c>
      <c r="F631" s="34" t="s">
        <v>3574</v>
      </c>
      <c r="G631" s="26">
        <v>0.41200000000000003</v>
      </c>
      <c r="H631" s="1" t="s">
        <v>774</v>
      </c>
      <c r="I631" s="9">
        <v>100</v>
      </c>
      <c r="J631" s="36">
        <v>0.06</v>
      </c>
    </row>
    <row r="632" spans="2:10" s="44" customFormat="1" x14ac:dyDescent="0.35">
      <c r="B632" s="9">
        <v>1146240</v>
      </c>
      <c r="C632" s="5" t="s">
        <v>33</v>
      </c>
      <c r="D632" s="5" t="s">
        <v>3565</v>
      </c>
      <c r="E632" s="5" t="s">
        <v>34</v>
      </c>
      <c r="F632" s="34" t="s">
        <v>3574</v>
      </c>
      <c r="G632" s="26">
        <v>0.25</v>
      </c>
      <c r="H632" s="1" t="s">
        <v>774</v>
      </c>
      <c r="I632" s="9">
        <v>100</v>
      </c>
      <c r="J632" s="36">
        <v>0.06</v>
      </c>
    </row>
    <row r="633" spans="2:10" s="44" customFormat="1" x14ac:dyDescent="0.35">
      <c r="B633" s="9">
        <v>1146245</v>
      </c>
      <c r="C633" s="5" t="s">
        <v>1686</v>
      </c>
      <c r="D633" s="5" t="s">
        <v>3565</v>
      </c>
      <c r="E633" s="5" t="s">
        <v>1687</v>
      </c>
      <c r="F633" s="34" t="s">
        <v>3574</v>
      </c>
      <c r="G633" s="26">
        <v>0.33600000000000002</v>
      </c>
      <c r="H633" s="1" t="s">
        <v>774</v>
      </c>
      <c r="I633" s="9">
        <v>100</v>
      </c>
      <c r="J633" s="36">
        <v>0.06</v>
      </c>
    </row>
    <row r="634" spans="2:10" s="44" customFormat="1" x14ac:dyDescent="0.35">
      <c r="B634" s="9">
        <v>1146248</v>
      </c>
      <c r="C634" s="5" t="s">
        <v>1105</v>
      </c>
      <c r="D634" s="5" t="s">
        <v>3565</v>
      </c>
      <c r="E634" s="5" t="s">
        <v>963</v>
      </c>
      <c r="F634" s="34" t="s">
        <v>3574</v>
      </c>
      <c r="G634" s="26">
        <v>0.20499999999999999</v>
      </c>
      <c r="H634" s="1" t="s">
        <v>774</v>
      </c>
      <c r="I634" s="9">
        <v>100</v>
      </c>
      <c r="J634" s="36">
        <v>0.06</v>
      </c>
    </row>
    <row r="635" spans="2:10" s="44" customFormat="1" x14ac:dyDescent="0.35">
      <c r="B635" s="9">
        <v>1146251</v>
      </c>
      <c r="C635" s="5" t="s">
        <v>2139</v>
      </c>
      <c r="D635" s="5" t="s">
        <v>3565</v>
      </c>
      <c r="E635" s="5" t="s">
        <v>2140</v>
      </c>
      <c r="F635" s="34" t="s">
        <v>3574</v>
      </c>
      <c r="G635" s="26">
        <v>0.18899999999999997</v>
      </c>
      <c r="H635" s="1" t="s">
        <v>774</v>
      </c>
      <c r="I635" s="9">
        <v>100</v>
      </c>
      <c r="J635" s="36">
        <v>0.06</v>
      </c>
    </row>
    <row r="636" spans="2:10" s="44" customFormat="1" x14ac:dyDescent="0.35">
      <c r="B636" s="9">
        <v>1146278</v>
      </c>
      <c r="C636" s="5" t="s">
        <v>1673</v>
      </c>
      <c r="D636" s="5" t="s">
        <v>3565</v>
      </c>
      <c r="E636" s="5" t="s">
        <v>1674</v>
      </c>
      <c r="F636" s="34" t="s">
        <v>3574</v>
      </c>
      <c r="G636" s="26">
        <v>9.5000000000000001E-2</v>
      </c>
      <c r="H636" s="1" t="s">
        <v>774</v>
      </c>
      <c r="I636" s="9">
        <v>100</v>
      </c>
      <c r="J636" s="36">
        <v>0.06</v>
      </c>
    </row>
    <row r="637" spans="2:10" s="44" customFormat="1" x14ac:dyDescent="0.35">
      <c r="B637" s="9">
        <v>1146282</v>
      </c>
      <c r="C637" s="5" t="s">
        <v>1062</v>
      </c>
      <c r="D637" s="5" t="s">
        <v>3565</v>
      </c>
      <c r="E637" s="5" t="s">
        <v>1063</v>
      </c>
      <c r="F637" s="34" t="s">
        <v>3574</v>
      </c>
      <c r="G637" s="26">
        <v>0.105</v>
      </c>
      <c r="H637" s="1" t="s">
        <v>774</v>
      </c>
      <c r="I637" s="9">
        <v>100</v>
      </c>
      <c r="J637" s="36">
        <v>0.06</v>
      </c>
    </row>
    <row r="638" spans="2:10" s="44" customFormat="1" x14ac:dyDescent="0.35">
      <c r="B638" s="9">
        <v>1146283</v>
      </c>
      <c r="C638" s="5" t="s">
        <v>1098</v>
      </c>
      <c r="D638" s="5" t="s">
        <v>3565</v>
      </c>
      <c r="E638" s="5" t="s">
        <v>1099</v>
      </c>
      <c r="F638" s="34" t="s">
        <v>3574</v>
      </c>
      <c r="G638" s="26">
        <v>0.25</v>
      </c>
      <c r="H638" s="1" t="s">
        <v>774</v>
      </c>
      <c r="I638" s="9">
        <v>100</v>
      </c>
      <c r="J638" s="36">
        <v>0.06</v>
      </c>
    </row>
    <row r="639" spans="2:10" s="44" customFormat="1" x14ac:dyDescent="0.35">
      <c r="B639" s="9">
        <v>1146284</v>
      </c>
      <c r="C639" s="5" t="s">
        <v>36</v>
      </c>
      <c r="D639" s="5" t="s">
        <v>3565</v>
      </c>
      <c r="E639" s="5" t="s">
        <v>37</v>
      </c>
      <c r="F639" s="34" t="s">
        <v>3574</v>
      </c>
      <c r="G639" s="26">
        <v>0.126</v>
      </c>
      <c r="H639" s="1" t="s">
        <v>774</v>
      </c>
      <c r="I639" s="9">
        <v>100</v>
      </c>
      <c r="J639" s="36">
        <v>0.06</v>
      </c>
    </row>
    <row r="640" spans="2:10" s="44" customFormat="1" x14ac:dyDescent="0.35">
      <c r="B640" s="9">
        <v>1146287</v>
      </c>
      <c r="C640" s="5" t="s">
        <v>2746</v>
      </c>
      <c r="D640" s="5" t="s">
        <v>3565</v>
      </c>
      <c r="E640" s="5" t="s">
        <v>2747</v>
      </c>
      <c r="F640" s="34" t="s">
        <v>3574</v>
      </c>
      <c r="G640" s="26">
        <v>0.16500000000000001</v>
      </c>
      <c r="H640" s="1" t="s">
        <v>774</v>
      </c>
      <c r="I640" s="9">
        <v>100</v>
      </c>
      <c r="J640" s="36">
        <v>0.06</v>
      </c>
    </row>
    <row r="641" spans="2:10" s="44" customFormat="1" x14ac:dyDescent="0.35">
      <c r="B641" s="9">
        <v>1146290</v>
      </c>
      <c r="C641" s="5" t="s">
        <v>1692</v>
      </c>
      <c r="D641" s="5" t="s">
        <v>3565</v>
      </c>
      <c r="E641" s="5" t="s">
        <v>1693</v>
      </c>
      <c r="F641" s="34" t="s">
        <v>3574</v>
      </c>
      <c r="G641" s="26">
        <v>0.17900000000000002</v>
      </c>
      <c r="H641" s="1" t="s">
        <v>774</v>
      </c>
      <c r="I641" s="9">
        <v>100</v>
      </c>
      <c r="J641" s="36">
        <v>0.06</v>
      </c>
    </row>
    <row r="642" spans="2:10" s="44" customFormat="1" x14ac:dyDescent="0.35">
      <c r="B642" s="9">
        <v>1146292</v>
      </c>
      <c r="C642" s="5" t="s">
        <v>1694</v>
      </c>
      <c r="D642" s="5" t="s">
        <v>3565</v>
      </c>
      <c r="E642" s="5" t="s">
        <v>1687</v>
      </c>
      <c r="F642" s="34" t="s">
        <v>3574</v>
      </c>
      <c r="G642" s="26">
        <v>0.18</v>
      </c>
      <c r="H642" s="1" t="s">
        <v>774</v>
      </c>
      <c r="I642" s="9">
        <v>100</v>
      </c>
      <c r="J642" s="36">
        <v>0.06</v>
      </c>
    </row>
    <row r="643" spans="2:10" s="44" customFormat="1" x14ac:dyDescent="0.35">
      <c r="B643" s="9">
        <v>1146293</v>
      </c>
      <c r="C643" s="5" t="s">
        <v>1967</v>
      </c>
      <c r="D643" s="5" t="s">
        <v>3565</v>
      </c>
      <c r="E643" s="11" t="s">
        <v>3573</v>
      </c>
      <c r="F643" s="34" t="s">
        <v>3574</v>
      </c>
      <c r="G643" s="26">
        <v>0.21</v>
      </c>
      <c r="H643" s="1" t="s">
        <v>774</v>
      </c>
      <c r="I643" s="9">
        <v>100</v>
      </c>
      <c r="J643" s="36">
        <v>0.06</v>
      </c>
    </row>
    <row r="644" spans="2:10" s="44" customFormat="1" x14ac:dyDescent="0.35">
      <c r="B644" s="9">
        <v>1146296</v>
      </c>
      <c r="C644" s="5" t="s">
        <v>31</v>
      </c>
      <c r="D644" s="5" t="s">
        <v>3565</v>
      </c>
      <c r="E644" s="5" t="s">
        <v>32</v>
      </c>
      <c r="F644" s="34" t="s">
        <v>3574</v>
      </c>
      <c r="G644" s="26">
        <v>0.41200000000000003</v>
      </c>
      <c r="H644" s="1" t="s">
        <v>774</v>
      </c>
      <c r="I644" s="9">
        <v>100</v>
      </c>
      <c r="J644" s="36">
        <v>0.06</v>
      </c>
    </row>
    <row r="645" spans="2:10" s="44" customFormat="1" x14ac:dyDescent="0.35">
      <c r="B645" s="9">
        <v>1146297</v>
      </c>
      <c r="C645" s="5" t="s">
        <v>1954</v>
      </c>
      <c r="D645" s="5" t="s">
        <v>3565</v>
      </c>
      <c r="E645" s="5" t="s">
        <v>1955</v>
      </c>
      <c r="F645" s="34" t="s">
        <v>3574</v>
      </c>
      <c r="G645" s="26">
        <v>1.26</v>
      </c>
      <c r="H645" s="1" t="s">
        <v>774</v>
      </c>
      <c r="I645" s="9">
        <v>100</v>
      </c>
      <c r="J645" s="36">
        <v>0.06</v>
      </c>
    </row>
    <row r="646" spans="2:10" s="44" customFormat="1" x14ac:dyDescent="0.35">
      <c r="B646" s="9">
        <v>1146300</v>
      </c>
      <c r="C646" s="5" t="s">
        <v>1060</v>
      </c>
      <c r="D646" s="5" t="s">
        <v>3565</v>
      </c>
      <c r="E646" s="5" t="s">
        <v>963</v>
      </c>
      <c r="F646" s="34" t="s">
        <v>3574</v>
      </c>
      <c r="G646" s="26">
        <v>0.23499999999999999</v>
      </c>
      <c r="H646" s="1" t="s">
        <v>774</v>
      </c>
      <c r="I646" s="9">
        <v>100</v>
      </c>
      <c r="J646" s="36">
        <v>0.06</v>
      </c>
    </row>
    <row r="647" spans="2:10" s="44" customFormat="1" x14ac:dyDescent="0.35">
      <c r="B647" s="9">
        <v>1146303</v>
      </c>
      <c r="C647" s="5" t="s">
        <v>863</v>
      </c>
      <c r="D647" s="5" t="s">
        <v>3565</v>
      </c>
      <c r="E647" s="5" t="s">
        <v>864</v>
      </c>
      <c r="F647" s="34" t="s">
        <v>3574</v>
      </c>
      <c r="G647" s="26">
        <v>0.375</v>
      </c>
      <c r="H647" s="1" t="s">
        <v>774</v>
      </c>
      <c r="I647" s="9">
        <v>100</v>
      </c>
      <c r="J647" s="36">
        <v>0.06</v>
      </c>
    </row>
    <row r="648" spans="2:10" s="44" customFormat="1" x14ac:dyDescent="0.35">
      <c r="B648" s="9">
        <v>1146304</v>
      </c>
      <c r="C648" s="5" t="s">
        <v>1592</v>
      </c>
      <c r="D648" s="5" t="s">
        <v>3565</v>
      </c>
      <c r="E648" s="5" t="s">
        <v>1242</v>
      </c>
      <c r="F648" s="34" t="s">
        <v>3574</v>
      </c>
      <c r="G648" s="26">
        <v>0.24299999999999999</v>
      </c>
      <c r="H648" s="1" t="s">
        <v>774</v>
      </c>
      <c r="I648" s="9">
        <v>100</v>
      </c>
      <c r="J648" s="36">
        <v>0.06</v>
      </c>
    </row>
    <row r="649" spans="2:10" s="44" customFormat="1" x14ac:dyDescent="0.35">
      <c r="B649" s="9">
        <v>1146312</v>
      </c>
      <c r="C649" s="5" t="s">
        <v>902</v>
      </c>
      <c r="D649" s="5" t="s">
        <v>3565</v>
      </c>
      <c r="E649" s="5" t="s">
        <v>903</v>
      </c>
      <c r="F649" s="34" t="s">
        <v>3574</v>
      </c>
      <c r="G649" s="26">
        <v>0.3</v>
      </c>
      <c r="H649" s="1" t="s">
        <v>774</v>
      </c>
      <c r="I649" s="9">
        <v>100</v>
      </c>
      <c r="J649" s="36">
        <v>0.06</v>
      </c>
    </row>
    <row r="650" spans="2:10" s="44" customFormat="1" x14ac:dyDescent="0.35">
      <c r="B650" s="9">
        <v>1146313</v>
      </c>
      <c r="C650" s="5" t="s">
        <v>1730</v>
      </c>
      <c r="D650" s="5" t="s">
        <v>3565</v>
      </c>
      <c r="E650" s="5" t="s">
        <v>838</v>
      </c>
      <c r="F650" s="34" t="s">
        <v>3574</v>
      </c>
      <c r="G650" s="26">
        <v>0.22700000000000004</v>
      </c>
      <c r="H650" s="1" t="s">
        <v>774</v>
      </c>
      <c r="I650" s="9">
        <v>100</v>
      </c>
      <c r="J650" s="36">
        <v>0.06</v>
      </c>
    </row>
    <row r="651" spans="2:10" s="44" customFormat="1" x14ac:dyDescent="0.35">
      <c r="B651" s="9">
        <v>1146318</v>
      </c>
      <c r="C651" s="5" t="s">
        <v>967</v>
      </c>
      <c r="D651" s="5" t="s">
        <v>3565</v>
      </c>
      <c r="E651" s="5" t="s">
        <v>963</v>
      </c>
      <c r="F651" s="34" t="s">
        <v>3574</v>
      </c>
      <c r="G651" s="26">
        <v>0.68799999999999994</v>
      </c>
      <c r="H651" s="1" t="s">
        <v>774</v>
      </c>
      <c r="I651" s="9">
        <v>200</v>
      </c>
      <c r="J651" s="36">
        <v>0.06</v>
      </c>
    </row>
    <row r="652" spans="2:10" s="44" customFormat="1" x14ac:dyDescent="0.35">
      <c r="B652" s="9">
        <v>1146320</v>
      </c>
      <c r="C652" s="5" t="s">
        <v>1847</v>
      </c>
      <c r="D652" s="5" t="s">
        <v>3565</v>
      </c>
      <c r="E652" s="5" t="s">
        <v>1848</v>
      </c>
      <c r="F652" s="34" t="s">
        <v>3574</v>
      </c>
      <c r="G652" s="26">
        <v>0.80899999999999994</v>
      </c>
      <c r="H652" s="1" t="s">
        <v>774</v>
      </c>
      <c r="I652" s="9">
        <v>100</v>
      </c>
      <c r="J652" s="36">
        <v>0.06</v>
      </c>
    </row>
    <row r="653" spans="2:10" s="44" customFormat="1" x14ac:dyDescent="0.35">
      <c r="B653" s="9">
        <v>1146322</v>
      </c>
      <c r="C653" s="5" t="s">
        <v>1954</v>
      </c>
      <c r="D653" s="5" t="s">
        <v>3565</v>
      </c>
      <c r="E653" s="5" t="s">
        <v>2907</v>
      </c>
      <c r="F653" s="34" t="s">
        <v>3574</v>
      </c>
      <c r="G653" s="26">
        <v>1.03</v>
      </c>
      <c r="H653" s="1" t="s">
        <v>774</v>
      </c>
      <c r="I653" s="9">
        <v>100</v>
      </c>
      <c r="J653" s="36">
        <v>0.06</v>
      </c>
    </row>
    <row r="654" spans="2:10" s="44" customFormat="1" x14ac:dyDescent="0.35">
      <c r="B654" s="9">
        <v>1146324</v>
      </c>
      <c r="C654" s="5" t="s">
        <v>2740</v>
      </c>
      <c r="D654" s="5" t="s">
        <v>3565</v>
      </c>
      <c r="E654" s="5" t="s">
        <v>2741</v>
      </c>
      <c r="F654" s="34" t="s">
        <v>3574</v>
      </c>
      <c r="G654" s="26">
        <v>1.236</v>
      </c>
      <c r="H654" s="1" t="s">
        <v>774</v>
      </c>
      <c r="I654" s="9">
        <v>100</v>
      </c>
      <c r="J654" s="36">
        <v>0.06</v>
      </c>
    </row>
    <row r="655" spans="2:10" s="44" customFormat="1" x14ac:dyDescent="0.35">
      <c r="B655" s="9">
        <v>1146329</v>
      </c>
      <c r="C655" s="5" t="s">
        <v>1243</v>
      </c>
      <c r="D655" s="5" t="s">
        <v>3565</v>
      </c>
      <c r="E655" s="5" t="s">
        <v>1242</v>
      </c>
      <c r="F655" s="34" t="s">
        <v>3574</v>
      </c>
      <c r="G655" s="26">
        <v>0.215</v>
      </c>
      <c r="H655" s="1" t="s">
        <v>774</v>
      </c>
      <c r="I655" s="9">
        <v>100</v>
      </c>
      <c r="J655" s="36">
        <v>0.06</v>
      </c>
    </row>
    <row r="656" spans="2:10" s="44" customFormat="1" x14ac:dyDescent="0.35">
      <c r="B656" s="9">
        <v>1146334</v>
      </c>
      <c r="C656" s="5" t="s">
        <v>1597</v>
      </c>
      <c r="D656" s="5" t="s">
        <v>3565</v>
      </c>
      <c r="E656" s="5">
        <v>1489526</v>
      </c>
      <c r="F656" s="34" t="s">
        <v>3574</v>
      </c>
      <c r="G656" s="26">
        <v>0.43099999999999999</v>
      </c>
      <c r="H656" s="1" t="s">
        <v>774</v>
      </c>
      <c r="I656" s="9">
        <v>100</v>
      </c>
      <c r="J656" s="36">
        <v>0.06</v>
      </c>
    </row>
    <row r="657" spans="2:10" s="44" customFormat="1" x14ac:dyDescent="0.35">
      <c r="B657" s="9">
        <v>1146339</v>
      </c>
      <c r="C657" s="5" t="s">
        <v>2462</v>
      </c>
      <c r="D657" s="5" t="s">
        <v>3565</v>
      </c>
      <c r="E657" s="5" t="s">
        <v>2463</v>
      </c>
      <c r="F657" s="34" t="s">
        <v>3574</v>
      </c>
      <c r="G657" s="26">
        <v>0.248</v>
      </c>
      <c r="H657" s="1" t="s">
        <v>774</v>
      </c>
      <c r="I657" s="9">
        <v>100</v>
      </c>
      <c r="J657" s="36">
        <v>0.06</v>
      </c>
    </row>
    <row r="658" spans="2:10" s="44" customFormat="1" x14ac:dyDescent="0.35">
      <c r="B658" s="9">
        <v>1146343</v>
      </c>
      <c r="C658" s="5" t="s">
        <v>970</v>
      </c>
      <c r="D658" s="5" t="s">
        <v>3565</v>
      </c>
      <c r="E658" s="5" t="s">
        <v>963</v>
      </c>
      <c r="F658" s="34" t="s">
        <v>3574</v>
      </c>
      <c r="G658" s="26">
        <v>0.67399999999999993</v>
      </c>
      <c r="H658" s="1" t="s">
        <v>774</v>
      </c>
      <c r="I658" s="9">
        <v>100</v>
      </c>
      <c r="J658" s="36">
        <v>0.06</v>
      </c>
    </row>
    <row r="659" spans="2:10" s="44" customFormat="1" x14ac:dyDescent="0.35">
      <c r="B659" s="9">
        <v>1146344</v>
      </c>
      <c r="C659" s="5" t="s">
        <v>971</v>
      </c>
      <c r="D659" s="5" t="s">
        <v>3565</v>
      </c>
      <c r="E659" s="5" t="s">
        <v>972</v>
      </c>
      <c r="F659" s="34" t="s">
        <v>3574</v>
      </c>
      <c r="G659" s="26">
        <v>0.70199999999999985</v>
      </c>
      <c r="H659" s="1" t="s">
        <v>774</v>
      </c>
      <c r="I659" s="9">
        <v>100</v>
      </c>
      <c r="J659" s="36">
        <v>0.06</v>
      </c>
    </row>
    <row r="660" spans="2:10" s="44" customFormat="1" x14ac:dyDescent="0.35">
      <c r="B660" s="9">
        <v>1146345</v>
      </c>
      <c r="C660" s="5" t="s">
        <v>1874</v>
      </c>
      <c r="D660" s="5" t="s">
        <v>3565</v>
      </c>
      <c r="E660" s="5" t="s">
        <v>1875</v>
      </c>
      <c r="F660" s="34" t="s">
        <v>3574</v>
      </c>
      <c r="G660" s="26">
        <v>0.91399999999999992</v>
      </c>
      <c r="H660" s="1" t="s">
        <v>774</v>
      </c>
      <c r="I660" s="9">
        <v>100</v>
      </c>
      <c r="J660" s="36">
        <v>0.06</v>
      </c>
    </row>
    <row r="661" spans="2:10" s="44" customFormat="1" x14ac:dyDescent="0.35">
      <c r="B661" s="9">
        <v>1146346</v>
      </c>
      <c r="C661" s="5" t="s">
        <v>2474</v>
      </c>
      <c r="D661" s="5" t="s">
        <v>3565</v>
      </c>
      <c r="E661" s="5" t="s">
        <v>836</v>
      </c>
      <c r="F661" s="34" t="s">
        <v>3574</v>
      </c>
      <c r="G661" s="26">
        <v>0.52500000000000002</v>
      </c>
      <c r="H661" s="1" t="s">
        <v>774</v>
      </c>
      <c r="I661" s="9">
        <v>100</v>
      </c>
      <c r="J661" s="36">
        <v>0.06</v>
      </c>
    </row>
    <row r="662" spans="2:10" s="44" customFormat="1" x14ac:dyDescent="0.35">
      <c r="B662" s="9">
        <v>1146349</v>
      </c>
      <c r="C662" s="5" t="s">
        <v>973</v>
      </c>
      <c r="D662" s="5" t="s">
        <v>3565</v>
      </c>
      <c r="E662" s="5" t="s">
        <v>963</v>
      </c>
      <c r="F662" s="34" t="s">
        <v>3574</v>
      </c>
      <c r="G662" s="26">
        <v>0.80799999999999994</v>
      </c>
      <c r="H662" s="1" t="s">
        <v>774</v>
      </c>
      <c r="I662" s="9">
        <v>100</v>
      </c>
      <c r="J662" s="36">
        <v>0.06</v>
      </c>
    </row>
    <row r="663" spans="2:10" s="44" customFormat="1" x14ac:dyDescent="0.35">
      <c r="B663" s="9">
        <v>1146351</v>
      </c>
      <c r="C663" s="5" t="s">
        <v>2127</v>
      </c>
      <c r="D663" s="5" t="s">
        <v>3565</v>
      </c>
      <c r="E663" s="5" t="s">
        <v>2128</v>
      </c>
      <c r="F663" s="34" t="s">
        <v>3574</v>
      </c>
      <c r="G663" s="26">
        <v>2.415</v>
      </c>
      <c r="H663" s="1" t="s">
        <v>774</v>
      </c>
      <c r="I663" s="9">
        <v>100</v>
      </c>
      <c r="J663" s="36">
        <v>0.06</v>
      </c>
    </row>
    <row r="664" spans="2:10" s="44" customFormat="1" x14ac:dyDescent="0.35">
      <c r="B664" s="9">
        <v>1146352</v>
      </c>
      <c r="C664" s="5" t="s">
        <v>2771</v>
      </c>
      <c r="D664" s="5" t="s">
        <v>3565</v>
      </c>
      <c r="E664" s="5" t="s">
        <v>2772</v>
      </c>
      <c r="F664" s="34" t="s">
        <v>3574</v>
      </c>
      <c r="G664" s="26">
        <v>2.8839999999999999</v>
      </c>
      <c r="H664" s="1" t="s">
        <v>774</v>
      </c>
      <c r="I664" s="9">
        <v>100</v>
      </c>
      <c r="J664" s="36">
        <v>0.06</v>
      </c>
    </row>
    <row r="665" spans="2:10" s="44" customFormat="1" x14ac:dyDescent="0.35">
      <c r="B665" s="9">
        <v>1146358</v>
      </c>
      <c r="C665" s="5" t="s">
        <v>1878</v>
      </c>
      <c r="D665" s="5" t="s">
        <v>3565</v>
      </c>
      <c r="E665" s="5" t="s">
        <v>1879</v>
      </c>
      <c r="F665" s="34" t="s">
        <v>3574</v>
      </c>
      <c r="G665" s="26">
        <v>0.47399999999999998</v>
      </c>
      <c r="H665" s="1" t="s">
        <v>774</v>
      </c>
      <c r="I665" s="9">
        <v>100</v>
      </c>
      <c r="J665" s="36">
        <v>0.06</v>
      </c>
    </row>
    <row r="666" spans="2:10" s="44" customFormat="1" x14ac:dyDescent="0.35">
      <c r="B666" s="9">
        <v>1146362</v>
      </c>
      <c r="C666" s="5" t="s">
        <v>1241</v>
      </c>
      <c r="D666" s="5" t="s">
        <v>3565</v>
      </c>
      <c r="E666" s="5" t="s">
        <v>1242</v>
      </c>
      <c r="F666" s="34" t="s">
        <v>3574</v>
      </c>
      <c r="G666" s="26">
        <v>9.0999999999999998E-2</v>
      </c>
      <c r="H666" s="1" t="s">
        <v>774</v>
      </c>
      <c r="I666" s="9">
        <v>100</v>
      </c>
      <c r="J666" s="36">
        <v>0.06</v>
      </c>
    </row>
    <row r="667" spans="2:10" s="44" customFormat="1" x14ac:dyDescent="0.35">
      <c r="B667" s="9">
        <v>1146364</v>
      </c>
      <c r="C667" s="5" t="s">
        <v>2748</v>
      </c>
      <c r="D667" s="5" t="s">
        <v>3565</v>
      </c>
      <c r="E667" s="5" t="s">
        <v>2749</v>
      </c>
      <c r="F667" s="34" t="s">
        <v>3574</v>
      </c>
      <c r="G667" s="26">
        <v>0.124</v>
      </c>
      <c r="H667" s="1" t="s">
        <v>774</v>
      </c>
      <c r="I667" s="9">
        <v>100</v>
      </c>
      <c r="J667" s="36">
        <v>0.06</v>
      </c>
    </row>
    <row r="668" spans="2:10" s="44" customFormat="1" x14ac:dyDescent="0.35">
      <c r="B668" s="9">
        <v>1146369</v>
      </c>
      <c r="C668" s="5" t="s">
        <v>2750</v>
      </c>
      <c r="D668" s="5" t="s">
        <v>3565</v>
      </c>
      <c r="E668" s="5" t="s">
        <v>2751</v>
      </c>
      <c r="F668" s="34" t="s">
        <v>3574</v>
      </c>
      <c r="G668" s="26">
        <v>0.51500000000000001</v>
      </c>
      <c r="H668" s="1" t="s">
        <v>774</v>
      </c>
      <c r="I668" s="9">
        <v>100</v>
      </c>
      <c r="J668" s="36">
        <v>0.06</v>
      </c>
    </row>
    <row r="669" spans="2:10" s="44" customFormat="1" x14ac:dyDescent="0.35">
      <c r="B669" s="9">
        <v>1146370</v>
      </c>
      <c r="C669" s="5" t="s">
        <v>837</v>
      </c>
      <c r="D669" s="5" t="s">
        <v>3565</v>
      </c>
      <c r="E669" s="5" t="s">
        <v>838</v>
      </c>
      <c r="F669" s="34" t="s">
        <v>3574</v>
      </c>
      <c r="G669" s="26">
        <v>0.24600000000000002</v>
      </c>
      <c r="H669" s="1" t="s">
        <v>774</v>
      </c>
      <c r="I669" s="9">
        <v>100</v>
      </c>
      <c r="J669" s="36">
        <v>0.06</v>
      </c>
    </row>
    <row r="670" spans="2:10" s="44" customFormat="1" x14ac:dyDescent="0.35">
      <c r="B670" s="9">
        <v>1146372</v>
      </c>
      <c r="C670" s="5" t="s">
        <v>839</v>
      </c>
      <c r="D670" s="5" t="s">
        <v>3565</v>
      </c>
      <c r="E670" s="5">
        <v>1004263</v>
      </c>
      <c r="F670" s="34" t="s">
        <v>3574</v>
      </c>
      <c r="G670" s="26">
        <v>0.22</v>
      </c>
      <c r="H670" s="1" t="s">
        <v>774</v>
      </c>
      <c r="I670" s="9">
        <v>100</v>
      </c>
      <c r="J670" s="36">
        <v>0.06</v>
      </c>
    </row>
    <row r="671" spans="2:10" s="44" customFormat="1" x14ac:dyDescent="0.35">
      <c r="B671" s="9">
        <v>1146373</v>
      </c>
      <c r="C671" s="5" t="s">
        <v>840</v>
      </c>
      <c r="D671" s="5" t="s">
        <v>3565</v>
      </c>
      <c r="E671" s="5" t="s">
        <v>838</v>
      </c>
      <c r="F671" s="34" t="s">
        <v>3574</v>
      </c>
      <c r="G671" s="26">
        <v>0.26700000000000002</v>
      </c>
      <c r="H671" s="1" t="s">
        <v>774</v>
      </c>
      <c r="I671" s="9">
        <v>100</v>
      </c>
      <c r="J671" s="36">
        <v>0.06</v>
      </c>
    </row>
    <row r="672" spans="2:10" s="44" customFormat="1" x14ac:dyDescent="0.35">
      <c r="B672" s="9">
        <v>1146374</v>
      </c>
      <c r="C672" s="5" t="s">
        <v>841</v>
      </c>
      <c r="D672" s="5" t="s">
        <v>3565</v>
      </c>
      <c r="E672" s="5" t="s">
        <v>838</v>
      </c>
      <c r="F672" s="34" t="s">
        <v>3574</v>
      </c>
      <c r="G672" s="26">
        <v>0.37</v>
      </c>
      <c r="H672" s="1" t="s">
        <v>774</v>
      </c>
      <c r="I672" s="9">
        <v>100</v>
      </c>
      <c r="J672" s="36">
        <v>0.06</v>
      </c>
    </row>
    <row r="673" spans="2:10" s="44" customFormat="1" x14ac:dyDescent="0.35">
      <c r="B673" s="9">
        <v>1146375</v>
      </c>
      <c r="C673" s="5" t="s">
        <v>842</v>
      </c>
      <c r="D673" s="5" t="s">
        <v>3565</v>
      </c>
      <c r="E673" s="5" t="s">
        <v>838</v>
      </c>
      <c r="F673" s="34" t="s">
        <v>3574</v>
      </c>
      <c r="G673" s="26">
        <v>0.24</v>
      </c>
      <c r="H673" s="1" t="s">
        <v>774</v>
      </c>
      <c r="I673" s="9">
        <v>100</v>
      </c>
      <c r="J673" s="36">
        <v>0.06</v>
      </c>
    </row>
    <row r="674" spans="2:10" s="44" customFormat="1" x14ac:dyDescent="0.35">
      <c r="B674" s="9">
        <v>1146376</v>
      </c>
      <c r="C674" s="5" t="s">
        <v>1809</v>
      </c>
      <c r="D674" s="5" t="s">
        <v>3565</v>
      </c>
      <c r="E674" s="5" t="s">
        <v>1810</v>
      </c>
      <c r="F674" s="34" t="s">
        <v>3574</v>
      </c>
      <c r="G674" s="26">
        <v>0.7</v>
      </c>
      <c r="H674" s="1" t="s">
        <v>774</v>
      </c>
      <c r="I674" s="9">
        <v>200</v>
      </c>
      <c r="J674" s="36">
        <v>0.06</v>
      </c>
    </row>
    <row r="675" spans="2:10" s="44" customFormat="1" x14ac:dyDescent="0.35">
      <c r="B675" s="9">
        <v>1146377</v>
      </c>
      <c r="C675" s="5" t="s">
        <v>843</v>
      </c>
      <c r="D675" s="5" t="s">
        <v>3565</v>
      </c>
      <c r="E675" s="5" t="s">
        <v>838</v>
      </c>
      <c r="F675" s="34" t="s">
        <v>3574</v>
      </c>
      <c r="G675" s="26">
        <v>0.26</v>
      </c>
      <c r="H675" s="1" t="s">
        <v>774</v>
      </c>
      <c r="I675" s="9">
        <v>100</v>
      </c>
      <c r="J675" s="36">
        <v>0.06</v>
      </c>
    </row>
    <row r="676" spans="2:10" s="44" customFormat="1" x14ac:dyDescent="0.35">
      <c r="B676" s="9">
        <v>1146378</v>
      </c>
      <c r="C676" s="5" t="s">
        <v>844</v>
      </c>
      <c r="D676" s="5" t="s">
        <v>3565</v>
      </c>
      <c r="E676" s="5" t="s">
        <v>838</v>
      </c>
      <c r="F676" s="34" t="s">
        <v>3574</v>
      </c>
      <c r="G676" s="26">
        <v>0.20300000000000001</v>
      </c>
      <c r="H676" s="1" t="s">
        <v>774</v>
      </c>
      <c r="I676" s="9">
        <v>100</v>
      </c>
      <c r="J676" s="36">
        <v>0.06</v>
      </c>
    </row>
    <row r="677" spans="2:10" s="44" customFormat="1" x14ac:dyDescent="0.35">
      <c r="B677" s="9">
        <v>1146379</v>
      </c>
      <c r="C677" s="5" t="s">
        <v>845</v>
      </c>
      <c r="D677" s="5" t="s">
        <v>3565</v>
      </c>
      <c r="E677" s="5" t="s">
        <v>838</v>
      </c>
      <c r="F677" s="34" t="s">
        <v>3574</v>
      </c>
      <c r="G677" s="26">
        <v>0.22200000000000003</v>
      </c>
      <c r="H677" s="1" t="s">
        <v>774</v>
      </c>
      <c r="I677" s="9">
        <v>100</v>
      </c>
      <c r="J677" s="36">
        <v>0.06</v>
      </c>
    </row>
    <row r="678" spans="2:10" s="44" customFormat="1" x14ac:dyDescent="0.35">
      <c r="B678" s="9">
        <v>1146380</v>
      </c>
      <c r="C678" s="5" t="s">
        <v>846</v>
      </c>
      <c r="D678" s="5" t="s">
        <v>3565</v>
      </c>
      <c r="E678" s="5" t="s">
        <v>847</v>
      </c>
      <c r="F678" s="34" t="s">
        <v>3574</v>
      </c>
      <c r="G678" s="26">
        <v>0.57800000000000007</v>
      </c>
      <c r="H678" s="1" t="s">
        <v>774</v>
      </c>
      <c r="I678" s="9">
        <v>100</v>
      </c>
      <c r="J678" s="36">
        <v>0.06</v>
      </c>
    </row>
    <row r="679" spans="2:10" s="44" customFormat="1" x14ac:dyDescent="0.35">
      <c r="B679" s="9">
        <v>1146381</v>
      </c>
      <c r="C679" s="5" t="s">
        <v>1613</v>
      </c>
      <c r="D679" s="5" t="s">
        <v>3565</v>
      </c>
      <c r="E679" s="5" t="s">
        <v>838</v>
      </c>
      <c r="F679" s="34" t="s">
        <v>3574</v>
      </c>
      <c r="G679" s="26">
        <v>1.1059999999999999</v>
      </c>
      <c r="H679" s="1" t="s">
        <v>774</v>
      </c>
      <c r="I679" s="9">
        <v>200</v>
      </c>
      <c r="J679" s="36">
        <v>0.06</v>
      </c>
    </row>
    <row r="680" spans="2:10" s="44" customFormat="1" x14ac:dyDescent="0.35">
      <c r="B680" s="9">
        <v>1146382</v>
      </c>
      <c r="C680" s="5" t="s">
        <v>848</v>
      </c>
      <c r="D680" s="5" t="s">
        <v>3565</v>
      </c>
      <c r="E680" s="5" t="s">
        <v>838</v>
      </c>
      <c r="F680" s="34" t="s">
        <v>3574</v>
      </c>
      <c r="G680" s="26">
        <v>0.78299999999999992</v>
      </c>
      <c r="H680" s="1" t="s">
        <v>774</v>
      </c>
      <c r="I680" s="9">
        <v>100</v>
      </c>
      <c r="J680" s="36">
        <v>0.06</v>
      </c>
    </row>
    <row r="681" spans="2:10" s="44" customFormat="1" x14ac:dyDescent="0.35">
      <c r="B681" s="9">
        <v>1146383</v>
      </c>
      <c r="C681" s="5" t="s">
        <v>1614</v>
      </c>
      <c r="D681" s="5" t="s">
        <v>3565</v>
      </c>
      <c r="E681" s="5" t="s">
        <v>838</v>
      </c>
      <c r="F681" s="34" t="s">
        <v>3574</v>
      </c>
      <c r="G681" s="26">
        <v>0.47600000000000003</v>
      </c>
      <c r="H681" s="1" t="s">
        <v>774</v>
      </c>
      <c r="I681" s="9">
        <v>100</v>
      </c>
      <c r="J681" s="36">
        <v>0.06</v>
      </c>
    </row>
    <row r="682" spans="2:10" s="44" customFormat="1" x14ac:dyDescent="0.35">
      <c r="B682" s="9">
        <v>1146384</v>
      </c>
      <c r="C682" s="5" t="s">
        <v>1944</v>
      </c>
      <c r="D682" s="5" t="s">
        <v>3565</v>
      </c>
      <c r="E682" s="5" t="s">
        <v>1945</v>
      </c>
      <c r="F682" s="34" t="s">
        <v>3574</v>
      </c>
      <c r="G682" s="26">
        <v>0.36800000000000005</v>
      </c>
      <c r="H682" s="1" t="s">
        <v>774</v>
      </c>
      <c r="I682" s="9">
        <v>100</v>
      </c>
      <c r="J682" s="36">
        <v>0.06</v>
      </c>
    </row>
    <row r="683" spans="2:10" s="44" customFormat="1" x14ac:dyDescent="0.35">
      <c r="B683" s="9">
        <v>1146385</v>
      </c>
      <c r="C683" s="5" t="s">
        <v>1944</v>
      </c>
      <c r="D683" s="5" t="s">
        <v>3565</v>
      </c>
      <c r="E683" s="5" t="s">
        <v>2083</v>
      </c>
      <c r="F683" s="34" t="s">
        <v>3574</v>
      </c>
      <c r="G683" s="26">
        <v>0.84</v>
      </c>
      <c r="H683" s="1" t="s">
        <v>774</v>
      </c>
      <c r="I683" s="9">
        <v>100</v>
      </c>
      <c r="J683" s="36">
        <v>0.06</v>
      </c>
    </row>
    <row r="684" spans="2:10" s="44" customFormat="1" x14ac:dyDescent="0.35">
      <c r="B684" s="9">
        <v>1146386</v>
      </c>
      <c r="C684" s="5" t="s">
        <v>2924</v>
      </c>
      <c r="D684" s="5" t="s">
        <v>3565</v>
      </c>
      <c r="E684" s="5" t="s">
        <v>2925</v>
      </c>
      <c r="F684" s="34" t="s">
        <v>3574</v>
      </c>
      <c r="G684" s="26">
        <v>0.97899999999999987</v>
      </c>
      <c r="H684" s="1" t="s">
        <v>774</v>
      </c>
      <c r="I684" s="9">
        <v>100</v>
      </c>
      <c r="J684" s="36">
        <v>0.06</v>
      </c>
    </row>
    <row r="685" spans="2:10" s="44" customFormat="1" x14ac:dyDescent="0.35">
      <c r="B685" s="9">
        <v>1146387</v>
      </c>
      <c r="C685" s="5" t="s">
        <v>2101</v>
      </c>
      <c r="D685" s="5" t="s">
        <v>3565</v>
      </c>
      <c r="E685" s="5" t="s">
        <v>838</v>
      </c>
      <c r="F685" s="34" t="s">
        <v>3574</v>
      </c>
      <c r="G685" s="26">
        <v>1.05</v>
      </c>
      <c r="H685" s="1" t="s">
        <v>774</v>
      </c>
      <c r="I685" s="9">
        <v>100</v>
      </c>
      <c r="J685" s="36">
        <v>0.06</v>
      </c>
    </row>
    <row r="686" spans="2:10" s="44" customFormat="1" x14ac:dyDescent="0.35">
      <c r="B686" s="9">
        <v>1146398</v>
      </c>
      <c r="C686" s="5" t="s">
        <v>1544</v>
      </c>
      <c r="D686" s="5" t="s">
        <v>3565</v>
      </c>
      <c r="E686" s="5" t="s">
        <v>963</v>
      </c>
      <c r="F686" s="34" t="s">
        <v>3574</v>
      </c>
      <c r="G686" s="26">
        <v>0.28300000000000003</v>
      </c>
      <c r="H686" s="1" t="s">
        <v>774</v>
      </c>
      <c r="I686" s="9">
        <v>100</v>
      </c>
      <c r="J686" s="36">
        <v>0.06</v>
      </c>
    </row>
    <row r="687" spans="2:10" s="44" customFormat="1" x14ac:dyDescent="0.35">
      <c r="B687" s="9">
        <v>1146400</v>
      </c>
      <c r="C687" s="5" t="s">
        <v>765</v>
      </c>
      <c r="D687" s="5" t="s">
        <v>3565</v>
      </c>
      <c r="E687" s="5" t="s">
        <v>3265</v>
      </c>
      <c r="F687" s="34" t="s">
        <v>3574</v>
      </c>
      <c r="G687" s="26">
        <v>0.98450000000000004</v>
      </c>
      <c r="H687" s="1" t="s">
        <v>774</v>
      </c>
      <c r="I687" s="9">
        <v>100</v>
      </c>
      <c r="J687" s="36">
        <v>0.06</v>
      </c>
    </row>
    <row r="688" spans="2:10" s="44" customFormat="1" x14ac:dyDescent="0.35">
      <c r="B688" s="9">
        <v>1146401</v>
      </c>
      <c r="C688" s="5" t="s">
        <v>849</v>
      </c>
      <c r="D688" s="5" t="s">
        <v>3565</v>
      </c>
      <c r="E688" s="5" t="s">
        <v>850</v>
      </c>
      <c r="F688" s="34" t="s">
        <v>3574</v>
      </c>
      <c r="G688" s="26">
        <v>0.54400000000000004</v>
      </c>
      <c r="H688" s="1" t="s">
        <v>774</v>
      </c>
      <c r="I688" s="9">
        <v>100</v>
      </c>
      <c r="J688" s="36">
        <v>0.06</v>
      </c>
    </row>
    <row r="689" spans="2:10" s="44" customFormat="1" x14ac:dyDescent="0.35">
      <c r="B689" s="9">
        <v>1146402</v>
      </c>
      <c r="C689" s="5" t="s">
        <v>3190</v>
      </c>
      <c r="D689" s="5" t="s">
        <v>3565</v>
      </c>
      <c r="E689" s="5" t="s">
        <v>3191</v>
      </c>
      <c r="F689" s="34" t="s">
        <v>3574</v>
      </c>
      <c r="G689" s="26">
        <v>0.6</v>
      </c>
      <c r="H689" s="1" t="s">
        <v>774</v>
      </c>
      <c r="I689" s="9">
        <v>100</v>
      </c>
      <c r="J689" s="36">
        <v>0.06</v>
      </c>
    </row>
    <row r="690" spans="2:10" s="44" customFormat="1" x14ac:dyDescent="0.35">
      <c r="B690" s="9">
        <v>1146403</v>
      </c>
      <c r="C690" s="5" t="s">
        <v>851</v>
      </c>
      <c r="D690" s="5" t="s">
        <v>3565</v>
      </c>
      <c r="E690" s="5" t="s">
        <v>838</v>
      </c>
      <c r="F690" s="34" t="s">
        <v>3574</v>
      </c>
      <c r="G690" s="26">
        <v>0.50900000000000001</v>
      </c>
      <c r="H690" s="1" t="s">
        <v>774</v>
      </c>
      <c r="I690" s="9">
        <v>100</v>
      </c>
      <c r="J690" s="36">
        <v>0.06</v>
      </c>
    </row>
    <row r="691" spans="2:10" s="44" customFormat="1" x14ac:dyDescent="0.35">
      <c r="B691" s="9">
        <v>1146404</v>
      </c>
      <c r="C691" s="5" t="s">
        <v>852</v>
      </c>
      <c r="D691" s="5" t="s">
        <v>3565</v>
      </c>
      <c r="E691" s="5" t="s">
        <v>853</v>
      </c>
      <c r="F691" s="34" t="s">
        <v>3574</v>
      </c>
      <c r="G691" s="26">
        <v>0.93799999999999994</v>
      </c>
      <c r="H691" s="1" t="s">
        <v>774</v>
      </c>
      <c r="I691" s="9">
        <v>100</v>
      </c>
      <c r="J691" s="36">
        <v>0.06</v>
      </c>
    </row>
    <row r="692" spans="2:10" s="44" customFormat="1" x14ac:dyDescent="0.35">
      <c r="B692" s="9">
        <v>1146405</v>
      </c>
      <c r="C692" s="5" t="s">
        <v>854</v>
      </c>
      <c r="D692" s="5" t="s">
        <v>3565</v>
      </c>
      <c r="E692" s="5">
        <v>1004603</v>
      </c>
      <c r="F692" s="34" t="s">
        <v>3574</v>
      </c>
      <c r="G692" s="26">
        <v>0.66899999999999993</v>
      </c>
      <c r="H692" s="1" t="s">
        <v>774</v>
      </c>
      <c r="I692" s="9">
        <v>100</v>
      </c>
      <c r="J692" s="36">
        <v>0.06</v>
      </c>
    </row>
    <row r="693" spans="2:10" s="44" customFormat="1" x14ac:dyDescent="0.35">
      <c r="B693" s="9">
        <v>1146406</v>
      </c>
      <c r="C693" s="5" t="s">
        <v>2374</v>
      </c>
      <c r="D693" s="5" t="s">
        <v>3565</v>
      </c>
      <c r="E693" s="5" t="s">
        <v>2375</v>
      </c>
      <c r="F693" s="34" t="s">
        <v>3574</v>
      </c>
      <c r="G693" s="26">
        <v>0.68299999999999994</v>
      </c>
      <c r="H693" s="1" t="s">
        <v>774</v>
      </c>
      <c r="I693" s="9">
        <v>100</v>
      </c>
      <c r="J693" s="36">
        <v>0.06</v>
      </c>
    </row>
    <row r="694" spans="2:10" s="44" customFormat="1" x14ac:dyDescent="0.35">
      <c r="B694" s="9">
        <v>1146407</v>
      </c>
      <c r="C694" s="5" t="s">
        <v>855</v>
      </c>
      <c r="D694" s="5" t="s">
        <v>3565</v>
      </c>
      <c r="E694" s="5" t="s">
        <v>838</v>
      </c>
      <c r="F694" s="34" t="s">
        <v>3574</v>
      </c>
      <c r="G694" s="26">
        <v>1.617</v>
      </c>
      <c r="H694" s="1" t="s">
        <v>774</v>
      </c>
      <c r="I694" s="9">
        <v>100</v>
      </c>
      <c r="J694" s="36">
        <v>0.06</v>
      </c>
    </row>
    <row r="695" spans="2:10" s="44" customFormat="1" x14ac:dyDescent="0.35">
      <c r="B695" s="9">
        <v>1146408</v>
      </c>
      <c r="C695" s="5" t="s">
        <v>856</v>
      </c>
      <c r="D695" s="5" t="s">
        <v>3565</v>
      </c>
      <c r="E695" s="5" t="s">
        <v>838</v>
      </c>
      <c r="F695" s="34" t="s">
        <v>3574</v>
      </c>
      <c r="G695" s="26">
        <v>2.2559999999999998</v>
      </c>
      <c r="H695" s="1" t="s">
        <v>774</v>
      </c>
      <c r="I695" s="9">
        <v>100</v>
      </c>
      <c r="J695" s="36">
        <v>0.06</v>
      </c>
    </row>
    <row r="696" spans="2:10" s="44" customFormat="1" x14ac:dyDescent="0.35">
      <c r="B696" s="9">
        <v>1146409</v>
      </c>
      <c r="C696" s="5" t="s">
        <v>1970</v>
      </c>
      <c r="D696" s="5" t="s">
        <v>3565</v>
      </c>
      <c r="E696" s="5" t="s">
        <v>1881</v>
      </c>
      <c r="F696" s="34" t="s">
        <v>3574</v>
      </c>
      <c r="G696" s="26">
        <v>1.5409999999999999</v>
      </c>
      <c r="H696" s="1" t="s">
        <v>774</v>
      </c>
      <c r="I696" s="9">
        <v>200</v>
      </c>
      <c r="J696" s="36">
        <v>0.06</v>
      </c>
    </row>
    <row r="697" spans="2:10" s="44" customFormat="1" x14ac:dyDescent="0.35">
      <c r="B697" s="9">
        <v>1146411</v>
      </c>
      <c r="C697" s="5" t="s">
        <v>1809</v>
      </c>
      <c r="D697" s="5" t="s">
        <v>3565</v>
      </c>
      <c r="E697" s="5" t="s">
        <v>1810</v>
      </c>
      <c r="F697" s="34" t="s">
        <v>3574</v>
      </c>
      <c r="G697" s="26">
        <v>1.68</v>
      </c>
      <c r="H697" s="1" t="s">
        <v>774</v>
      </c>
      <c r="I697" s="9">
        <v>100</v>
      </c>
      <c r="J697" s="36">
        <v>0.06</v>
      </c>
    </row>
    <row r="698" spans="2:10" s="44" customFormat="1" x14ac:dyDescent="0.35">
      <c r="B698" s="9">
        <v>1146412</v>
      </c>
      <c r="C698" s="5" t="s">
        <v>857</v>
      </c>
      <c r="D698" s="5" t="s">
        <v>3565</v>
      </c>
      <c r="E698" s="5" t="s">
        <v>858</v>
      </c>
      <c r="F698" s="34" t="s">
        <v>3574</v>
      </c>
      <c r="G698" s="26">
        <v>1.0119999999999998</v>
      </c>
      <c r="H698" s="1" t="s">
        <v>774</v>
      </c>
      <c r="I698" s="9">
        <v>100</v>
      </c>
      <c r="J698" s="36">
        <v>0.06</v>
      </c>
    </row>
    <row r="699" spans="2:10" s="44" customFormat="1" x14ac:dyDescent="0.35">
      <c r="B699" s="9">
        <v>1146413</v>
      </c>
      <c r="C699" s="5" t="s">
        <v>859</v>
      </c>
      <c r="D699" s="5" t="s">
        <v>3565</v>
      </c>
      <c r="E699" s="5" t="s">
        <v>838</v>
      </c>
      <c r="F699" s="34" t="s">
        <v>3574</v>
      </c>
      <c r="G699" s="26">
        <v>1.0349999999999999</v>
      </c>
      <c r="H699" s="1" t="s">
        <v>774</v>
      </c>
      <c r="I699" s="9">
        <v>100</v>
      </c>
      <c r="J699" s="36">
        <v>0.06</v>
      </c>
    </row>
    <row r="700" spans="2:10" s="44" customFormat="1" x14ac:dyDescent="0.35">
      <c r="B700" s="9">
        <v>1146414</v>
      </c>
      <c r="C700" s="5" t="s">
        <v>2281</v>
      </c>
      <c r="D700" s="5" t="s">
        <v>3565</v>
      </c>
      <c r="E700" s="5" t="s">
        <v>2282</v>
      </c>
      <c r="F700" s="34" t="s">
        <v>3574</v>
      </c>
      <c r="G700" s="26">
        <v>0.63</v>
      </c>
      <c r="H700" s="1" t="s">
        <v>774</v>
      </c>
      <c r="I700" s="9">
        <v>100</v>
      </c>
      <c r="J700" s="36">
        <v>0.06</v>
      </c>
    </row>
    <row r="701" spans="2:10" s="44" customFormat="1" x14ac:dyDescent="0.35">
      <c r="B701" s="9">
        <v>1146416</v>
      </c>
      <c r="C701" s="5" t="s">
        <v>2733</v>
      </c>
      <c r="D701" s="5" t="s">
        <v>3565</v>
      </c>
      <c r="E701" s="5" t="s">
        <v>2734</v>
      </c>
      <c r="F701" s="34" t="s">
        <v>3574</v>
      </c>
      <c r="G701" s="26">
        <v>2.4209999999999998</v>
      </c>
      <c r="H701" s="1" t="s">
        <v>774</v>
      </c>
      <c r="I701" s="9">
        <v>100</v>
      </c>
      <c r="J701" s="36">
        <v>0.06</v>
      </c>
    </row>
    <row r="702" spans="2:10" s="44" customFormat="1" x14ac:dyDescent="0.35">
      <c r="B702" s="9">
        <v>1146417</v>
      </c>
      <c r="C702" s="5" t="s">
        <v>1944</v>
      </c>
      <c r="D702" s="5" t="s">
        <v>3565</v>
      </c>
      <c r="E702" s="5" t="s">
        <v>2476</v>
      </c>
      <c r="F702" s="34" t="s">
        <v>3574</v>
      </c>
      <c r="G702" s="26">
        <v>1.8540000000000001</v>
      </c>
      <c r="H702" s="1" t="s">
        <v>774</v>
      </c>
      <c r="I702" s="9">
        <v>100</v>
      </c>
      <c r="J702" s="36">
        <v>0.06</v>
      </c>
    </row>
    <row r="703" spans="2:10" s="44" customFormat="1" x14ac:dyDescent="0.35">
      <c r="B703" s="9">
        <v>1146418</v>
      </c>
      <c r="C703" s="5" t="s">
        <v>1944</v>
      </c>
      <c r="D703" s="5" t="s">
        <v>3565</v>
      </c>
      <c r="E703" s="5" t="s">
        <v>2677</v>
      </c>
      <c r="F703" s="34" t="s">
        <v>3574</v>
      </c>
      <c r="G703" s="26">
        <v>1.4219999999999999</v>
      </c>
      <c r="H703" s="1" t="s">
        <v>774</v>
      </c>
      <c r="I703" s="9">
        <v>100</v>
      </c>
      <c r="J703" s="36">
        <v>0.06</v>
      </c>
    </row>
    <row r="704" spans="2:10" s="44" customFormat="1" x14ac:dyDescent="0.35">
      <c r="B704" s="9">
        <v>1146419</v>
      </c>
      <c r="C704" s="5" t="s">
        <v>860</v>
      </c>
      <c r="D704" s="5" t="s">
        <v>3565</v>
      </c>
      <c r="E704" s="5" t="s">
        <v>838</v>
      </c>
      <c r="F704" s="34" t="s">
        <v>3574</v>
      </c>
      <c r="G704" s="26">
        <v>1.536</v>
      </c>
      <c r="H704" s="1" t="s">
        <v>774</v>
      </c>
      <c r="I704" s="9">
        <v>100</v>
      </c>
      <c r="J704" s="36">
        <v>0.06</v>
      </c>
    </row>
    <row r="705" spans="2:10" s="44" customFormat="1" x14ac:dyDescent="0.35">
      <c r="B705" s="9">
        <v>1146420</v>
      </c>
      <c r="C705" s="5" t="s">
        <v>1944</v>
      </c>
      <c r="D705" s="5" t="s">
        <v>3565</v>
      </c>
      <c r="E705" s="5" t="s">
        <v>2029</v>
      </c>
      <c r="F705" s="34" t="s">
        <v>3574</v>
      </c>
      <c r="G705" s="26">
        <v>2.52</v>
      </c>
      <c r="H705" s="1" t="s">
        <v>774</v>
      </c>
      <c r="I705" s="9">
        <v>100</v>
      </c>
      <c r="J705" s="36">
        <v>0.06</v>
      </c>
    </row>
    <row r="706" spans="2:10" s="44" customFormat="1" x14ac:dyDescent="0.35">
      <c r="B706" s="9">
        <v>1146428</v>
      </c>
      <c r="C706" s="5" t="s">
        <v>1113</v>
      </c>
      <c r="D706" s="5" t="s">
        <v>3565</v>
      </c>
      <c r="E706" s="5" t="s">
        <v>963</v>
      </c>
      <c r="F706" s="34" t="s">
        <v>3574</v>
      </c>
      <c r="G706" s="26">
        <v>0.33399999999999996</v>
      </c>
      <c r="H706" s="1" t="s">
        <v>774</v>
      </c>
      <c r="I706" s="9">
        <v>100</v>
      </c>
      <c r="J706" s="36">
        <v>0.06</v>
      </c>
    </row>
    <row r="707" spans="2:10" s="44" customFormat="1" x14ac:dyDescent="0.35">
      <c r="B707" s="9">
        <v>1146430</v>
      </c>
      <c r="C707" s="5" t="s">
        <v>1917</v>
      </c>
      <c r="D707" s="5" t="s">
        <v>3565</v>
      </c>
      <c r="E707" s="5" t="s">
        <v>2315</v>
      </c>
      <c r="F707" s="34" t="s">
        <v>3574</v>
      </c>
      <c r="G707" s="26">
        <v>1.155</v>
      </c>
      <c r="H707" s="1" t="s">
        <v>774</v>
      </c>
      <c r="I707" s="9">
        <v>100</v>
      </c>
      <c r="J707" s="36">
        <v>0.06</v>
      </c>
    </row>
    <row r="708" spans="2:10" s="44" customFormat="1" x14ac:dyDescent="0.35">
      <c r="B708" s="9">
        <v>1146431</v>
      </c>
      <c r="C708" s="5" t="s">
        <v>1917</v>
      </c>
      <c r="D708" s="5" t="s">
        <v>3565</v>
      </c>
      <c r="E708" s="5" t="s">
        <v>2475</v>
      </c>
      <c r="F708" s="34" t="s">
        <v>3574</v>
      </c>
      <c r="G708" s="26">
        <v>0.77300000000000002</v>
      </c>
      <c r="H708" s="1" t="s">
        <v>774</v>
      </c>
      <c r="I708" s="9">
        <v>100</v>
      </c>
      <c r="J708" s="36">
        <v>0.06</v>
      </c>
    </row>
    <row r="709" spans="2:10" s="44" customFormat="1" x14ac:dyDescent="0.35">
      <c r="B709" s="9">
        <v>1146432</v>
      </c>
      <c r="C709" s="5" t="s">
        <v>1917</v>
      </c>
      <c r="D709" s="5" t="s">
        <v>3565</v>
      </c>
      <c r="E709" s="5" t="s">
        <v>2075</v>
      </c>
      <c r="F709" s="34" t="s">
        <v>3574</v>
      </c>
      <c r="G709" s="26">
        <v>0.68299999999999994</v>
      </c>
      <c r="H709" s="1" t="s">
        <v>774</v>
      </c>
      <c r="I709" s="9">
        <v>100</v>
      </c>
      <c r="J709" s="36">
        <v>0.06</v>
      </c>
    </row>
    <row r="710" spans="2:10" s="44" customFormat="1" x14ac:dyDescent="0.35">
      <c r="B710" s="9">
        <v>1146433</v>
      </c>
      <c r="C710" s="5" t="s">
        <v>861</v>
      </c>
      <c r="D710" s="5" t="s">
        <v>3565</v>
      </c>
      <c r="E710" s="5" t="s">
        <v>838</v>
      </c>
      <c r="F710" s="34" t="s">
        <v>3574</v>
      </c>
      <c r="G710" s="26">
        <v>0.87899999999999989</v>
      </c>
      <c r="H710" s="1" t="s">
        <v>774</v>
      </c>
      <c r="I710" s="9">
        <v>100</v>
      </c>
      <c r="J710" s="36">
        <v>0.06</v>
      </c>
    </row>
    <row r="711" spans="2:10" s="44" customFormat="1" x14ac:dyDescent="0.35">
      <c r="B711" s="9">
        <v>1146434</v>
      </c>
      <c r="C711" s="5" t="s">
        <v>862</v>
      </c>
      <c r="D711" s="5" t="s">
        <v>3565</v>
      </c>
      <c r="E711" s="5" t="s">
        <v>838</v>
      </c>
      <c r="F711" s="34" t="s">
        <v>3574</v>
      </c>
      <c r="G711" s="26">
        <v>0.78399999999999992</v>
      </c>
      <c r="H711" s="1" t="s">
        <v>774</v>
      </c>
      <c r="I711" s="9">
        <v>100</v>
      </c>
      <c r="J711" s="36">
        <v>0.06</v>
      </c>
    </row>
    <row r="712" spans="2:10" s="44" customFormat="1" x14ac:dyDescent="0.35">
      <c r="B712" s="9">
        <v>1146435</v>
      </c>
      <c r="C712" s="5" t="s">
        <v>1917</v>
      </c>
      <c r="D712" s="5" t="s">
        <v>3565</v>
      </c>
      <c r="E712" s="5" t="s">
        <v>2320</v>
      </c>
      <c r="F712" s="34" t="s">
        <v>3574</v>
      </c>
      <c r="G712" s="26">
        <v>1.103</v>
      </c>
      <c r="H712" s="1" t="s">
        <v>774</v>
      </c>
      <c r="I712" s="9">
        <v>100</v>
      </c>
      <c r="J712" s="36">
        <v>0.06</v>
      </c>
    </row>
    <row r="713" spans="2:10" s="44" customFormat="1" x14ac:dyDescent="0.35">
      <c r="B713" s="9">
        <v>1146436</v>
      </c>
      <c r="C713" s="5" t="s">
        <v>1917</v>
      </c>
      <c r="D713" s="5" t="s">
        <v>3565</v>
      </c>
      <c r="E713" s="5" t="s">
        <v>1918</v>
      </c>
      <c r="F713" s="34" t="s">
        <v>3574</v>
      </c>
      <c r="G713" s="26">
        <v>1.05</v>
      </c>
      <c r="H713" s="1" t="s">
        <v>774</v>
      </c>
      <c r="I713" s="9">
        <v>100</v>
      </c>
      <c r="J713" s="36">
        <v>0.06</v>
      </c>
    </row>
    <row r="714" spans="2:10" s="44" customFormat="1" x14ac:dyDescent="0.35">
      <c r="B714" s="9">
        <v>1146437</v>
      </c>
      <c r="C714" s="5" t="s">
        <v>1944</v>
      </c>
      <c r="D714" s="5" t="s">
        <v>3565</v>
      </c>
      <c r="E714" s="5" t="s">
        <v>2732</v>
      </c>
      <c r="F714" s="34" t="s">
        <v>3574</v>
      </c>
      <c r="G714" s="26">
        <v>0.92700000000000005</v>
      </c>
      <c r="H714" s="1" t="s">
        <v>774</v>
      </c>
      <c r="I714" s="9">
        <v>100</v>
      </c>
      <c r="J714" s="36">
        <v>0.06</v>
      </c>
    </row>
    <row r="715" spans="2:10" s="44" customFormat="1" x14ac:dyDescent="0.35">
      <c r="B715" s="9">
        <v>1146439</v>
      </c>
      <c r="C715" s="5" t="s">
        <v>1880</v>
      </c>
      <c r="D715" s="5" t="s">
        <v>3565</v>
      </c>
      <c r="E715" s="5" t="s">
        <v>1881</v>
      </c>
      <c r="F715" s="34" t="s">
        <v>3574</v>
      </c>
      <c r="G715" s="26">
        <v>0.52500000000000002</v>
      </c>
      <c r="H715" s="1" t="s">
        <v>774</v>
      </c>
      <c r="I715" s="9">
        <v>100</v>
      </c>
      <c r="J715" s="36">
        <v>0.06</v>
      </c>
    </row>
    <row r="716" spans="2:10" s="44" customFormat="1" x14ac:dyDescent="0.35">
      <c r="B716" s="9">
        <v>1146440</v>
      </c>
      <c r="C716" s="5" t="s">
        <v>2596</v>
      </c>
      <c r="D716" s="5" t="s">
        <v>3565</v>
      </c>
      <c r="E716" s="5" t="s">
        <v>2597</v>
      </c>
      <c r="F716" s="34" t="s">
        <v>3574</v>
      </c>
      <c r="G716" s="26">
        <v>1.5449999999999999</v>
      </c>
      <c r="H716" s="1" t="s">
        <v>774</v>
      </c>
      <c r="I716" s="9">
        <v>100</v>
      </c>
      <c r="J716" s="36">
        <v>0.06</v>
      </c>
    </row>
    <row r="717" spans="2:10" s="44" customFormat="1" x14ac:dyDescent="0.35">
      <c r="B717" s="9">
        <v>1146441</v>
      </c>
      <c r="C717" s="5" t="s">
        <v>2832</v>
      </c>
      <c r="D717" s="5" t="s">
        <v>3565</v>
      </c>
      <c r="E717" s="5" t="s">
        <v>2833</v>
      </c>
      <c r="F717" s="34" t="s">
        <v>3574</v>
      </c>
      <c r="G717" s="26">
        <v>1.7509999999999999</v>
      </c>
      <c r="H717" s="1" t="s">
        <v>774</v>
      </c>
      <c r="I717" s="9">
        <v>100</v>
      </c>
      <c r="J717" s="36">
        <v>0.06</v>
      </c>
    </row>
    <row r="718" spans="2:10" s="44" customFormat="1" x14ac:dyDescent="0.35">
      <c r="B718" s="9">
        <v>1146442</v>
      </c>
      <c r="C718" s="5" t="s">
        <v>2678</v>
      </c>
      <c r="D718" s="5" t="s">
        <v>3565</v>
      </c>
      <c r="E718" s="5" t="s">
        <v>838</v>
      </c>
      <c r="F718" s="34" t="s">
        <v>3574</v>
      </c>
      <c r="G718" s="26">
        <v>2.2149999999999999</v>
      </c>
      <c r="H718" s="1" t="s">
        <v>774</v>
      </c>
      <c r="I718" s="9">
        <v>100</v>
      </c>
      <c r="J718" s="36">
        <v>0.06</v>
      </c>
    </row>
    <row r="719" spans="2:10" s="44" customFormat="1" x14ac:dyDescent="0.35">
      <c r="B719" s="9">
        <v>1146450</v>
      </c>
      <c r="C719" s="5" t="s">
        <v>2996</v>
      </c>
      <c r="D719" s="5" t="s">
        <v>3565</v>
      </c>
      <c r="E719" s="5" t="s">
        <v>2997</v>
      </c>
      <c r="F719" s="34" t="s">
        <v>3574</v>
      </c>
      <c r="G719" s="26">
        <v>1.9569999999999999</v>
      </c>
      <c r="H719" s="1" t="s">
        <v>774</v>
      </c>
      <c r="I719" s="9">
        <v>100</v>
      </c>
      <c r="J719" s="36">
        <v>0.06</v>
      </c>
    </row>
    <row r="720" spans="2:10" s="44" customFormat="1" x14ac:dyDescent="0.35">
      <c r="B720" s="9">
        <v>1146469</v>
      </c>
      <c r="C720" s="5" t="s">
        <v>2127</v>
      </c>
      <c r="D720" s="5" t="s">
        <v>3565</v>
      </c>
      <c r="E720" s="5" t="s">
        <v>2131</v>
      </c>
      <c r="F720" s="34" t="s">
        <v>3574</v>
      </c>
      <c r="G720" s="26">
        <v>1.89</v>
      </c>
      <c r="H720" s="1" t="s">
        <v>774</v>
      </c>
      <c r="I720" s="9">
        <v>100</v>
      </c>
      <c r="J720" s="36">
        <v>0.06</v>
      </c>
    </row>
    <row r="721" spans="2:10" s="44" customFormat="1" x14ac:dyDescent="0.35">
      <c r="B721" s="9">
        <v>1146470</v>
      </c>
      <c r="C721" s="5" t="s">
        <v>2464</v>
      </c>
      <c r="D721" s="5" t="s">
        <v>3565</v>
      </c>
      <c r="E721" s="5" t="s">
        <v>1052</v>
      </c>
      <c r="F721" s="34" t="s">
        <v>3574</v>
      </c>
      <c r="G721" s="26">
        <v>0.21600000000000003</v>
      </c>
      <c r="H721" s="1" t="s">
        <v>774</v>
      </c>
      <c r="I721" s="9">
        <v>100</v>
      </c>
      <c r="J721" s="36">
        <v>0.06</v>
      </c>
    </row>
    <row r="722" spans="2:10" s="44" customFormat="1" x14ac:dyDescent="0.35">
      <c r="B722" s="9">
        <v>1146471</v>
      </c>
      <c r="C722" s="5" t="s">
        <v>1051</v>
      </c>
      <c r="D722" s="5" t="s">
        <v>3565</v>
      </c>
      <c r="E722" s="5" t="s">
        <v>1052</v>
      </c>
      <c r="F722" s="34" t="s">
        <v>3574</v>
      </c>
      <c r="G722" s="26">
        <v>0.13400000000000001</v>
      </c>
      <c r="H722" s="1" t="s">
        <v>774</v>
      </c>
      <c r="I722" s="9">
        <v>100</v>
      </c>
      <c r="J722" s="36">
        <v>0.06</v>
      </c>
    </row>
    <row r="723" spans="2:10" s="44" customFormat="1" x14ac:dyDescent="0.35">
      <c r="B723" s="9">
        <v>1146474</v>
      </c>
      <c r="C723" s="5" t="s">
        <v>2908</v>
      </c>
      <c r="D723" s="5" t="s">
        <v>3565</v>
      </c>
      <c r="E723" s="5" t="s">
        <v>2909</v>
      </c>
      <c r="F723" s="34" t="s">
        <v>3574</v>
      </c>
      <c r="G723" s="26">
        <v>0.19500000000000001</v>
      </c>
      <c r="H723" s="1" t="s">
        <v>774</v>
      </c>
      <c r="I723" s="9">
        <v>100</v>
      </c>
      <c r="J723" s="36">
        <v>0.06</v>
      </c>
    </row>
    <row r="724" spans="2:10" s="44" customFormat="1" x14ac:dyDescent="0.35">
      <c r="B724" s="9">
        <v>1146498</v>
      </c>
      <c r="C724" s="5" t="s">
        <v>2093</v>
      </c>
      <c r="D724" s="5" t="s">
        <v>3565</v>
      </c>
      <c r="E724" s="5" t="s">
        <v>2902</v>
      </c>
      <c r="F724" s="34" t="s">
        <v>3574</v>
      </c>
      <c r="G724" s="26">
        <v>0.627</v>
      </c>
      <c r="H724" s="1" t="s">
        <v>774</v>
      </c>
      <c r="I724" s="9">
        <v>100</v>
      </c>
      <c r="J724" s="36">
        <v>0.06</v>
      </c>
    </row>
    <row r="725" spans="2:10" s="44" customFormat="1" x14ac:dyDescent="0.35">
      <c r="B725" s="9">
        <v>1146507</v>
      </c>
      <c r="C725" s="5" t="s">
        <v>1991</v>
      </c>
      <c r="D725" s="5" t="s">
        <v>3565</v>
      </c>
      <c r="E725" s="5" t="s">
        <v>1992</v>
      </c>
      <c r="F725" s="34" t="s">
        <v>3574</v>
      </c>
      <c r="G725" s="26">
        <v>1.47</v>
      </c>
      <c r="H725" s="1" t="s">
        <v>774</v>
      </c>
      <c r="I725" s="9">
        <v>100</v>
      </c>
      <c r="J725" s="36">
        <v>0.06</v>
      </c>
    </row>
    <row r="726" spans="2:10" s="44" customFormat="1" x14ac:dyDescent="0.35">
      <c r="B726" s="9">
        <v>1146516</v>
      </c>
      <c r="C726" s="5" t="s">
        <v>3253</v>
      </c>
      <c r="D726" s="5" t="s">
        <v>3565</v>
      </c>
      <c r="E726" s="5" t="s">
        <v>3254</v>
      </c>
      <c r="F726" s="34" t="s">
        <v>3574</v>
      </c>
      <c r="G726" s="26">
        <v>1.3</v>
      </c>
      <c r="H726" s="1" t="s">
        <v>774</v>
      </c>
      <c r="I726" s="9">
        <v>100</v>
      </c>
      <c r="J726" s="36">
        <v>0.06</v>
      </c>
    </row>
    <row r="727" spans="2:10" s="44" customFormat="1" x14ac:dyDescent="0.35">
      <c r="B727" s="9">
        <v>1146520</v>
      </c>
      <c r="C727" s="5" t="s">
        <v>1557</v>
      </c>
      <c r="D727" s="5" t="s">
        <v>3565</v>
      </c>
      <c r="E727" s="5" t="s">
        <v>915</v>
      </c>
      <c r="F727" s="34" t="s">
        <v>3574</v>
      </c>
      <c r="G727" s="26">
        <v>0.26500000000000001</v>
      </c>
      <c r="H727" s="1" t="s">
        <v>774</v>
      </c>
      <c r="I727" s="9">
        <v>100</v>
      </c>
      <c r="J727" s="36">
        <v>0.06</v>
      </c>
    </row>
    <row r="728" spans="2:10" s="44" customFormat="1" x14ac:dyDescent="0.35">
      <c r="B728" s="9">
        <v>1146522</v>
      </c>
      <c r="C728" s="5" t="s">
        <v>1952</v>
      </c>
      <c r="D728" s="5" t="s">
        <v>3565</v>
      </c>
      <c r="E728" s="5" t="s">
        <v>1953</v>
      </c>
      <c r="F728" s="34" t="s">
        <v>3574</v>
      </c>
      <c r="G728" s="26">
        <v>8.4000000000000005E-2</v>
      </c>
      <c r="H728" s="1" t="s">
        <v>774</v>
      </c>
      <c r="I728" s="9">
        <v>200</v>
      </c>
      <c r="J728" s="36">
        <v>0.06</v>
      </c>
    </row>
    <row r="729" spans="2:10" s="44" customFormat="1" x14ac:dyDescent="0.35">
      <c r="B729" s="9">
        <v>1146523</v>
      </c>
      <c r="C729" s="5" t="s">
        <v>993</v>
      </c>
      <c r="D729" s="5" t="s">
        <v>3565</v>
      </c>
      <c r="E729" s="5" t="s">
        <v>913</v>
      </c>
      <c r="F729" s="34" t="s">
        <v>3574</v>
      </c>
      <c r="G729" s="26">
        <v>2.8000000000000004E-2</v>
      </c>
      <c r="H729" s="1" t="s">
        <v>774</v>
      </c>
      <c r="I729" s="9">
        <v>200</v>
      </c>
      <c r="J729" s="36">
        <v>0.06</v>
      </c>
    </row>
    <row r="730" spans="2:10" s="44" customFormat="1" x14ac:dyDescent="0.35">
      <c r="B730" s="9">
        <v>1146524</v>
      </c>
      <c r="C730" s="5" t="s">
        <v>994</v>
      </c>
      <c r="D730" s="5" t="s">
        <v>3565</v>
      </c>
      <c r="E730" s="5" t="s">
        <v>913</v>
      </c>
      <c r="F730" s="34" t="s">
        <v>3574</v>
      </c>
      <c r="G730" s="26">
        <v>3.7000000000000005E-2</v>
      </c>
      <c r="H730" s="1" t="s">
        <v>774</v>
      </c>
      <c r="I730" s="9">
        <v>200</v>
      </c>
      <c r="J730" s="36">
        <v>0.06</v>
      </c>
    </row>
    <row r="731" spans="2:10" s="44" customFormat="1" x14ac:dyDescent="0.35">
      <c r="B731" s="9">
        <v>1146526</v>
      </c>
      <c r="C731" s="5" t="s">
        <v>2703</v>
      </c>
      <c r="D731" s="5" t="s">
        <v>3565</v>
      </c>
      <c r="E731" s="5" t="s">
        <v>2704</v>
      </c>
      <c r="F731" s="34" t="s">
        <v>3574</v>
      </c>
      <c r="G731" s="26">
        <v>8.299999999999999E-2</v>
      </c>
      <c r="H731" s="1" t="s">
        <v>774</v>
      </c>
      <c r="I731" s="9">
        <v>200</v>
      </c>
      <c r="J731" s="36">
        <v>0.06</v>
      </c>
    </row>
    <row r="732" spans="2:10" s="44" customFormat="1" x14ac:dyDescent="0.35">
      <c r="B732" s="9">
        <v>1146535</v>
      </c>
      <c r="C732" s="5" t="s">
        <v>1944</v>
      </c>
      <c r="D732" s="5" t="s">
        <v>3565</v>
      </c>
      <c r="E732" s="5" t="s">
        <v>2314</v>
      </c>
      <c r="F732" s="34" t="s">
        <v>3574</v>
      </c>
      <c r="G732" s="26">
        <v>5.25</v>
      </c>
      <c r="H732" s="1" t="s">
        <v>774</v>
      </c>
      <c r="I732" s="9">
        <v>50</v>
      </c>
      <c r="J732" s="36">
        <v>0.06</v>
      </c>
    </row>
    <row r="733" spans="2:10" s="44" customFormat="1" x14ac:dyDescent="0.35">
      <c r="B733" s="9">
        <v>1146540</v>
      </c>
      <c r="C733" s="5" t="s">
        <v>912</v>
      </c>
      <c r="D733" s="5" t="s">
        <v>3565</v>
      </c>
      <c r="E733" s="5" t="s">
        <v>913</v>
      </c>
      <c r="F733" s="34" t="s">
        <v>3574</v>
      </c>
      <c r="G733" s="26">
        <v>0.05</v>
      </c>
      <c r="H733" s="1" t="s">
        <v>774</v>
      </c>
      <c r="I733" s="9">
        <v>100</v>
      </c>
      <c r="J733" s="36">
        <v>0.06</v>
      </c>
    </row>
    <row r="734" spans="2:10" s="44" customFormat="1" x14ac:dyDescent="0.35">
      <c r="B734" s="9">
        <v>1146541</v>
      </c>
      <c r="C734" s="5" t="s">
        <v>914</v>
      </c>
      <c r="D734" s="5" t="s">
        <v>3565</v>
      </c>
      <c r="E734" s="5" t="s">
        <v>915</v>
      </c>
      <c r="F734" s="34" t="s">
        <v>3574</v>
      </c>
      <c r="G734" s="26">
        <v>4.8999999999999995E-2</v>
      </c>
      <c r="H734" s="1" t="s">
        <v>774</v>
      </c>
      <c r="I734" s="9">
        <v>100</v>
      </c>
      <c r="J734" s="36">
        <v>0.06</v>
      </c>
    </row>
    <row r="735" spans="2:10" s="44" customFormat="1" x14ac:dyDescent="0.35">
      <c r="B735" s="9">
        <v>1146544</v>
      </c>
      <c r="C735" s="5" t="s">
        <v>995</v>
      </c>
      <c r="D735" s="5" t="s">
        <v>3565</v>
      </c>
      <c r="E735" s="5" t="s">
        <v>913</v>
      </c>
      <c r="F735" s="34" t="s">
        <v>3574</v>
      </c>
      <c r="G735" s="26">
        <v>8.1000000000000003E-2</v>
      </c>
      <c r="H735" s="1" t="s">
        <v>774</v>
      </c>
      <c r="I735" s="9">
        <v>200</v>
      </c>
      <c r="J735" s="36">
        <v>0.06</v>
      </c>
    </row>
    <row r="736" spans="2:10" s="44" customFormat="1" x14ac:dyDescent="0.35">
      <c r="B736" s="9">
        <v>1146552</v>
      </c>
      <c r="C736" s="5" t="s">
        <v>1844</v>
      </c>
      <c r="D736" s="5" t="s">
        <v>3565</v>
      </c>
      <c r="E736" s="5" t="s">
        <v>1929</v>
      </c>
      <c r="F736" s="34" t="s">
        <v>3574</v>
      </c>
      <c r="G736" s="26">
        <v>0.45</v>
      </c>
      <c r="H736" s="1" t="s">
        <v>774</v>
      </c>
      <c r="I736" s="9">
        <v>100</v>
      </c>
      <c r="J736" s="36">
        <v>0.06</v>
      </c>
    </row>
    <row r="737" spans="2:10" s="44" customFormat="1" x14ac:dyDescent="0.35">
      <c r="B737" s="9">
        <v>1146554</v>
      </c>
      <c r="C737" s="5" t="s">
        <v>1996</v>
      </c>
      <c r="D737" s="5" t="s">
        <v>3565</v>
      </c>
      <c r="E737" s="5" t="s">
        <v>1997</v>
      </c>
      <c r="F737" s="34" t="s">
        <v>3574</v>
      </c>
      <c r="G737" s="26">
        <v>0.58799999999999997</v>
      </c>
      <c r="H737" s="1" t="s">
        <v>774</v>
      </c>
      <c r="I737" s="9">
        <v>100</v>
      </c>
      <c r="J737" s="36">
        <v>0.06</v>
      </c>
    </row>
    <row r="738" spans="2:10" s="44" customFormat="1" x14ac:dyDescent="0.35">
      <c r="B738" s="9">
        <v>1146559</v>
      </c>
      <c r="C738" s="5" t="s">
        <v>2773</v>
      </c>
      <c r="D738" s="5" t="s">
        <v>3565</v>
      </c>
      <c r="E738" s="5" t="s">
        <v>2774</v>
      </c>
      <c r="F738" s="34" t="s">
        <v>3574</v>
      </c>
      <c r="G738" s="26">
        <v>0.61799999999999999</v>
      </c>
      <c r="H738" s="1" t="s">
        <v>774</v>
      </c>
      <c r="I738" s="9">
        <v>100</v>
      </c>
      <c r="J738" s="36">
        <v>0.06</v>
      </c>
    </row>
    <row r="739" spans="2:10" s="44" customFormat="1" x14ac:dyDescent="0.35">
      <c r="B739" s="9">
        <v>1146560</v>
      </c>
      <c r="C739" s="5" t="s">
        <v>996</v>
      </c>
      <c r="D739" s="5" t="s">
        <v>3565</v>
      </c>
      <c r="E739" s="5" t="s">
        <v>913</v>
      </c>
      <c r="F739" s="34" t="s">
        <v>3574</v>
      </c>
      <c r="G739" s="26">
        <v>4.5999999999999999E-2</v>
      </c>
      <c r="H739" s="1" t="s">
        <v>774</v>
      </c>
      <c r="I739" s="9">
        <v>200</v>
      </c>
      <c r="J739" s="36">
        <v>0.06</v>
      </c>
    </row>
    <row r="740" spans="2:10" s="44" customFormat="1" x14ac:dyDescent="0.35">
      <c r="B740" s="9">
        <v>1146562</v>
      </c>
      <c r="C740" s="5" t="s">
        <v>2978</v>
      </c>
      <c r="D740" s="5" t="s">
        <v>3565</v>
      </c>
      <c r="E740" s="5" t="s">
        <v>2979</v>
      </c>
      <c r="F740" s="34" t="s">
        <v>3574</v>
      </c>
      <c r="G740" s="26">
        <v>4.3999999999999997E-2</v>
      </c>
      <c r="H740" s="1" t="s">
        <v>774</v>
      </c>
      <c r="I740" s="9">
        <v>200</v>
      </c>
      <c r="J740" s="36">
        <v>0.06</v>
      </c>
    </row>
    <row r="741" spans="2:10" s="44" customFormat="1" x14ac:dyDescent="0.35">
      <c r="B741" s="9">
        <v>1146574</v>
      </c>
      <c r="C741" s="5" t="s">
        <v>2775</v>
      </c>
      <c r="D741" s="5" t="s">
        <v>3565</v>
      </c>
      <c r="E741" s="5" t="s">
        <v>2776</v>
      </c>
      <c r="F741" s="34" t="s">
        <v>3574</v>
      </c>
      <c r="G741" s="26">
        <v>0.67</v>
      </c>
      <c r="H741" s="1" t="s">
        <v>774</v>
      </c>
      <c r="I741" s="9">
        <v>100</v>
      </c>
      <c r="J741" s="36">
        <v>0.06</v>
      </c>
    </row>
    <row r="742" spans="2:10" s="44" customFormat="1" x14ac:dyDescent="0.35">
      <c r="B742" s="9">
        <v>1146576</v>
      </c>
      <c r="C742" s="5" t="s">
        <v>2752</v>
      </c>
      <c r="D742" s="5" t="s">
        <v>3565</v>
      </c>
      <c r="E742" s="5" t="s">
        <v>2753</v>
      </c>
      <c r="F742" s="34" t="s">
        <v>3574</v>
      </c>
      <c r="G742" s="26">
        <v>0.87599999999999989</v>
      </c>
      <c r="H742" s="1" t="s">
        <v>774</v>
      </c>
      <c r="I742" s="9">
        <v>100</v>
      </c>
      <c r="J742" s="36">
        <v>0.06</v>
      </c>
    </row>
    <row r="743" spans="2:10" s="44" customFormat="1" x14ac:dyDescent="0.35">
      <c r="B743" s="9">
        <v>1146577</v>
      </c>
      <c r="C743" s="5" t="s">
        <v>2386</v>
      </c>
      <c r="D743" s="5" t="s">
        <v>3565</v>
      </c>
      <c r="E743" s="5" t="s">
        <v>2387</v>
      </c>
      <c r="F743" s="34" t="s">
        <v>3574</v>
      </c>
      <c r="G743" s="26">
        <v>0.89300000000000002</v>
      </c>
      <c r="H743" s="1" t="s">
        <v>774</v>
      </c>
      <c r="I743" s="9">
        <v>100</v>
      </c>
      <c r="J743" s="36">
        <v>0.06</v>
      </c>
    </row>
    <row r="744" spans="2:10" s="44" customFormat="1" x14ac:dyDescent="0.35">
      <c r="B744" s="9">
        <v>1146578</v>
      </c>
      <c r="C744" s="5" t="s">
        <v>2777</v>
      </c>
      <c r="D744" s="5" t="s">
        <v>3565</v>
      </c>
      <c r="E744" s="5" t="s">
        <v>2778</v>
      </c>
      <c r="F744" s="34" t="s">
        <v>3574</v>
      </c>
      <c r="G744" s="26">
        <v>0.86599999999999999</v>
      </c>
      <c r="H744" s="1" t="s">
        <v>774</v>
      </c>
      <c r="I744" s="9">
        <v>100</v>
      </c>
      <c r="J744" s="36">
        <v>0.06</v>
      </c>
    </row>
    <row r="745" spans="2:10" s="44" customFormat="1" x14ac:dyDescent="0.35">
      <c r="B745" s="9">
        <v>1146579</v>
      </c>
      <c r="C745" s="5" t="s">
        <v>2779</v>
      </c>
      <c r="D745" s="5" t="s">
        <v>3565</v>
      </c>
      <c r="E745" s="5" t="s">
        <v>2780</v>
      </c>
      <c r="F745" s="34" t="s">
        <v>3574</v>
      </c>
      <c r="G745" s="26">
        <v>0.90699999999999992</v>
      </c>
      <c r="H745" s="1" t="s">
        <v>774</v>
      </c>
      <c r="I745" s="9">
        <v>100</v>
      </c>
      <c r="J745" s="36">
        <v>0.06</v>
      </c>
    </row>
    <row r="746" spans="2:10" s="44" customFormat="1" x14ac:dyDescent="0.35">
      <c r="B746" s="9">
        <v>1146583</v>
      </c>
      <c r="C746" s="5" t="s">
        <v>2781</v>
      </c>
      <c r="D746" s="5" t="s">
        <v>3565</v>
      </c>
      <c r="E746" s="5" t="s">
        <v>2782</v>
      </c>
      <c r="F746" s="34" t="s">
        <v>3574</v>
      </c>
      <c r="G746" s="26">
        <v>0.92700000000000005</v>
      </c>
      <c r="H746" s="1" t="s">
        <v>774</v>
      </c>
      <c r="I746" s="9">
        <v>100</v>
      </c>
      <c r="J746" s="36">
        <v>0.06</v>
      </c>
    </row>
    <row r="747" spans="2:10" s="44" customFormat="1" x14ac:dyDescent="0.35">
      <c r="B747" s="9">
        <v>1146596</v>
      </c>
      <c r="C747" s="5" t="s">
        <v>954</v>
      </c>
      <c r="D747" s="5" t="s">
        <v>3565</v>
      </c>
      <c r="E747" s="5" t="s">
        <v>955</v>
      </c>
      <c r="F747" s="34" t="s">
        <v>3574</v>
      </c>
      <c r="G747" s="26">
        <v>1.155</v>
      </c>
      <c r="H747" s="1" t="s">
        <v>774</v>
      </c>
      <c r="I747" s="9">
        <v>100</v>
      </c>
      <c r="J747" s="36">
        <v>0.06</v>
      </c>
    </row>
    <row r="748" spans="2:10" s="44" customFormat="1" x14ac:dyDescent="0.35">
      <c r="B748" s="9">
        <v>1146597</v>
      </c>
      <c r="C748" s="5" t="s">
        <v>2783</v>
      </c>
      <c r="D748" s="5" t="s">
        <v>3565</v>
      </c>
      <c r="E748" s="5" t="s">
        <v>2784</v>
      </c>
      <c r="F748" s="34" t="s">
        <v>3574</v>
      </c>
      <c r="G748" s="26">
        <v>1.4419999999999999</v>
      </c>
      <c r="H748" s="1" t="s">
        <v>774</v>
      </c>
      <c r="I748" s="9">
        <v>100</v>
      </c>
      <c r="J748" s="36">
        <v>0.06</v>
      </c>
    </row>
    <row r="749" spans="2:10" s="44" customFormat="1" x14ac:dyDescent="0.35">
      <c r="B749" s="9">
        <v>1146598</v>
      </c>
      <c r="C749" s="5" t="s">
        <v>2785</v>
      </c>
      <c r="D749" s="5" t="s">
        <v>3565</v>
      </c>
      <c r="E749" s="5" t="s">
        <v>2786</v>
      </c>
      <c r="F749" s="34" t="s">
        <v>3574</v>
      </c>
      <c r="G749" s="26">
        <v>1.7509999999999999</v>
      </c>
      <c r="H749" s="1" t="s">
        <v>774</v>
      </c>
      <c r="I749" s="9">
        <v>100</v>
      </c>
      <c r="J749" s="36">
        <v>0.06</v>
      </c>
    </row>
    <row r="750" spans="2:10" s="44" customFormat="1" x14ac:dyDescent="0.35">
      <c r="B750" s="9">
        <v>1146599</v>
      </c>
      <c r="C750" s="5" t="s">
        <v>2787</v>
      </c>
      <c r="D750" s="5" t="s">
        <v>3565</v>
      </c>
      <c r="E750" s="5" t="s">
        <v>2788</v>
      </c>
      <c r="F750" s="34" t="s">
        <v>3574</v>
      </c>
      <c r="G750" s="26">
        <v>2.06</v>
      </c>
      <c r="H750" s="1" t="s">
        <v>774</v>
      </c>
      <c r="I750" s="9">
        <v>100</v>
      </c>
      <c r="J750" s="36">
        <v>0.06</v>
      </c>
    </row>
    <row r="751" spans="2:10" s="44" customFormat="1" x14ac:dyDescent="0.35">
      <c r="B751" s="9">
        <v>1146623</v>
      </c>
      <c r="C751" s="5" t="s">
        <v>1952</v>
      </c>
      <c r="D751" s="5" t="s">
        <v>3565</v>
      </c>
      <c r="E751" s="5" t="s">
        <v>2209</v>
      </c>
      <c r="F751" s="34" t="s">
        <v>3574</v>
      </c>
      <c r="G751" s="26">
        <v>0.11599999999999999</v>
      </c>
      <c r="H751" s="1" t="s">
        <v>774</v>
      </c>
      <c r="I751" s="9">
        <v>200</v>
      </c>
      <c r="J751" s="36">
        <v>0.06</v>
      </c>
    </row>
    <row r="752" spans="2:10" s="44" customFormat="1" x14ac:dyDescent="0.35">
      <c r="B752" s="9">
        <v>1146625</v>
      </c>
      <c r="C752" s="5" t="s">
        <v>2569</v>
      </c>
      <c r="D752" s="5" t="s">
        <v>3565</v>
      </c>
      <c r="E752" s="5" t="s">
        <v>2570</v>
      </c>
      <c r="F752" s="34" t="s">
        <v>3574</v>
      </c>
      <c r="G752" s="26">
        <v>0.114</v>
      </c>
      <c r="H752" s="1" t="s">
        <v>774</v>
      </c>
      <c r="I752" s="9">
        <v>200</v>
      </c>
      <c r="J752" s="36">
        <v>0.06</v>
      </c>
    </row>
    <row r="753" spans="2:10" s="44" customFormat="1" x14ac:dyDescent="0.35">
      <c r="B753" s="9">
        <v>1146640</v>
      </c>
      <c r="C753" s="5" t="s">
        <v>1000</v>
      </c>
      <c r="D753" s="5" t="s">
        <v>3565</v>
      </c>
      <c r="E753" s="5">
        <v>1148982</v>
      </c>
      <c r="F753" s="34" t="s">
        <v>3574</v>
      </c>
      <c r="G753" s="26">
        <v>4.0999999999999995E-2</v>
      </c>
      <c r="H753" s="1" t="s">
        <v>774</v>
      </c>
      <c r="I753" s="9">
        <v>200</v>
      </c>
      <c r="J753" s="36">
        <v>0.06</v>
      </c>
    </row>
    <row r="754" spans="2:10" s="44" customFormat="1" x14ac:dyDescent="0.35">
      <c r="B754" s="9">
        <v>1146642</v>
      </c>
      <c r="C754" s="5" t="s">
        <v>1001</v>
      </c>
      <c r="D754" s="5" t="s">
        <v>3565</v>
      </c>
      <c r="E754" s="5">
        <v>1148990</v>
      </c>
      <c r="F754" s="34" t="s">
        <v>3574</v>
      </c>
      <c r="G754" s="26">
        <v>0.16300000000000001</v>
      </c>
      <c r="H754" s="1" t="s">
        <v>774</v>
      </c>
      <c r="I754" s="9">
        <v>200</v>
      </c>
      <c r="J754" s="36">
        <v>0.06</v>
      </c>
    </row>
    <row r="755" spans="2:10" s="44" customFormat="1" x14ac:dyDescent="0.35">
      <c r="B755" s="9">
        <v>1146649</v>
      </c>
      <c r="C755" s="5" t="s">
        <v>1440</v>
      </c>
      <c r="D755" s="5" t="s">
        <v>3565</v>
      </c>
      <c r="E755" s="5" t="s">
        <v>1441</v>
      </c>
      <c r="F755" s="34" t="s">
        <v>3574</v>
      </c>
      <c r="G755" s="26">
        <v>7.9000000000000001E-2</v>
      </c>
      <c r="H755" s="1" t="s">
        <v>774</v>
      </c>
      <c r="I755" s="9">
        <v>100</v>
      </c>
      <c r="J755" s="36">
        <v>0.06</v>
      </c>
    </row>
    <row r="756" spans="2:10" s="44" customFormat="1" x14ac:dyDescent="0.35">
      <c r="B756" s="9">
        <v>1146651</v>
      </c>
      <c r="C756" s="5" t="s">
        <v>2727</v>
      </c>
      <c r="D756" s="5" t="s">
        <v>3565</v>
      </c>
      <c r="E756" s="5" t="s">
        <v>1441</v>
      </c>
      <c r="F756" s="34" t="s">
        <v>3574</v>
      </c>
      <c r="G756" s="26">
        <v>0.13400000000000001</v>
      </c>
      <c r="H756" s="1" t="s">
        <v>774</v>
      </c>
      <c r="I756" s="9">
        <v>100</v>
      </c>
      <c r="J756" s="36">
        <v>0.06</v>
      </c>
    </row>
    <row r="757" spans="2:10" s="44" customFormat="1" x14ac:dyDescent="0.35">
      <c r="B757" s="9">
        <v>1146659</v>
      </c>
      <c r="C757" s="5" t="s">
        <v>1861</v>
      </c>
      <c r="D757" s="5" t="s">
        <v>3565</v>
      </c>
      <c r="E757" s="5" t="s">
        <v>2370</v>
      </c>
      <c r="F757" s="34" t="s">
        <v>3574</v>
      </c>
      <c r="G757" s="26">
        <v>0.315</v>
      </c>
      <c r="H757" s="1" t="s">
        <v>774</v>
      </c>
      <c r="I757" s="9">
        <v>100</v>
      </c>
      <c r="J757" s="36">
        <v>0.06</v>
      </c>
    </row>
    <row r="758" spans="2:10" s="44" customFormat="1" x14ac:dyDescent="0.35">
      <c r="B758" s="9">
        <v>1146661</v>
      </c>
      <c r="C758" s="5" t="s">
        <v>1460</v>
      </c>
      <c r="D758" s="5" t="s">
        <v>3565</v>
      </c>
      <c r="E758" s="5" t="s">
        <v>1443</v>
      </c>
      <c r="F758" s="34" t="s">
        <v>3574</v>
      </c>
      <c r="G758" s="26">
        <v>0.47899999999999998</v>
      </c>
      <c r="H758" s="1" t="s">
        <v>774</v>
      </c>
      <c r="I758" s="9">
        <v>100</v>
      </c>
      <c r="J758" s="36">
        <v>0.06</v>
      </c>
    </row>
    <row r="759" spans="2:10" s="44" customFormat="1" x14ac:dyDescent="0.35">
      <c r="B759" s="9">
        <v>1146662</v>
      </c>
      <c r="C759" s="5" t="s">
        <v>1887</v>
      </c>
      <c r="D759" s="5" t="s">
        <v>3565</v>
      </c>
      <c r="E759" s="5" t="s">
        <v>906</v>
      </c>
      <c r="F759" s="34" t="s">
        <v>3574</v>
      </c>
      <c r="G759" s="26">
        <v>0.18400000000000002</v>
      </c>
      <c r="H759" s="1" t="s">
        <v>774</v>
      </c>
      <c r="I759" s="9">
        <v>100</v>
      </c>
      <c r="J759" s="36">
        <v>0.06</v>
      </c>
    </row>
    <row r="760" spans="2:10" s="44" customFormat="1" x14ac:dyDescent="0.35">
      <c r="B760" s="9">
        <v>1146663</v>
      </c>
      <c r="C760" s="5" t="s">
        <v>1939</v>
      </c>
      <c r="D760" s="5" t="s">
        <v>3565</v>
      </c>
      <c r="E760" s="5" t="s">
        <v>1940</v>
      </c>
      <c r="F760" s="34" t="s">
        <v>3574</v>
      </c>
      <c r="G760" s="26">
        <v>0.52500000000000002</v>
      </c>
      <c r="H760" s="1" t="s">
        <v>774</v>
      </c>
      <c r="I760" s="9">
        <v>100</v>
      </c>
      <c r="J760" s="36">
        <v>0.06</v>
      </c>
    </row>
    <row r="761" spans="2:10" s="44" customFormat="1" x14ac:dyDescent="0.35">
      <c r="B761" s="9">
        <v>1146665</v>
      </c>
      <c r="C761" s="5" t="s">
        <v>1552</v>
      </c>
      <c r="D761" s="5" t="s">
        <v>3565</v>
      </c>
      <c r="E761" s="5" t="s">
        <v>1097</v>
      </c>
      <c r="F761" s="34" t="s">
        <v>3574</v>
      </c>
      <c r="G761" s="26">
        <v>0.1</v>
      </c>
      <c r="H761" s="1" t="s">
        <v>774</v>
      </c>
      <c r="I761" s="9">
        <v>100</v>
      </c>
      <c r="J761" s="36">
        <v>0.06</v>
      </c>
    </row>
    <row r="762" spans="2:10" s="44" customFormat="1" x14ac:dyDescent="0.35">
      <c r="B762" s="9">
        <v>1146669</v>
      </c>
      <c r="C762" s="5" t="s">
        <v>2693</v>
      </c>
      <c r="D762" s="5" t="s">
        <v>3565</v>
      </c>
      <c r="E762" s="5" t="s">
        <v>2694</v>
      </c>
      <c r="F762" s="34" t="s">
        <v>3574</v>
      </c>
      <c r="G762" s="26">
        <v>0.25800000000000001</v>
      </c>
      <c r="H762" s="1" t="s">
        <v>774</v>
      </c>
      <c r="I762" s="9">
        <v>100</v>
      </c>
      <c r="J762" s="36">
        <v>0.06</v>
      </c>
    </row>
    <row r="763" spans="2:10" s="44" customFormat="1" x14ac:dyDescent="0.35">
      <c r="B763" s="9">
        <v>1146675</v>
      </c>
      <c r="C763" s="5" t="s">
        <v>1170</v>
      </c>
      <c r="D763" s="5" t="s">
        <v>3565</v>
      </c>
      <c r="E763" s="5" t="s">
        <v>906</v>
      </c>
      <c r="F763" s="34" t="s">
        <v>3574</v>
      </c>
      <c r="G763" s="26">
        <v>0.23700000000000002</v>
      </c>
      <c r="H763" s="1" t="s">
        <v>774</v>
      </c>
      <c r="I763" s="9">
        <v>100</v>
      </c>
      <c r="J763" s="36">
        <v>0.06</v>
      </c>
    </row>
    <row r="764" spans="2:10" s="44" customFormat="1" x14ac:dyDescent="0.35">
      <c r="B764" s="9">
        <v>1146680</v>
      </c>
      <c r="C764" s="5" t="s">
        <v>1861</v>
      </c>
      <c r="D764" s="5" t="s">
        <v>3565</v>
      </c>
      <c r="E764" s="5" t="s">
        <v>2123</v>
      </c>
      <c r="F764" s="34" t="s">
        <v>3574</v>
      </c>
      <c r="G764" s="26">
        <v>0.158</v>
      </c>
      <c r="H764" s="1" t="s">
        <v>774</v>
      </c>
      <c r="I764" s="9">
        <v>100</v>
      </c>
      <c r="J764" s="36">
        <v>0.06</v>
      </c>
    </row>
    <row r="765" spans="2:10" s="44" customFormat="1" x14ac:dyDescent="0.35">
      <c r="B765" s="9">
        <v>1146687</v>
      </c>
      <c r="C765" s="5" t="s">
        <v>905</v>
      </c>
      <c r="D765" s="5" t="s">
        <v>3565</v>
      </c>
      <c r="E765" s="5" t="s">
        <v>906</v>
      </c>
      <c r="F765" s="34" t="s">
        <v>3574</v>
      </c>
      <c r="G765" s="26">
        <v>0.17800000000000002</v>
      </c>
      <c r="H765" s="1" t="s">
        <v>774</v>
      </c>
      <c r="I765" s="9">
        <v>100</v>
      </c>
      <c r="J765" s="36">
        <v>0.06</v>
      </c>
    </row>
    <row r="766" spans="2:10" s="44" customFormat="1" x14ac:dyDescent="0.35">
      <c r="B766" s="9">
        <v>1146698</v>
      </c>
      <c r="C766" s="5" t="s">
        <v>886</v>
      </c>
      <c r="D766" s="5" t="s">
        <v>3565</v>
      </c>
      <c r="E766" s="5" t="s">
        <v>879</v>
      </c>
      <c r="F766" s="34" t="s">
        <v>3574</v>
      </c>
      <c r="G766" s="26">
        <v>0.35600000000000004</v>
      </c>
      <c r="H766" s="1" t="s">
        <v>774</v>
      </c>
      <c r="I766" s="9">
        <v>100</v>
      </c>
      <c r="J766" s="36">
        <v>0.06</v>
      </c>
    </row>
    <row r="767" spans="2:10" s="44" customFormat="1" x14ac:dyDescent="0.35">
      <c r="B767" s="9">
        <v>1146699</v>
      </c>
      <c r="C767" s="5" t="s">
        <v>999</v>
      </c>
      <c r="D767" s="5" t="s">
        <v>3565</v>
      </c>
      <c r="E767" s="11" t="s">
        <v>3573</v>
      </c>
      <c r="F767" s="34" t="s">
        <v>3574</v>
      </c>
      <c r="G767" s="26">
        <v>0.1</v>
      </c>
      <c r="H767" s="1" t="s">
        <v>774</v>
      </c>
      <c r="I767" s="9">
        <v>100</v>
      </c>
      <c r="J767" s="36">
        <v>0.06</v>
      </c>
    </row>
    <row r="768" spans="2:10" s="44" customFormat="1" x14ac:dyDescent="0.35">
      <c r="B768" s="9">
        <v>1146703</v>
      </c>
      <c r="C768" s="5" t="s">
        <v>1861</v>
      </c>
      <c r="D768" s="5" t="s">
        <v>3565</v>
      </c>
      <c r="E768" s="5" t="s">
        <v>2367</v>
      </c>
      <c r="F768" s="34" t="s">
        <v>3574</v>
      </c>
      <c r="G768" s="26">
        <v>0.24200000000000002</v>
      </c>
      <c r="H768" s="1" t="s">
        <v>774</v>
      </c>
      <c r="I768" s="9">
        <v>100</v>
      </c>
      <c r="J768" s="36">
        <v>0.06</v>
      </c>
    </row>
    <row r="769" spans="2:10" s="44" customFormat="1" x14ac:dyDescent="0.35">
      <c r="B769" s="9">
        <v>1146707</v>
      </c>
      <c r="C769" s="5" t="s">
        <v>1822</v>
      </c>
      <c r="D769" s="5" t="s">
        <v>3565</v>
      </c>
      <c r="E769" s="5" t="s">
        <v>2297</v>
      </c>
      <c r="F769" s="34" t="s">
        <v>3574</v>
      </c>
      <c r="G769" s="26">
        <v>0.24200000000000002</v>
      </c>
      <c r="H769" s="1" t="s">
        <v>774</v>
      </c>
      <c r="I769" s="9">
        <v>100</v>
      </c>
      <c r="J769" s="36">
        <v>0.06</v>
      </c>
    </row>
    <row r="770" spans="2:10" s="44" customFormat="1" x14ac:dyDescent="0.35">
      <c r="B770" s="9">
        <v>1146712</v>
      </c>
      <c r="C770" s="5" t="s">
        <v>2424</v>
      </c>
      <c r="D770" s="5" t="s">
        <v>3565</v>
      </c>
      <c r="E770" s="5" t="s">
        <v>2425</v>
      </c>
      <c r="F770" s="34" t="s">
        <v>3574</v>
      </c>
      <c r="G770" s="26">
        <v>0.158</v>
      </c>
      <c r="H770" s="1" t="s">
        <v>774</v>
      </c>
      <c r="I770" s="9">
        <v>100</v>
      </c>
      <c r="J770" s="36">
        <v>0.06</v>
      </c>
    </row>
    <row r="771" spans="2:10" s="44" customFormat="1" x14ac:dyDescent="0.35">
      <c r="B771" s="9">
        <v>1146714</v>
      </c>
      <c r="C771" s="5" t="s">
        <v>1830</v>
      </c>
      <c r="D771" s="5" t="s">
        <v>3565</v>
      </c>
      <c r="E771" s="5" t="s">
        <v>1831</v>
      </c>
      <c r="F771" s="34" t="s">
        <v>3574</v>
      </c>
      <c r="G771" s="26">
        <v>1.26</v>
      </c>
      <c r="H771" s="1" t="s">
        <v>774</v>
      </c>
      <c r="I771" s="9">
        <v>100</v>
      </c>
      <c r="J771" s="36">
        <v>0.06</v>
      </c>
    </row>
    <row r="772" spans="2:10" s="44" customFormat="1" x14ac:dyDescent="0.35">
      <c r="B772" s="9">
        <v>1146715</v>
      </c>
      <c r="C772" s="5" t="s">
        <v>1830</v>
      </c>
      <c r="D772" s="5" t="s">
        <v>3565</v>
      </c>
      <c r="E772" s="5" t="s">
        <v>1849</v>
      </c>
      <c r="F772" s="34" t="s">
        <v>3574</v>
      </c>
      <c r="G772" s="26">
        <v>0.73899999999999988</v>
      </c>
      <c r="H772" s="1" t="s">
        <v>774</v>
      </c>
      <c r="I772" s="9">
        <v>100</v>
      </c>
      <c r="J772" s="36">
        <v>0.06</v>
      </c>
    </row>
    <row r="773" spans="2:10" s="44" customFormat="1" x14ac:dyDescent="0.35">
      <c r="B773" s="9">
        <v>1146717</v>
      </c>
      <c r="C773" s="5" t="s">
        <v>2579</v>
      </c>
      <c r="D773" s="5" t="s">
        <v>3565</v>
      </c>
      <c r="E773" s="5" t="s">
        <v>2580</v>
      </c>
      <c r="F773" s="34" t="s">
        <v>3574</v>
      </c>
      <c r="G773" s="26">
        <v>0.309</v>
      </c>
      <c r="H773" s="1" t="s">
        <v>774</v>
      </c>
      <c r="I773" s="9">
        <v>100</v>
      </c>
      <c r="J773" s="36">
        <v>0.06</v>
      </c>
    </row>
    <row r="774" spans="2:10" s="44" customFormat="1" x14ac:dyDescent="0.35">
      <c r="B774" s="9">
        <v>1146722</v>
      </c>
      <c r="C774" s="5" t="s">
        <v>1561</v>
      </c>
      <c r="D774" s="5" t="s">
        <v>3565</v>
      </c>
      <c r="E774" s="5" t="s">
        <v>986</v>
      </c>
      <c r="F774" s="34" t="s">
        <v>3574</v>
      </c>
      <c r="G774" s="26">
        <v>8.5999999999999993E-2</v>
      </c>
      <c r="H774" s="1" t="s">
        <v>774</v>
      </c>
      <c r="I774" s="9">
        <v>200</v>
      </c>
      <c r="J774" s="36">
        <v>0.06</v>
      </c>
    </row>
    <row r="775" spans="2:10" s="44" customFormat="1" x14ac:dyDescent="0.35">
      <c r="B775" s="9">
        <v>1146724</v>
      </c>
      <c r="C775" s="5" t="s">
        <v>981</v>
      </c>
      <c r="D775" s="5" t="s">
        <v>3565</v>
      </c>
      <c r="E775" s="5" t="s">
        <v>982</v>
      </c>
      <c r="F775" s="34" t="s">
        <v>3574</v>
      </c>
      <c r="G775" s="26">
        <v>0.10799999999999998</v>
      </c>
      <c r="H775" s="1" t="s">
        <v>774</v>
      </c>
      <c r="I775" s="9">
        <v>200</v>
      </c>
      <c r="J775" s="36">
        <v>0.06</v>
      </c>
    </row>
    <row r="776" spans="2:10" s="44" customFormat="1" x14ac:dyDescent="0.35">
      <c r="B776" s="9">
        <v>1146725</v>
      </c>
      <c r="C776" s="5" t="s">
        <v>983</v>
      </c>
      <c r="D776" s="5" t="s">
        <v>3565</v>
      </c>
      <c r="E776" s="5" t="s">
        <v>984</v>
      </c>
      <c r="F776" s="34" t="s">
        <v>3574</v>
      </c>
      <c r="G776" s="26">
        <v>5.5999999999999994E-2</v>
      </c>
      <c r="H776" s="1" t="s">
        <v>774</v>
      </c>
      <c r="I776" s="9">
        <v>200</v>
      </c>
      <c r="J776" s="36">
        <v>0.06</v>
      </c>
    </row>
    <row r="777" spans="2:10" s="44" customFormat="1" x14ac:dyDescent="0.35">
      <c r="B777" s="9">
        <v>1146728</v>
      </c>
      <c r="C777" s="5" t="s">
        <v>1984</v>
      </c>
      <c r="D777" s="5" t="s">
        <v>3565</v>
      </c>
      <c r="E777" s="5" t="s">
        <v>1985</v>
      </c>
      <c r="F777" s="34" t="s">
        <v>3574</v>
      </c>
      <c r="G777" s="26">
        <v>0.111</v>
      </c>
      <c r="H777" s="1" t="s">
        <v>774</v>
      </c>
      <c r="I777" s="9">
        <v>200</v>
      </c>
      <c r="J777" s="36">
        <v>0.06</v>
      </c>
    </row>
    <row r="778" spans="2:10" s="44" customFormat="1" x14ac:dyDescent="0.35">
      <c r="B778" s="9">
        <v>1146735</v>
      </c>
      <c r="C778" s="5" t="s">
        <v>1894</v>
      </c>
      <c r="D778" s="5" t="s">
        <v>3565</v>
      </c>
      <c r="E778" s="5" t="s">
        <v>984</v>
      </c>
      <c r="F778" s="34" t="s">
        <v>3574</v>
      </c>
      <c r="G778" s="26">
        <v>3.9E-2</v>
      </c>
      <c r="H778" s="1" t="s">
        <v>774</v>
      </c>
      <c r="I778" s="9">
        <v>200</v>
      </c>
      <c r="J778" s="36">
        <v>0.06</v>
      </c>
    </row>
    <row r="779" spans="2:10" s="44" customFormat="1" x14ac:dyDescent="0.35">
      <c r="B779" s="9">
        <v>1146740</v>
      </c>
      <c r="C779" s="5" t="s">
        <v>1984</v>
      </c>
      <c r="D779" s="5" t="s">
        <v>3565</v>
      </c>
      <c r="E779" s="5" t="s">
        <v>2565</v>
      </c>
      <c r="F779" s="34" t="s">
        <v>3574</v>
      </c>
      <c r="G779" s="26">
        <v>5.1999999999999991E-2</v>
      </c>
      <c r="H779" s="1" t="s">
        <v>774</v>
      </c>
      <c r="I779" s="9">
        <v>100</v>
      </c>
      <c r="J779" s="36">
        <v>0.06</v>
      </c>
    </row>
    <row r="780" spans="2:10" s="44" customFormat="1" x14ac:dyDescent="0.35">
      <c r="B780" s="9">
        <v>1146743</v>
      </c>
      <c r="C780" s="5" t="s">
        <v>1984</v>
      </c>
      <c r="D780" s="5" t="s">
        <v>3565</v>
      </c>
      <c r="E780" s="5" t="s">
        <v>2045</v>
      </c>
      <c r="F780" s="34" t="s">
        <v>3574</v>
      </c>
      <c r="G780" s="26">
        <v>0.121</v>
      </c>
      <c r="H780" s="1" t="s">
        <v>774</v>
      </c>
      <c r="I780" s="9">
        <v>200</v>
      </c>
      <c r="J780" s="36">
        <v>0.06</v>
      </c>
    </row>
    <row r="781" spans="2:10" s="44" customFormat="1" x14ac:dyDescent="0.35">
      <c r="B781" s="9">
        <v>1146751</v>
      </c>
      <c r="C781" s="5" t="s">
        <v>1984</v>
      </c>
      <c r="D781" s="5" t="s">
        <v>3565</v>
      </c>
      <c r="E781" s="5" t="s">
        <v>2231</v>
      </c>
      <c r="F781" s="34" t="s">
        <v>3574</v>
      </c>
      <c r="G781" s="26">
        <v>0.11599999999999999</v>
      </c>
      <c r="H781" s="1" t="s">
        <v>774</v>
      </c>
      <c r="I781" s="9">
        <v>200</v>
      </c>
      <c r="J781" s="36">
        <v>0.06</v>
      </c>
    </row>
    <row r="782" spans="2:10" s="44" customFormat="1" x14ac:dyDescent="0.35">
      <c r="B782" s="9">
        <v>1146759</v>
      </c>
      <c r="C782" s="5" t="s">
        <v>985</v>
      </c>
      <c r="D782" s="5" t="s">
        <v>3565</v>
      </c>
      <c r="E782" s="5" t="s">
        <v>986</v>
      </c>
      <c r="F782" s="34" t="s">
        <v>3574</v>
      </c>
      <c r="G782" s="26">
        <v>0.05</v>
      </c>
      <c r="H782" s="1" t="s">
        <v>774</v>
      </c>
      <c r="I782" s="9">
        <v>200</v>
      </c>
      <c r="J782" s="36">
        <v>0.06</v>
      </c>
    </row>
    <row r="783" spans="2:10" s="44" customFormat="1" x14ac:dyDescent="0.35">
      <c r="B783" s="9">
        <v>1146762</v>
      </c>
      <c r="C783" s="5" t="s">
        <v>2262</v>
      </c>
      <c r="D783" s="5" t="s">
        <v>3565</v>
      </c>
      <c r="E783" s="5" t="s">
        <v>2263</v>
      </c>
      <c r="F783" s="34" t="s">
        <v>3574</v>
      </c>
      <c r="G783" s="26">
        <v>0.14699999999999999</v>
      </c>
      <c r="H783" s="1" t="s">
        <v>774</v>
      </c>
      <c r="I783" s="9">
        <v>200</v>
      </c>
      <c r="J783" s="36">
        <v>0.06</v>
      </c>
    </row>
    <row r="784" spans="2:10" s="44" customFormat="1" x14ac:dyDescent="0.35">
      <c r="B784" s="9">
        <v>1146763</v>
      </c>
      <c r="C784" s="5" t="s">
        <v>1817</v>
      </c>
      <c r="D784" s="5" t="s">
        <v>3565</v>
      </c>
      <c r="E784" s="5" t="s">
        <v>986</v>
      </c>
      <c r="F784" s="34" t="s">
        <v>3574</v>
      </c>
      <c r="G784" s="26">
        <v>0.17400000000000002</v>
      </c>
      <c r="H784" s="1" t="s">
        <v>774</v>
      </c>
      <c r="I784" s="9">
        <v>200</v>
      </c>
      <c r="J784" s="36">
        <v>0.06</v>
      </c>
    </row>
    <row r="785" spans="2:10" s="44" customFormat="1" x14ac:dyDescent="0.35">
      <c r="B785" s="9">
        <v>1146767</v>
      </c>
      <c r="C785" s="5" t="s">
        <v>2910</v>
      </c>
      <c r="D785" s="5" t="s">
        <v>3565</v>
      </c>
      <c r="E785" s="5" t="s">
        <v>2911</v>
      </c>
      <c r="F785" s="34" t="s">
        <v>3574</v>
      </c>
      <c r="G785" s="26">
        <v>6.699999999999999E-2</v>
      </c>
      <c r="H785" s="1" t="s">
        <v>774</v>
      </c>
      <c r="I785" s="9">
        <v>200</v>
      </c>
      <c r="J785" s="36">
        <v>0.06</v>
      </c>
    </row>
    <row r="786" spans="2:10" s="44" customFormat="1" x14ac:dyDescent="0.35">
      <c r="B786" s="9">
        <v>1146768</v>
      </c>
      <c r="C786" s="5" t="s">
        <v>2109</v>
      </c>
      <c r="D786" s="5" t="s">
        <v>3565</v>
      </c>
      <c r="E786" s="5" t="s">
        <v>2110</v>
      </c>
      <c r="F786" s="34" t="s">
        <v>3574</v>
      </c>
      <c r="G786" s="26">
        <v>0.315</v>
      </c>
      <c r="H786" s="1" t="s">
        <v>774</v>
      </c>
      <c r="I786" s="9">
        <v>100</v>
      </c>
      <c r="J786" s="36">
        <v>0.06</v>
      </c>
    </row>
    <row r="787" spans="2:10" s="44" customFormat="1" x14ac:dyDescent="0.35">
      <c r="B787" s="9">
        <v>1146774</v>
      </c>
      <c r="C787" s="5" t="s">
        <v>2416</v>
      </c>
      <c r="D787" s="5" t="s">
        <v>3565</v>
      </c>
      <c r="E787" s="5" t="s">
        <v>2417</v>
      </c>
      <c r="F787" s="34" t="s">
        <v>3574</v>
      </c>
      <c r="G787" s="26">
        <v>0.84</v>
      </c>
      <c r="H787" s="1" t="s">
        <v>774</v>
      </c>
      <c r="I787" s="9">
        <v>100</v>
      </c>
      <c r="J787" s="36">
        <v>0.06</v>
      </c>
    </row>
    <row r="788" spans="2:10" s="44" customFormat="1" x14ac:dyDescent="0.35">
      <c r="B788" s="9">
        <v>1146775</v>
      </c>
      <c r="C788" s="5" t="s">
        <v>2454</v>
      </c>
      <c r="D788" s="5" t="s">
        <v>3565</v>
      </c>
      <c r="E788" s="5" t="s">
        <v>2455</v>
      </c>
      <c r="F788" s="34" t="s">
        <v>3574</v>
      </c>
      <c r="G788" s="26">
        <v>0.28900000000000003</v>
      </c>
      <c r="H788" s="1" t="s">
        <v>774</v>
      </c>
      <c r="I788" s="9">
        <v>200</v>
      </c>
      <c r="J788" s="36">
        <v>0.06</v>
      </c>
    </row>
    <row r="789" spans="2:10" s="44" customFormat="1" x14ac:dyDescent="0.35">
      <c r="B789" s="9">
        <v>1146787</v>
      </c>
      <c r="C789" s="5" t="s">
        <v>2098</v>
      </c>
      <c r="D789" s="5" t="s">
        <v>3565</v>
      </c>
      <c r="E789" s="5" t="s">
        <v>2099</v>
      </c>
      <c r="F789" s="34" t="s">
        <v>3574</v>
      </c>
      <c r="G789" s="26">
        <v>0.315</v>
      </c>
      <c r="H789" s="1" t="s">
        <v>774</v>
      </c>
      <c r="I789" s="9">
        <v>100</v>
      </c>
      <c r="J789" s="36">
        <v>0.06</v>
      </c>
    </row>
    <row r="790" spans="2:10" s="44" customFormat="1" x14ac:dyDescent="0.35">
      <c r="B790" s="9">
        <v>1146800</v>
      </c>
      <c r="C790" s="5" t="s">
        <v>1538</v>
      </c>
      <c r="D790" s="5" t="s">
        <v>3565</v>
      </c>
      <c r="E790" s="5" t="s">
        <v>1097</v>
      </c>
      <c r="F790" s="34" t="s">
        <v>3574</v>
      </c>
      <c r="G790" s="26">
        <v>0.31</v>
      </c>
      <c r="H790" s="1" t="s">
        <v>774</v>
      </c>
      <c r="I790" s="9">
        <v>100</v>
      </c>
      <c r="J790" s="36">
        <v>0.06</v>
      </c>
    </row>
    <row r="791" spans="2:10" s="44" customFormat="1" x14ac:dyDescent="0.35">
      <c r="B791" s="9">
        <v>1146809</v>
      </c>
      <c r="C791" s="5" t="s">
        <v>1844</v>
      </c>
      <c r="D791" s="5" t="s">
        <v>3565</v>
      </c>
      <c r="E791" s="5" t="s">
        <v>2084</v>
      </c>
      <c r="F791" s="34" t="s">
        <v>3574</v>
      </c>
      <c r="G791" s="26">
        <v>1.155</v>
      </c>
      <c r="H791" s="1" t="s">
        <v>774</v>
      </c>
      <c r="I791" s="9">
        <v>100</v>
      </c>
      <c r="J791" s="36">
        <v>0.06</v>
      </c>
    </row>
    <row r="792" spans="2:10" s="44" customFormat="1" x14ac:dyDescent="0.35">
      <c r="B792" s="9">
        <v>1146818</v>
      </c>
      <c r="C792" s="5" t="s">
        <v>2905</v>
      </c>
      <c r="D792" s="5" t="s">
        <v>3565</v>
      </c>
      <c r="E792" s="5" t="s">
        <v>2906</v>
      </c>
      <c r="F792" s="34" t="s">
        <v>3574</v>
      </c>
      <c r="G792" s="26">
        <v>0.248</v>
      </c>
      <c r="H792" s="1" t="s">
        <v>774</v>
      </c>
      <c r="I792" s="9">
        <v>100</v>
      </c>
      <c r="J792" s="36">
        <v>0.06</v>
      </c>
    </row>
    <row r="793" spans="2:10" s="44" customFormat="1" x14ac:dyDescent="0.35">
      <c r="B793" s="9">
        <v>1146829</v>
      </c>
      <c r="C793" s="5" t="s">
        <v>2439</v>
      </c>
      <c r="D793" s="5" t="s">
        <v>3565</v>
      </c>
      <c r="E793" s="5" t="s">
        <v>2440</v>
      </c>
      <c r="F793" s="34" t="s">
        <v>3574</v>
      </c>
      <c r="G793" s="26">
        <v>0.14400000000000002</v>
      </c>
      <c r="H793" s="1" t="s">
        <v>774</v>
      </c>
      <c r="I793" s="9">
        <v>100</v>
      </c>
      <c r="J793" s="36">
        <v>0.06</v>
      </c>
    </row>
    <row r="794" spans="2:10" s="44" customFormat="1" x14ac:dyDescent="0.35">
      <c r="B794" s="9">
        <v>1146847</v>
      </c>
      <c r="C794" s="5" t="s">
        <v>1917</v>
      </c>
      <c r="D794" s="5" t="s">
        <v>3565</v>
      </c>
      <c r="E794" s="5" t="s">
        <v>2283</v>
      </c>
      <c r="F794" s="34" t="s">
        <v>3574</v>
      </c>
      <c r="G794" s="26">
        <v>0.3</v>
      </c>
      <c r="H794" s="1" t="s">
        <v>774</v>
      </c>
      <c r="I794" s="9">
        <v>100</v>
      </c>
      <c r="J794" s="36">
        <v>0.06</v>
      </c>
    </row>
    <row r="795" spans="2:10" s="44" customFormat="1" x14ac:dyDescent="0.35">
      <c r="B795" s="9">
        <v>1146852</v>
      </c>
      <c r="C795" s="5" t="s">
        <v>2085</v>
      </c>
      <c r="D795" s="5" t="s">
        <v>3565</v>
      </c>
      <c r="E795" s="5" t="s">
        <v>2086</v>
      </c>
      <c r="F795" s="34" t="s">
        <v>3574</v>
      </c>
      <c r="G795" s="26">
        <v>0.26300000000000001</v>
      </c>
      <c r="H795" s="1" t="s">
        <v>774</v>
      </c>
      <c r="I795" s="9">
        <v>100</v>
      </c>
      <c r="J795" s="36">
        <v>0.06</v>
      </c>
    </row>
    <row r="796" spans="2:10" s="44" customFormat="1" x14ac:dyDescent="0.35">
      <c r="B796" s="9">
        <v>1146866</v>
      </c>
      <c r="C796" s="5" t="s">
        <v>2571</v>
      </c>
      <c r="D796" s="5" t="s">
        <v>3565</v>
      </c>
      <c r="E796" s="5" t="s">
        <v>2572</v>
      </c>
      <c r="F796" s="34" t="s">
        <v>3574</v>
      </c>
      <c r="G796" s="26">
        <v>9.2999999999999985E-2</v>
      </c>
      <c r="H796" s="1" t="s">
        <v>774</v>
      </c>
      <c r="I796" s="9">
        <v>200</v>
      </c>
      <c r="J796" s="36">
        <v>0.06</v>
      </c>
    </row>
    <row r="797" spans="2:10" s="44" customFormat="1" x14ac:dyDescent="0.35">
      <c r="B797" s="9">
        <v>1146883</v>
      </c>
      <c r="C797" s="5" t="s">
        <v>657</v>
      </c>
      <c r="D797" s="5" t="s">
        <v>3565</v>
      </c>
      <c r="E797" s="5" t="s">
        <v>2610</v>
      </c>
      <c r="F797" s="34" t="s">
        <v>3574</v>
      </c>
      <c r="G797" s="26">
        <v>1.391</v>
      </c>
      <c r="H797" s="1" t="s">
        <v>774</v>
      </c>
      <c r="I797" s="9">
        <v>100</v>
      </c>
      <c r="J797" s="36">
        <v>0.06</v>
      </c>
    </row>
    <row r="798" spans="2:10" s="44" customFormat="1" x14ac:dyDescent="0.35">
      <c r="B798" s="9">
        <v>1146901</v>
      </c>
      <c r="C798" s="5" t="s">
        <v>1016</v>
      </c>
      <c r="D798" s="5" t="s">
        <v>3565</v>
      </c>
      <c r="E798" s="5" t="s">
        <v>1017</v>
      </c>
      <c r="F798" s="34" t="s">
        <v>3574</v>
      </c>
      <c r="G798" s="26">
        <v>4.8999999999999995E-2</v>
      </c>
      <c r="H798" s="1" t="s">
        <v>774</v>
      </c>
      <c r="I798" s="9">
        <v>200</v>
      </c>
      <c r="J798" s="36">
        <v>0.06</v>
      </c>
    </row>
    <row r="799" spans="2:10" s="44" customFormat="1" x14ac:dyDescent="0.35">
      <c r="B799" s="9">
        <v>1146909</v>
      </c>
      <c r="C799" s="5" t="s">
        <v>1148</v>
      </c>
      <c r="D799" s="5" t="s">
        <v>3565</v>
      </c>
      <c r="E799" s="5">
        <v>1235699</v>
      </c>
      <c r="F799" s="34" t="s">
        <v>3574</v>
      </c>
      <c r="G799" s="26">
        <v>0.42499999999999999</v>
      </c>
      <c r="H799" s="1" t="s">
        <v>774</v>
      </c>
      <c r="I799" s="9">
        <v>100</v>
      </c>
      <c r="J799" s="36">
        <v>0.06</v>
      </c>
    </row>
    <row r="800" spans="2:10" s="44" customFormat="1" x14ac:dyDescent="0.35">
      <c r="B800" s="9">
        <v>1146912</v>
      </c>
      <c r="C800" s="5" t="s">
        <v>1139</v>
      </c>
      <c r="D800" s="5" t="s">
        <v>3565</v>
      </c>
      <c r="E800" s="5" t="s">
        <v>924</v>
      </c>
      <c r="F800" s="34" t="s">
        <v>3574</v>
      </c>
      <c r="G800" s="26">
        <v>0.13699999999999998</v>
      </c>
      <c r="H800" s="1" t="s">
        <v>774</v>
      </c>
      <c r="I800" s="9">
        <v>100</v>
      </c>
      <c r="J800" s="36">
        <v>0.06</v>
      </c>
    </row>
    <row r="801" spans="2:10" s="44" customFormat="1" x14ac:dyDescent="0.35">
      <c r="B801" s="9">
        <v>1146913</v>
      </c>
      <c r="C801" s="5" t="s">
        <v>1158</v>
      </c>
      <c r="D801" s="5" t="s">
        <v>3565</v>
      </c>
      <c r="E801" s="11" t="s">
        <v>3573</v>
      </c>
      <c r="F801" s="34" t="s">
        <v>3574</v>
      </c>
      <c r="G801" s="26">
        <v>0.12</v>
      </c>
      <c r="H801" s="1" t="s">
        <v>774</v>
      </c>
      <c r="I801" s="9">
        <v>100</v>
      </c>
      <c r="J801" s="36">
        <v>0.06</v>
      </c>
    </row>
    <row r="802" spans="2:10" s="44" customFormat="1" x14ac:dyDescent="0.35">
      <c r="B802" s="9">
        <v>1146914</v>
      </c>
      <c r="C802" s="5" t="s">
        <v>1159</v>
      </c>
      <c r="D802" s="5" t="s">
        <v>3565</v>
      </c>
      <c r="E802" s="5" t="s">
        <v>924</v>
      </c>
      <c r="F802" s="34" t="s">
        <v>3574</v>
      </c>
      <c r="G802" s="26">
        <v>0.15</v>
      </c>
      <c r="H802" s="1" t="s">
        <v>774</v>
      </c>
      <c r="I802" s="9">
        <v>100</v>
      </c>
      <c r="J802" s="36">
        <v>0.06</v>
      </c>
    </row>
    <row r="803" spans="2:10" s="44" customFormat="1" x14ac:dyDescent="0.35">
      <c r="B803" s="9">
        <v>1146915</v>
      </c>
      <c r="C803" s="5" t="s">
        <v>1160</v>
      </c>
      <c r="D803" s="5" t="s">
        <v>3565</v>
      </c>
      <c r="E803" s="5" t="s">
        <v>924</v>
      </c>
      <c r="F803" s="34" t="s">
        <v>3574</v>
      </c>
      <c r="G803" s="26">
        <v>0.13299999999999998</v>
      </c>
      <c r="H803" s="1" t="s">
        <v>774</v>
      </c>
      <c r="I803" s="9">
        <v>100</v>
      </c>
      <c r="J803" s="36">
        <v>0.06</v>
      </c>
    </row>
    <row r="804" spans="2:10" s="44" customFormat="1" x14ac:dyDescent="0.35">
      <c r="B804" s="9">
        <v>1146916</v>
      </c>
      <c r="C804" s="5" t="s">
        <v>1161</v>
      </c>
      <c r="D804" s="5" t="s">
        <v>3565</v>
      </c>
      <c r="E804" s="5" t="s">
        <v>924</v>
      </c>
      <c r="F804" s="34" t="s">
        <v>3574</v>
      </c>
      <c r="G804" s="26">
        <v>0.21</v>
      </c>
      <c r="H804" s="1" t="s">
        <v>774</v>
      </c>
      <c r="I804" s="9">
        <v>100</v>
      </c>
      <c r="J804" s="36">
        <v>0.06</v>
      </c>
    </row>
    <row r="805" spans="2:10" s="44" customFormat="1" x14ac:dyDescent="0.35">
      <c r="B805" s="9">
        <v>1146917</v>
      </c>
      <c r="C805" s="5" t="s">
        <v>1162</v>
      </c>
      <c r="D805" s="5" t="s">
        <v>3565</v>
      </c>
      <c r="E805" s="5" t="s">
        <v>924</v>
      </c>
      <c r="F805" s="34" t="s">
        <v>3574</v>
      </c>
      <c r="G805" s="26">
        <v>0.24700000000000003</v>
      </c>
      <c r="H805" s="1" t="s">
        <v>774</v>
      </c>
      <c r="I805" s="9">
        <v>100</v>
      </c>
      <c r="J805" s="36">
        <v>0.06</v>
      </c>
    </row>
    <row r="806" spans="2:10" s="44" customFormat="1" x14ac:dyDescent="0.35">
      <c r="B806" s="9">
        <v>1146918</v>
      </c>
      <c r="C806" s="5" t="s">
        <v>1163</v>
      </c>
      <c r="D806" s="5" t="s">
        <v>3565</v>
      </c>
      <c r="E806" s="5" t="s">
        <v>924</v>
      </c>
      <c r="F806" s="34" t="s">
        <v>3574</v>
      </c>
      <c r="G806" s="26">
        <v>0.26200000000000001</v>
      </c>
      <c r="H806" s="1" t="s">
        <v>774</v>
      </c>
      <c r="I806" s="9">
        <v>100</v>
      </c>
      <c r="J806" s="36">
        <v>0.06</v>
      </c>
    </row>
    <row r="807" spans="2:10" s="44" customFormat="1" x14ac:dyDescent="0.35">
      <c r="B807" s="9">
        <v>1146919</v>
      </c>
      <c r="C807" s="5" t="s">
        <v>884</v>
      </c>
      <c r="D807" s="5" t="s">
        <v>3565</v>
      </c>
      <c r="E807" s="5" t="s">
        <v>879</v>
      </c>
      <c r="F807" s="34" t="s">
        <v>3574</v>
      </c>
      <c r="G807" s="26">
        <v>0.27700000000000002</v>
      </c>
      <c r="H807" s="1" t="s">
        <v>774</v>
      </c>
      <c r="I807" s="9">
        <v>100</v>
      </c>
      <c r="J807" s="36">
        <v>0.06</v>
      </c>
    </row>
    <row r="808" spans="2:10" s="44" customFormat="1" x14ac:dyDescent="0.35">
      <c r="B808" s="9">
        <v>1146922</v>
      </c>
      <c r="C808" s="5" t="s">
        <v>1861</v>
      </c>
      <c r="D808" s="5" t="s">
        <v>3565</v>
      </c>
      <c r="E808" s="5" t="s">
        <v>2415</v>
      </c>
      <c r="F808" s="34" t="s">
        <v>3574</v>
      </c>
      <c r="G808" s="26">
        <v>0.126</v>
      </c>
      <c r="H808" s="1" t="s">
        <v>774</v>
      </c>
      <c r="I808" s="9">
        <v>100</v>
      </c>
      <c r="J808" s="36">
        <v>0.06</v>
      </c>
    </row>
    <row r="809" spans="2:10" s="44" customFormat="1" x14ac:dyDescent="0.35">
      <c r="B809" s="9">
        <v>1146925</v>
      </c>
      <c r="C809" s="5" t="s">
        <v>1861</v>
      </c>
      <c r="D809" s="5" t="s">
        <v>3565</v>
      </c>
      <c r="E809" s="5" t="s">
        <v>2259</v>
      </c>
      <c r="F809" s="34" t="s">
        <v>3574</v>
      </c>
      <c r="G809" s="26">
        <v>0.441</v>
      </c>
      <c r="H809" s="1" t="s">
        <v>774</v>
      </c>
      <c r="I809" s="9">
        <v>100</v>
      </c>
      <c r="J809" s="36">
        <v>0.06</v>
      </c>
    </row>
    <row r="810" spans="2:10" s="44" customFormat="1" x14ac:dyDescent="0.35">
      <c r="B810" s="9">
        <v>1146926</v>
      </c>
      <c r="C810" s="5" t="s">
        <v>2819</v>
      </c>
      <c r="D810" s="5" t="s">
        <v>3565</v>
      </c>
      <c r="E810" s="5" t="s">
        <v>2820</v>
      </c>
      <c r="F810" s="34" t="s">
        <v>3574</v>
      </c>
      <c r="G810" s="26">
        <v>0.30400000000000005</v>
      </c>
      <c r="H810" s="1" t="s">
        <v>774</v>
      </c>
      <c r="I810" s="9">
        <v>100</v>
      </c>
      <c r="J810" s="36">
        <v>0.06</v>
      </c>
    </row>
    <row r="811" spans="2:10" s="44" customFormat="1" x14ac:dyDescent="0.35">
      <c r="B811" s="9">
        <v>1146928</v>
      </c>
      <c r="C811" s="5" t="s">
        <v>760</v>
      </c>
      <c r="D811" s="5" t="s">
        <v>3565</v>
      </c>
      <c r="E811" s="5" t="s">
        <v>3266</v>
      </c>
      <c r="F811" s="34" t="s">
        <v>3574</v>
      </c>
      <c r="G811" s="26">
        <v>0.56000000000000005</v>
      </c>
      <c r="H811" s="1" t="s">
        <v>774</v>
      </c>
      <c r="I811" s="9">
        <v>100</v>
      </c>
      <c r="J811" s="36">
        <v>0.06</v>
      </c>
    </row>
    <row r="812" spans="2:10" s="44" customFormat="1" x14ac:dyDescent="0.35">
      <c r="B812" s="9">
        <v>1146930</v>
      </c>
      <c r="C812" s="5" t="s">
        <v>1861</v>
      </c>
      <c r="D812" s="5" t="s">
        <v>3565</v>
      </c>
      <c r="E812" s="5" t="s">
        <v>2065</v>
      </c>
      <c r="F812" s="34" t="s">
        <v>3574</v>
      </c>
      <c r="G812" s="26">
        <v>0.26700000000000002</v>
      </c>
      <c r="H812" s="1" t="s">
        <v>774</v>
      </c>
      <c r="I812" s="9">
        <v>100</v>
      </c>
      <c r="J812" s="36">
        <v>0.06</v>
      </c>
    </row>
    <row r="813" spans="2:10" s="44" customFormat="1" x14ac:dyDescent="0.35">
      <c r="B813" s="9">
        <v>1146931</v>
      </c>
      <c r="C813" s="5" t="s">
        <v>2087</v>
      </c>
      <c r="D813" s="5" t="s">
        <v>3565</v>
      </c>
      <c r="E813" s="5" t="s">
        <v>2088</v>
      </c>
      <c r="F813" s="34" t="s">
        <v>3574</v>
      </c>
      <c r="G813" s="26">
        <v>1.26</v>
      </c>
      <c r="H813" s="1" t="s">
        <v>774</v>
      </c>
      <c r="I813" s="9">
        <v>100</v>
      </c>
      <c r="J813" s="36">
        <v>0.06</v>
      </c>
    </row>
    <row r="814" spans="2:10" s="44" customFormat="1" x14ac:dyDescent="0.35">
      <c r="B814" s="9">
        <v>1146940</v>
      </c>
      <c r="C814" s="5" t="s">
        <v>907</v>
      </c>
      <c r="D814" s="5" t="s">
        <v>3565</v>
      </c>
      <c r="E814" s="5" t="s">
        <v>906</v>
      </c>
      <c r="F814" s="34" t="s">
        <v>3574</v>
      </c>
      <c r="G814" s="26">
        <v>9.6000000000000002E-2</v>
      </c>
      <c r="H814" s="1" t="s">
        <v>774</v>
      </c>
      <c r="I814" s="9">
        <v>100</v>
      </c>
      <c r="J814" s="36">
        <v>0.06</v>
      </c>
    </row>
    <row r="815" spans="2:10" s="44" customFormat="1" x14ac:dyDescent="0.35">
      <c r="B815" s="9">
        <v>1146941</v>
      </c>
      <c r="C815" s="5" t="s">
        <v>1861</v>
      </c>
      <c r="D815" s="5" t="s">
        <v>3565</v>
      </c>
      <c r="E815" s="5" t="s">
        <v>2186</v>
      </c>
      <c r="F815" s="34" t="s">
        <v>3574</v>
      </c>
      <c r="G815" s="26">
        <v>0.30499999999999999</v>
      </c>
      <c r="H815" s="1" t="s">
        <v>774</v>
      </c>
      <c r="I815" s="9">
        <v>100</v>
      </c>
      <c r="J815" s="36">
        <v>0.06</v>
      </c>
    </row>
    <row r="816" spans="2:10" s="44" customFormat="1" x14ac:dyDescent="0.35">
      <c r="B816" s="9">
        <v>1146953</v>
      </c>
      <c r="C816" s="5" t="s">
        <v>1861</v>
      </c>
      <c r="D816" s="5" t="s">
        <v>3565</v>
      </c>
      <c r="E816" s="5" t="s">
        <v>1862</v>
      </c>
      <c r="F816" s="34" t="s">
        <v>3574</v>
      </c>
      <c r="G816" s="26">
        <v>0.42</v>
      </c>
      <c r="H816" s="1" t="s">
        <v>774</v>
      </c>
      <c r="I816" s="9">
        <v>100</v>
      </c>
      <c r="J816" s="36">
        <v>0.06</v>
      </c>
    </row>
    <row r="817" spans="2:10" s="44" customFormat="1" x14ac:dyDescent="0.35">
      <c r="B817" s="9">
        <v>1146956</v>
      </c>
      <c r="C817" s="5" t="s">
        <v>1921</v>
      </c>
      <c r="D817" s="5" t="s">
        <v>3565</v>
      </c>
      <c r="E817" s="5" t="s">
        <v>2329</v>
      </c>
      <c r="F817" s="34" t="s">
        <v>3574</v>
      </c>
      <c r="G817" s="26">
        <v>1.68</v>
      </c>
      <c r="H817" s="1" t="s">
        <v>774</v>
      </c>
      <c r="I817" s="9">
        <v>100</v>
      </c>
      <c r="J817" s="36">
        <v>0.06</v>
      </c>
    </row>
    <row r="818" spans="2:10" s="44" customFormat="1" x14ac:dyDescent="0.35">
      <c r="B818" s="9">
        <v>1146957</v>
      </c>
      <c r="C818" s="5" t="s">
        <v>2585</v>
      </c>
      <c r="D818" s="5" t="s">
        <v>3565</v>
      </c>
      <c r="E818" s="5" t="s">
        <v>2586</v>
      </c>
      <c r="F818" s="34" t="s">
        <v>3574</v>
      </c>
      <c r="G818" s="26">
        <v>1.6480000000000001</v>
      </c>
      <c r="H818" s="1" t="s">
        <v>774</v>
      </c>
      <c r="I818" s="9">
        <v>100</v>
      </c>
      <c r="J818" s="36">
        <v>0.06</v>
      </c>
    </row>
    <row r="819" spans="2:10" s="44" customFormat="1" x14ac:dyDescent="0.35">
      <c r="B819" s="9">
        <v>1146961</v>
      </c>
      <c r="C819" s="5" t="s">
        <v>2016</v>
      </c>
      <c r="D819" s="5" t="s">
        <v>3565</v>
      </c>
      <c r="E819" s="5" t="s">
        <v>2017</v>
      </c>
      <c r="F819" s="34" t="s">
        <v>3574</v>
      </c>
      <c r="G819" s="26">
        <v>0.998</v>
      </c>
      <c r="H819" s="1" t="s">
        <v>774</v>
      </c>
      <c r="I819" s="9">
        <v>100</v>
      </c>
      <c r="J819" s="36">
        <v>0.06</v>
      </c>
    </row>
    <row r="820" spans="2:10" s="44" customFormat="1" x14ac:dyDescent="0.35">
      <c r="B820" s="9">
        <v>1146962</v>
      </c>
      <c r="C820" s="5" t="s">
        <v>1921</v>
      </c>
      <c r="D820" s="5" t="s">
        <v>3565</v>
      </c>
      <c r="E820" s="5" t="s">
        <v>1922</v>
      </c>
      <c r="F820" s="34" t="s">
        <v>3574</v>
      </c>
      <c r="G820" s="26">
        <v>1.4179999999999999</v>
      </c>
      <c r="H820" s="1" t="s">
        <v>774</v>
      </c>
      <c r="I820" s="9">
        <v>100</v>
      </c>
      <c r="J820" s="36">
        <v>0.06</v>
      </c>
    </row>
    <row r="821" spans="2:10" s="44" customFormat="1" x14ac:dyDescent="0.35">
      <c r="B821" s="9">
        <v>1146963</v>
      </c>
      <c r="C821" s="5" t="s">
        <v>921</v>
      </c>
      <c r="D821" s="5" t="s">
        <v>3565</v>
      </c>
      <c r="E821" s="5">
        <v>1079891</v>
      </c>
      <c r="F821" s="34" t="s">
        <v>3574</v>
      </c>
      <c r="G821" s="26">
        <v>1.1279999999999999</v>
      </c>
      <c r="H821" s="1" t="s">
        <v>774</v>
      </c>
      <c r="I821" s="9">
        <v>100</v>
      </c>
      <c r="J821" s="36">
        <v>0.06</v>
      </c>
    </row>
    <row r="822" spans="2:10" s="44" customFormat="1" x14ac:dyDescent="0.35">
      <c r="B822" s="9">
        <v>1146978</v>
      </c>
      <c r="C822" s="5" t="s">
        <v>2976</v>
      </c>
      <c r="D822" s="5" t="s">
        <v>3565</v>
      </c>
      <c r="E822" s="5" t="s">
        <v>2977</v>
      </c>
      <c r="F822" s="34" t="s">
        <v>3574</v>
      </c>
      <c r="G822" s="26">
        <v>6.8000000000000005E-2</v>
      </c>
      <c r="H822" s="1" t="s">
        <v>774</v>
      </c>
      <c r="I822" s="9">
        <v>200</v>
      </c>
      <c r="J822" s="36">
        <v>0.06</v>
      </c>
    </row>
    <row r="823" spans="2:10" s="44" customFormat="1" x14ac:dyDescent="0.35">
      <c r="B823" s="9">
        <v>1146980</v>
      </c>
      <c r="C823" s="5" t="s">
        <v>2000</v>
      </c>
      <c r="D823" s="5" t="s">
        <v>3565</v>
      </c>
      <c r="E823" s="5" t="s">
        <v>2001</v>
      </c>
      <c r="F823" s="34" t="s">
        <v>3574</v>
      </c>
      <c r="G823" s="26">
        <v>0.158</v>
      </c>
      <c r="H823" s="1" t="s">
        <v>774</v>
      </c>
      <c r="I823" s="9">
        <v>100</v>
      </c>
      <c r="J823" s="36">
        <v>0.06</v>
      </c>
    </row>
    <row r="824" spans="2:10" s="44" customFormat="1" x14ac:dyDescent="0.35">
      <c r="B824" s="9">
        <v>1146982</v>
      </c>
      <c r="C824" s="5" t="s">
        <v>1921</v>
      </c>
      <c r="D824" s="5" t="s">
        <v>3565</v>
      </c>
      <c r="E824" s="5" t="s">
        <v>2035</v>
      </c>
      <c r="F824" s="34" t="s">
        <v>3574</v>
      </c>
      <c r="G824" s="26">
        <v>2.2050000000000001</v>
      </c>
      <c r="H824" s="1" t="s">
        <v>774</v>
      </c>
      <c r="I824" s="9">
        <v>100</v>
      </c>
      <c r="J824" s="36">
        <v>0.06</v>
      </c>
    </row>
    <row r="825" spans="2:10" s="44" customFormat="1" x14ac:dyDescent="0.35">
      <c r="B825" s="9">
        <v>1146985</v>
      </c>
      <c r="C825" s="5" t="s">
        <v>1125</v>
      </c>
      <c r="D825" s="5" t="s">
        <v>3565</v>
      </c>
      <c r="E825" s="5" t="s">
        <v>1126</v>
      </c>
      <c r="F825" s="34" t="s">
        <v>3574</v>
      </c>
      <c r="G825" s="26">
        <v>0.35300000000000004</v>
      </c>
      <c r="H825" s="1" t="s">
        <v>774</v>
      </c>
      <c r="I825" s="9">
        <v>100</v>
      </c>
      <c r="J825" s="36">
        <v>0.06</v>
      </c>
    </row>
    <row r="826" spans="2:10" s="44" customFormat="1" x14ac:dyDescent="0.35">
      <c r="B826" s="9">
        <v>1146990</v>
      </c>
      <c r="C826" s="5" t="s">
        <v>1811</v>
      </c>
      <c r="D826" s="5" t="s">
        <v>3565</v>
      </c>
      <c r="E826" s="5" t="s">
        <v>1812</v>
      </c>
      <c r="F826" s="34" t="s">
        <v>3574</v>
      </c>
      <c r="G826" s="26">
        <v>0.47300000000000003</v>
      </c>
      <c r="H826" s="1" t="s">
        <v>774</v>
      </c>
      <c r="I826" s="9">
        <v>100</v>
      </c>
      <c r="J826" s="36">
        <v>0.06</v>
      </c>
    </row>
    <row r="827" spans="2:10" s="44" customFormat="1" x14ac:dyDescent="0.35">
      <c r="B827" s="9">
        <v>1146991</v>
      </c>
      <c r="C827" s="5" t="s">
        <v>1127</v>
      </c>
      <c r="D827" s="5" t="s">
        <v>3565</v>
      </c>
      <c r="E827" s="5" t="s">
        <v>1128</v>
      </c>
      <c r="F827" s="34" t="s">
        <v>3574</v>
      </c>
      <c r="G827" s="26">
        <v>0.36800000000000005</v>
      </c>
      <c r="H827" s="1" t="s">
        <v>774</v>
      </c>
      <c r="I827" s="9">
        <v>100</v>
      </c>
      <c r="J827" s="36">
        <v>0.06</v>
      </c>
    </row>
    <row r="828" spans="2:10" s="44" customFormat="1" x14ac:dyDescent="0.35">
      <c r="B828" s="9">
        <v>1146992</v>
      </c>
      <c r="C828" s="5" t="s">
        <v>1550</v>
      </c>
      <c r="D828" s="5" t="s">
        <v>3565</v>
      </c>
      <c r="E828" s="5">
        <v>1422103</v>
      </c>
      <c r="F828" s="34" t="s">
        <v>3574</v>
      </c>
      <c r="G828" s="26">
        <v>8.5999999999999993E-2</v>
      </c>
      <c r="H828" s="1" t="s">
        <v>774</v>
      </c>
      <c r="I828" s="9">
        <v>100</v>
      </c>
      <c r="J828" s="36">
        <v>0.06</v>
      </c>
    </row>
    <row r="829" spans="2:10" s="44" customFormat="1" x14ac:dyDescent="0.35">
      <c r="B829" s="9">
        <v>1146997</v>
      </c>
      <c r="C829" s="5" t="s">
        <v>2412</v>
      </c>
      <c r="D829" s="5" t="s">
        <v>3565</v>
      </c>
      <c r="E829" s="5" t="s">
        <v>906</v>
      </c>
      <c r="F829" s="34" t="s">
        <v>3574</v>
      </c>
      <c r="G829" s="26">
        <v>0.13699999999999998</v>
      </c>
      <c r="H829" s="1" t="s">
        <v>774</v>
      </c>
      <c r="I829" s="9">
        <v>100</v>
      </c>
      <c r="J829" s="36">
        <v>0.06</v>
      </c>
    </row>
    <row r="830" spans="2:10" s="44" customFormat="1" x14ac:dyDescent="0.35">
      <c r="B830" s="9">
        <v>1147004</v>
      </c>
      <c r="C830" s="5" t="s">
        <v>1477</v>
      </c>
      <c r="D830" s="5" t="s">
        <v>3565</v>
      </c>
      <c r="E830" s="5" t="s">
        <v>654</v>
      </c>
      <c r="F830" s="34" t="s">
        <v>3574</v>
      </c>
      <c r="G830" s="26">
        <v>0.47499999999999998</v>
      </c>
      <c r="H830" s="1" t="s">
        <v>774</v>
      </c>
      <c r="I830" s="9">
        <v>100</v>
      </c>
      <c r="J830" s="36">
        <v>0.06</v>
      </c>
    </row>
    <row r="831" spans="2:10" s="44" customFormat="1" x14ac:dyDescent="0.35">
      <c r="B831" s="9">
        <v>1147005</v>
      </c>
      <c r="C831" s="5" t="s">
        <v>1481</v>
      </c>
      <c r="D831" s="5" t="s">
        <v>3565</v>
      </c>
      <c r="E831" s="5" t="s">
        <v>654</v>
      </c>
      <c r="F831" s="34" t="s">
        <v>3574</v>
      </c>
      <c r="G831" s="26">
        <v>0.376</v>
      </c>
      <c r="H831" s="1" t="s">
        <v>774</v>
      </c>
      <c r="I831" s="9">
        <v>100</v>
      </c>
      <c r="J831" s="36">
        <v>0.06</v>
      </c>
    </row>
    <row r="832" spans="2:10" s="44" customFormat="1" x14ac:dyDescent="0.35">
      <c r="B832" s="9">
        <v>1147006</v>
      </c>
      <c r="C832" s="5" t="s">
        <v>83</v>
      </c>
      <c r="D832" s="5" t="s">
        <v>3565</v>
      </c>
      <c r="E832" s="5">
        <v>1385151</v>
      </c>
      <c r="F832" s="34" t="s">
        <v>3574</v>
      </c>
      <c r="G832" s="26">
        <v>1.0019999999999998</v>
      </c>
      <c r="H832" s="1" t="s">
        <v>774</v>
      </c>
      <c r="I832" s="9">
        <v>100</v>
      </c>
      <c r="J832" s="36">
        <v>0.06</v>
      </c>
    </row>
    <row r="833" spans="2:10" s="44" customFormat="1" x14ac:dyDescent="0.35">
      <c r="B833" s="9">
        <v>1147007</v>
      </c>
      <c r="C833" s="5" t="s">
        <v>755</v>
      </c>
      <c r="D833" s="5" t="s">
        <v>3565</v>
      </c>
      <c r="E833" s="5" t="s">
        <v>2593</v>
      </c>
      <c r="F833" s="34" t="s">
        <v>3574</v>
      </c>
      <c r="G833" s="26">
        <v>0.77300000000000002</v>
      </c>
      <c r="H833" s="1" t="s">
        <v>774</v>
      </c>
      <c r="I833" s="9">
        <v>100</v>
      </c>
      <c r="J833" s="36">
        <v>0.06</v>
      </c>
    </row>
    <row r="834" spans="2:10" s="44" customFormat="1" x14ac:dyDescent="0.35">
      <c r="B834" s="9">
        <v>1147008</v>
      </c>
      <c r="C834" s="5" t="s">
        <v>1482</v>
      </c>
      <c r="D834" s="5" t="s">
        <v>3565</v>
      </c>
      <c r="E834" s="5" t="s">
        <v>1483</v>
      </c>
      <c r="F834" s="34" t="s">
        <v>3574</v>
      </c>
      <c r="G834" s="26">
        <v>0.85799999999999998</v>
      </c>
      <c r="H834" s="1" t="s">
        <v>774</v>
      </c>
      <c r="I834" s="9">
        <v>100</v>
      </c>
      <c r="J834" s="36">
        <v>0.06</v>
      </c>
    </row>
    <row r="835" spans="2:10" s="44" customFormat="1" x14ac:dyDescent="0.35">
      <c r="B835" s="9">
        <v>1147009</v>
      </c>
      <c r="C835" s="5" t="s">
        <v>1498</v>
      </c>
      <c r="D835" s="5" t="s">
        <v>3565</v>
      </c>
      <c r="E835" s="5" t="s">
        <v>1499</v>
      </c>
      <c r="F835" s="34" t="s">
        <v>3574</v>
      </c>
      <c r="G835" s="26">
        <v>0.80899999999999994</v>
      </c>
      <c r="H835" s="1" t="s">
        <v>774</v>
      </c>
      <c r="I835" s="9">
        <v>100</v>
      </c>
      <c r="J835" s="36">
        <v>0.06</v>
      </c>
    </row>
    <row r="836" spans="2:10" s="44" customFormat="1" x14ac:dyDescent="0.35">
      <c r="B836" s="9">
        <v>1147012</v>
      </c>
      <c r="C836" s="5" t="s">
        <v>1485</v>
      </c>
      <c r="D836" s="5" t="s">
        <v>3565</v>
      </c>
      <c r="E836" s="5" t="s">
        <v>654</v>
      </c>
      <c r="F836" s="34" t="s">
        <v>3574</v>
      </c>
      <c r="G836" s="26">
        <v>0.68199999999999994</v>
      </c>
      <c r="H836" s="1" t="s">
        <v>774</v>
      </c>
      <c r="I836" s="9">
        <v>100</v>
      </c>
      <c r="J836" s="36">
        <v>0.06</v>
      </c>
    </row>
    <row r="837" spans="2:10" s="44" customFormat="1" x14ac:dyDescent="0.35">
      <c r="B837" s="9">
        <v>1147013</v>
      </c>
      <c r="C837" s="5" t="s">
        <v>1486</v>
      </c>
      <c r="D837" s="5" t="s">
        <v>3565</v>
      </c>
      <c r="E837" s="5" t="s">
        <v>654</v>
      </c>
      <c r="F837" s="34" t="s">
        <v>3574</v>
      </c>
      <c r="G837" s="26">
        <v>1.607</v>
      </c>
      <c r="H837" s="1" t="s">
        <v>774</v>
      </c>
      <c r="I837" s="9">
        <v>100</v>
      </c>
      <c r="J837" s="36">
        <v>0.06</v>
      </c>
    </row>
    <row r="838" spans="2:10" s="44" customFormat="1" x14ac:dyDescent="0.35">
      <c r="B838" s="9">
        <v>1147014</v>
      </c>
      <c r="C838" s="5" t="s">
        <v>1602</v>
      </c>
      <c r="D838" s="5" t="s">
        <v>3565</v>
      </c>
      <c r="E838" s="5">
        <v>1539825</v>
      </c>
      <c r="F838" s="34" t="s">
        <v>3574</v>
      </c>
      <c r="G838" s="26">
        <v>0.39600000000000002</v>
      </c>
      <c r="H838" s="1" t="s">
        <v>774</v>
      </c>
      <c r="I838" s="9">
        <v>100</v>
      </c>
      <c r="J838" s="36">
        <v>0.06</v>
      </c>
    </row>
    <row r="839" spans="2:10" s="44" customFormat="1" x14ac:dyDescent="0.35">
      <c r="B839" s="9">
        <v>1147016</v>
      </c>
      <c r="C839" s="5" t="s">
        <v>2651</v>
      </c>
      <c r="D839" s="5" t="s">
        <v>3565</v>
      </c>
      <c r="E839" s="5" t="s">
        <v>2652</v>
      </c>
      <c r="F839" s="34" t="s">
        <v>3574</v>
      </c>
      <c r="G839" s="26">
        <v>0.61799999999999999</v>
      </c>
      <c r="H839" s="1" t="s">
        <v>774</v>
      </c>
      <c r="I839" s="9">
        <v>100</v>
      </c>
      <c r="J839" s="36">
        <v>0.06</v>
      </c>
    </row>
    <row r="840" spans="2:10" s="44" customFormat="1" x14ac:dyDescent="0.35">
      <c r="B840" s="9">
        <v>1147017</v>
      </c>
      <c r="C840" s="5" t="s">
        <v>1489</v>
      </c>
      <c r="D840" s="5" t="s">
        <v>3565</v>
      </c>
      <c r="E840" s="5" t="s">
        <v>638</v>
      </c>
      <c r="F840" s="34" t="s">
        <v>3574</v>
      </c>
      <c r="G840" s="26">
        <v>0.45200000000000001</v>
      </c>
      <c r="H840" s="1" t="s">
        <v>774</v>
      </c>
      <c r="I840" s="9">
        <v>100</v>
      </c>
      <c r="J840" s="36">
        <v>0.06</v>
      </c>
    </row>
    <row r="841" spans="2:10" s="44" customFormat="1" x14ac:dyDescent="0.35">
      <c r="B841" s="9">
        <v>1147020</v>
      </c>
      <c r="C841" s="5" t="s">
        <v>1923</v>
      </c>
      <c r="D841" s="5" t="s">
        <v>3565</v>
      </c>
      <c r="E841" s="5" t="s">
        <v>2812</v>
      </c>
      <c r="F841" s="34" t="s">
        <v>3574</v>
      </c>
      <c r="G841" s="26">
        <v>0.61299999999999999</v>
      </c>
      <c r="H841" s="1" t="s">
        <v>774</v>
      </c>
      <c r="I841" s="9">
        <v>100</v>
      </c>
      <c r="J841" s="36">
        <v>0.06</v>
      </c>
    </row>
    <row r="842" spans="2:10" s="44" customFormat="1" x14ac:dyDescent="0.35">
      <c r="B842" s="9">
        <v>1147021</v>
      </c>
      <c r="C842" s="5" t="s">
        <v>2575</v>
      </c>
      <c r="D842" s="5" t="s">
        <v>3565</v>
      </c>
      <c r="E842" s="5" t="s">
        <v>2576</v>
      </c>
      <c r="F842" s="34" t="s">
        <v>3574</v>
      </c>
      <c r="G842" s="26">
        <v>1.339</v>
      </c>
      <c r="H842" s="1" t="s">
        <v>774</v>
      </c>
      <c r="I842" s="9">
        <v>100</v>
      </c>
      <c r="J842" s="36">
        <v>0.06</v>
      </c>
    </row>
    <row r="843" spans="2:10" s="44" customFormat="1" x14ac:dyDescent="0.35">
      <c r="B843" s="9">
        <v>1147022</v>
      </c>
      <c r="C843" s="5" t="s">
        <v>1492</v>
      </c>
      <c r="D843" s="5" t="s">
        <v>3565</v>
      </c>
      <c r="E843" s="5" t="s">
        <v>638</v>
      </c>
      <c r="F843" s="34" t="s">
        <v>3574</v>
      </c>
      <c r="G843" s="26">
        <v>0.63500000000000001</v>
      </c>
      <c r="H843" s="1" t="s">
        <v>774</v>
      </c>
      <c r="I843" s="9">
        <v>100</v>
      </c>
      <c r="J843" s="36">
        <v>0.06</v>
      </c>
    </row>
    <row r="844" spans="2:10" s="44" customFormat="1" x14ac:dyDescent="0.35">
      <c r="B844" s="9">
        <v>1147023</v>
      </c>
      <c r="C844" s="5" t="s">
        <v>1472</v>
      </c>
      <c r="D844" s="5" t="s">
        <v>3565</v>
      </c>
      <c r="E844" s="5" t="s">
        <v>1473</v>
      </c>
      <c r="F844" s="34" t="s">
        <v>3574</v>
      </c>
      <c r="G844" s="26">
        <v>1.165</v>
      </c>
      <c r="H844" s="1" t="s">
        <v>774</v>
      </c>
      <c r="I844" s="9">
        <v>100</v>
      </c>
      <c r="J844" s="36">
        <v>0.06</v>
      </c>
    </row>
    <row r="845" spans="2:10" s="44" customFormat="1" x14ac:dyDescent="0.35">
      <c r="B845" s="9">
        <v>1147024</v>
      </c>
      <c r="C845" s="5" t="s">
        <v>1474</v>
      </c>
      <c r="D845" s="5" t="s">
        <v>3565</v>
      </c>
      <c r="E845" s="5">
        <v>556.34</v>
      </c>
      <c r="F845" s="34" t="s">
        <v>3574</v>
      </c>
      <c r="G845" s="26">
        <v>1.119</v>
      </c>
      <c r="H845" s="1" t="s">
        <v>774</v>
      </c>
      <c r="I845" s="9">
        <v>100</v>
      </c>
      <c r="J845" s="36">
        <v>0.06</v>
      </c>
    </row>
    <row r="846" spans="2:10" s="44" customFormat="1" x14ac:dyDescent="0.35">
      <c r="B846" s="9">
        <v>1147025</v>
      </c>
      <c r="C846" s="5" t="s">
        <v>1475</v>
      </c>
      <c r="D846" s="5" t="s">
        <v>3565</v>
      </c>
      <c r="E846" s="5" t="s">
        <v>1476</v>
      </c>
      <c r="F846" s="34" t="s">
        <v>3574</v>
      </c>
      <c r="G846" s="26">
        <v>1.8379999999999999</v>
      </c>
      <c r="H846" s="1" t="s">
        <v>774</v>
      </c>
      <c r="I846" s="9">
        <v>100</v>
      </c>
      <c r="J846" s="36">
        <v>0.06</v>
      </c>
    </row>
    <row r="847" spans="2:10" s="44" customFormat="1" x14ac:dyDescent="0.35">
      <c r="B847" s="9">
        <v>1147026</v>
      </c>
      <c r="C847" s="5" t="s">
        <v>1617</v>
      </c>
      <c r="D847" s="5" t="s">
        <v>3565</v>
      </c>
      <c r="E847" s="5" t="s">
        <v>638</v>
      </c>
      <c r="F847" s="34" t="s">
        <v>3574</v>
      </c>
      <c r="G847" s="26">
        <v>0.53300000000000003</v>
      </c>
      <c r="H847" s="1" t="s">
        <v>774</v>
      </c>
      <c r="I847" s="9">
        <v>100</v>
      </c>
      <c r="J847" s="36">
        <v>0.06</v>
      </c>
    </row>
    <row r="848" spans="2:10" s="44" customFormat="1" x14ac:dyDescent="0.35">
      <c r="B848" s="9">
        <v>1147028</v>
      </c>
      <c r="C848" s="5" t="s">
        <v>1618</v>
      </c>
      <c r="D848" s="5" t="s">
        <v>3565</v>
      </c>
      <c r="E848" s="5" t="s">
        <v>1619</v>
      </c>
      <c r="F848" s="34" t="s">
        <v>3574</v>
      </c>
      <c r="G848" s="26">
        <v>0.63</v>
      </c>
      <c r="H848" s="1" t="s">
        <v>774</v>
      </c>
      <c r="I848" s="9">
        <v>100</v>
      </c>
      <c r="J848" s="36">
        <v>0.06</v>
      </c>
    </row>
    <row r="849" spans="2:10" s="44" customFormat="1" x14ac:dyDescent="0.35">
      <c r="B849" s="9">
        <v>1147030</v>
      </c>
      <c r="C849" s="5" t="s">
        <v>2806</v>
      </c>
      <c r="D849" s="5" t="s">
        <v>3565</v>
      </c>
      <c r="E849" s="5" t="s">
        <v>2807</v>
      </c>
      <c r="F849" s="34" t="s">
        <v>3574</v>
      </c>
      <c r="G849" s="26">
        <v>1.236</v>
      </c>
      <c r="H849" s="1" t="s">
        <v>774</v>
      </c>
      <c r="I849" s="9">
        <v>100</v>
      </c>
      <c r="J849" s="36">
        <v>0.06</v>
      </c>
    </row>
    <row r="850" spans="2:10" s="44" customFormat="1" x14ac:dyDescent="0.35">
      <c r="B850" s="9">
        <v>1147031</v>
      </c>
      <c r="C850" s="5" t="s">
        <v>2004</v>
      </c>
      <c r="D850" s="5" t="s">
        <v>3565</v>
      </c>
      <c r="E850" s="5" t="s">
        <v>2005</v>
      </c>
      <c r="F850" s="34" t="s">
        <v>3574</v>
      </c>
      <c r="G850" s="26">
        <v>0.998</v>
      </c>
      <c r="H850" s="1" t="s">
        <v>774</v>
      </c>
      <c r="I850" s="9">
        <v>100</v>
      </c>
      <c r="J850" s="36">
        <v>0.06</v>
      </c>
    </row>
    <row r="851" spans="2:10" s="44" customFormat="1" x14ac:dyDescent="0.35">
      <c r="B851" s="9">
        <v>1147032</v>
      </c>
      <c r="C851" s="5" t="s">
        <v>1907</v>
      </c>
      <c r="D851" s="5" t="s">
        <v>3565</v>
      </c>
      <c r="E851" s="5" t="s">
        <v>1908</v>
      </c>
      <c r="F851" s="34" t="s">
        <v>3574</v>
      </c>
      <c r="G851" s="26">
        <v>1.3019999999999998</v>
      </c>
      <c r="H851" s="1" t="s">
        <v>774</v>
      </c>
      <c r="I851" s="9">
        <v>100</v>
      </c>
      <c r="J851" s="36">
        <v>0.06</v>
      </c>
    </row>
    <row r="852" spans="2:10" s="44" customFormat="1" x14ac:dyDescent="0.35">
      <c r="B852" s="9">
        <v>1147034</v>
      </c>
      <c r="C852" s="5" t="s">
        <v>2713</v>
      </c>
      <c r="D852" s="5" t="s">
        <v>3565</v>
      </c>
      <c r="E852" s="5" t="s">
        <v>1473</v>
      </c>
      <c r="F852" s="34" t="s">
        <v>3574</v>
      </c>
      <c r="G852" s="26">
        <v>2.1630000000000003</v>
      </c>
      <c r="H852" s="1" t="s">
        <v>774</v>
      </c>
      <c r="I852" s="9">
        <v>100</v>
      </c>
      <c r="J852" s="36">
        <v>0.06</v>
      </c>
    </row>
    <row r="853" spans="2:10" s="44" customFormat="1" x14ac:dyDescent="0.35">
      <c r="B853" s="9">
        <v>1147042</v>
      </c>
      <c r="C853" s="5" t="s">
        <v>3116</v>
      </c>
      <c r="D853" s="5" t="s">
        <v>3565</v>
      </c>
      <c r="E853" s="5" t="s">
        <v>3117</v>
      </c>
      <c r="F853" s="34" t="s">
        <v>3574</v>
      </c>
      <c r="G853" s="26">
        <v>1.2</v>
      </c>
      <c r="H853" s="1" t="s">
        <v>774</v>
      </c>
      <c r="I853" s="9">
        <v>100</v>
      </c>
      <c r="J853" s="36">
        <v>0.06</v>
      </c>
    </row>
    <row r="854" spans="2:10" s="44" customFormat="1" x14ac:dyDescent="0.35">
      <c r="B854" s="9">
        <v>1147044</v>
      </c>
      <c r="C854" s="5" t="s">
        <v>1923</v>
      </c>
      <c r="D854" s="5" t="s">
        <v>3565</v>
      </c>
      <c r="E854" s="5" t="s">
        <v>2273</v>
      </c>
      <c r="F854" s="34" t="s">
        <v>3574</v>
      </c>
      <c r="G854" s="26">
        <v>1.6279999999999999</v>
      </c>
      <c r="H854" s="1" t="s">
        <v>774</v>
      </c>
      <c r="I854" s="9">
        <v>100</v>
      </c>
      <c r="J854" s="36">
        <v>0.06</v>
      </c>
    </row>
    <row r="855" spans="2:10" s="44" customFormat="1" x14ac:dyDescent="0.35">
      <c r="B855" s="9">
        <v>1147045</v>
      </c>
      <c r="C855" s="5" t="s">
        <v>1623</v>
      </c>
      <c r="D855" s="5" t="s">
        <v>3565</v>
      </c>
      <c r="E855" s="5" t="s">
        <v>638</v>
      </c>
      <c r="F855" s="34" t="s">
        <v>3574</v>
      </c>
      <c r="G855" s="26">
        <v>1.0680000000000001</v>
      </c>
      <c r="H855" s="1" t="s">
        <v>774</v>
      </c>
      <c r="I855" s="9">
        <v>100</v>
      </c>
      <c r="J855" s="36">
        <v>0.06</v>
      </c>
    </row>
    <row r="856" spans="2:10" s="44" customFormat="1" x14ac:dyDescent="0.35">
      <c r="B856" s="9">
        <v>1147048</v>
      </c>
      <c r="C856" s="5" t="s">
        <v>1624</v>
      </c>
      <c r="D856" s="5" t="s">
        <v>3565</v>
      </c>
      <c r="E856" s="5" t="s">
        <v>638</v>
      </c>
      <c r="F856" s="34" t="s">
        <v>3574</v>
      </c>
      <c r="G856" s="26">
        <v>1.3479999999999999</v>
      </c>
      <c r="H856" s="1" t="s">
        <v>774</v>
      </c>
      <c r="I856" s="9">
        <v>100</v>
      </c>
      <c r="J856" s="36">
        <v>0.06</v>
      </c>
    </row>
    <row r="857" spans="2:10" s="44" customFormat="1" x14ac:dyDescent="0.35">
      <c r="B857" s="9">
        <v>1147049</v>
      </c>
      <c r="C857" s="5" t="s">
        <v>1923</v>
      </c>
      <c r="D857" s="5" t="s">
        <v>3565</v>
      </c>
      <c r="E857" s="5" t="s">
        <v>2066</v>
      </c>
      <c r="F857" s="34" t="s">
        <v>3574</v>
      </c>
      <c r="G857" s="26">
        <v>2.1</v>
      </c>
      <c r="H857" s="1" t="s">
        <v>774</v>
      </c>
      <c r="I857" s="9">
        <v>100</v>
      </c>
      <c r="J857" s="36">
        <v>0.06</v>
      </c>
    </row>
    <row r="858" spans="2:10" s="44" customFormat="1" x14ac:dyDescent="0.35">
      <c r="B858" s="9">
        <v>1147051</v>
      </c>
      <c r="C858" s="5" t="s">
        <v>1603</v>
      </c>
      <c r="D858" s="5" t="s">
        <v>3565</v>
      </c>
      <c r="E858" s="5" t="s">
        <v>909</v>
      </c>
      <c r="F858" s="34" t="s">
        <v>3574</v>
      </c>
      <c r="G858" s="26">
        <v>0.51600000000000001</v>
      </c>
      <c r="H858" s="1" t="s">
        <v>774</v>
      </c>
      <c r="I858" s="9">
        <v>100</v>
      </c>
      <c r="J858" s="36">
        <v>0.06</v>
      </c>
    </row>
    <row r="859" spans="2:10" s="44" customFormat="1" x14ac:dyDescent="0.35">
      <c r="B859" s="9">
        <v>1147055</v>
      </c>
      <c r="C859" s="5" t="s">
        <v>908</v>
      </c>
      <c r="D859" s="5" t="s">
        <v>3565</v>
      </c>
      <c r="E859" s="5" t="s">
        <v>909</v>
      </c>
      <c r="F859" s="34" t="s">
        <v>3574</v>
      </c>
      <c r="G859" s="26">
        <v>1.796</v>
      </c>
      <c r="H859" s="1" t="s">
        <v>774</v>
      </c>
      <c r="I859" s="9">
        <v>100</v>
      </c>
      <c r="J859" s="36">
        <v>0.06</v>
      </c>
    </row>
    <row r="860" spans="2:10" s="44" customFormat="1" x14ac:dyDescent="0.35">
      <c r="B860" s="9">
        <v>1147056</v>
      </c>
      <c r="C860" s="5" t="s">
        <v>1604</v>
      </c>
      <c r="D860" s="5" t="s">
        <v>3565</v>
      </c>
      <c r="E860" s="5" t="s">
        <v>654</v>
      </c>
      <c r="F860" s="34" t="s">
        <v>3574</v>
      </c>
      <c r="G860" s="26">
        <v>0.64899999999999991</v>
      </c>
      <c r="H860" s="1" t="s">
        <v>774</v>
      </c>
      <c r="I860" s="9">
        <v>100</v>
      </c>
      <c r="J860" s="36">
        <v>0.06</v>
      </c>
    </row>
    <row r="861" spans="2:10" s="44" customFormat="1" x14ac:dyDescent="0.35">
      <c r="B861" s="9">
        <v>1147058</v>
      </c>
      <c r="C861" s="5" t="s">
        <v>1494</v>
      </c>
      <c r="D861" s="5" t="s">
        <v>3565</v>
      </c>
      <c r="E861" s="5" t="s">
        <v>1495</v>
      </c>
      <c r="F861" s="34" t="s">
        <v>3574</v>
      </c>
      <c r="G861" s="26">
        <v>0.91799999999999993</v>
      </c>
      <c r="H861" s="1" t="s">
        <v>774</v>
      </c>
      <c r="I861" s="9">
        <v>100</v>
      </c>
      <c r="J861" s="36">
        <v>0.06</v>
      </c>
    </row>
    <row r="862" spans="2:10" s="44" customFormat="1" x14ac:dyDescent="0.35">
      <c r="B862" s="9">
        <v>1147059</v>
      </c>
      <c r="C862" s="5" t="s">
        <v>1923</v>
      </c>
      <c r="D862" s="5" t="s">
        <v>3565</v>
      </c>
      <c r="E862" s="5" t="s">
        <v>2058</v>
      </c>
      <c r="F862" s="34" t="s">
        <v>3574</v>
      </c>
      <c r="G862" s="26">
        <v>0.68299999999999994</v>
      </c>
      <c r="H862" s="1" t="s">
        <v>774</v>
      </c>
      <c r="I862" s="9">
        <v>100</v>
      </c>
      <c r="J862" s="36">
        <v>0.06</v>
      </c>
    </row>
    <row r="863" spans="2:10" s="44" customFormat="1" x14ac:dyDescent="0.35">
      <c r="B863" s="9">
        <v>1147064</v>
      </c>
      <c r="C863" s="5" t="s">
        <v>1496</v>
      </c>
      <c r="D863" s="5" t="s">
        <v>3565</v>
      </c>
      <c r="E863" s="5" t="s">
        <v>638</v>
      </c>
      <c r="F863" s="34" t="s">
        <v>3574</v>
      </c>
      <c r="G863" s="26">
        <v>0.82699999999999985</v>
      </c>
      <c r="H863" s="1" t="s">
        <v>774</v>
      </c>
      <c r="I863" s="9">
        <v>100</v>
      </c>
      <c r="J863" s="36">
        <v>0.06</v>
      </c>
    </row>
    <row r="864" spans="2:10" s="44" customFormat="1" x14ac:dyDescent="0.35">
      <c r="B864" s="9">
        <v>1147067</v>
      </c>
      <c r="C864" s="5" t="s">
        <v>2025</v>
      </c>
      <c r="D864" s="5" t="s">
        <v>3565</v>
      </c>
      <c r="E864" s="5" t="s">
        <v>2327</v>
      </c>
      <c r="F864" s="34" t="s">
        <v>3574</v>
      </c>
      <c r="G864" s="26">
        <v>1.6279999999999999</v>
      </c>
      <c r="H864" s="1" t="s">
        <v>774</v>
      </c>
      <c r="I864" s="9">
        <v>100</v>
      </c>
      <c r="J864" s="36">
        <v>0.06</v>
      </c>
    </row>
    <row r="865" spans="2:10" s="44" customFormat="1" x14ac:dyDescent="0.35">
      <c r="B865" s="9">
        <v>1147072</v>
      </c>
      <c r="C865" s="5" t="s">
        <v>1582</v>
      </c>
      <c r="D865" s="5" t="s">
        <v>3565</v>
      </c>
      <c r="E865" s="5" t="s">
        <v>1581</v>
      </c>
      <c r="F865" s="34" t="s">
        <v>3574</v>
      </c>
      <c r="G865" s="26">
        <v>0.47899999999999998</v>
      </c>
      <c r="H865" s="1" t="s">
        <v>774</v>
      </c>
      <c r="I865" s="9">
        <v>100</v>
      </c>
      <c r="J865" s="36">
        <v>0.06</v>
      </c>
    </row>
    <row r="866" spans="2:10" s="44" customFormat="1" x14ac:dyDescent="0.35">
      <c r="B866" s="9">
        <v>1147073</v>
      </c>
      <c r="C866" s="5" t="s">
        <v>882</v>
      </c>
      <c r="D866" s="5" t="s">
        <v>3565</v>
      </c>
      <c r="E866" s="5" t="s">
        <v>879</v>
      </c>
      <c r="F866" s="34" t="s">
        <v>3574</v>
      </c>
      <c r="G866" s="26">
        <v>0.16200000000000003</v>
      </c>
      <c r="H866" s="1" t="s">
        <v>774</v>
      </c>
      <c r="I866" s="9">
        <v>100</v>
      </c>
      <c r="J866" s="36">
        <v>0.06</v>
      </c>
    </row>
    <row r="867" spans="2:10" s="44" customFormat="1" x14ac:dyDescent="0.35">
      <c r="B867" s="9">
        <v>1147074</v>
      </c>
      <c r="C867" s="5" t="s">
        <v>1659</v>
      </c>
      <c r="D867" s="5" t="s">
        <v>3565</v>
      </c>
      <c r="E867" s="5" t="s">
        <v>1242</v>
      </c>
      <c r="F867" s="34" t="s">
        <v>3574</v>
      </c>
      <c r="G867" s="26">
        <v>0.22</v>
      </c>
      <c r="H867" s="1" t="s">
        <v>774</v>
      </c>
      <c r="I867" s="9">
        <v>200</v>
      </c>
      <c r="J867" s="36">
        <v>0.06</v>
      </c>
    </row>
    <row r="868" spans="2:10" s="44" customFormat="1" x14ac:dyDescent="0.35">
      <c r="B868" s="9">
        <v>1147083</v>
      </c>
      <c r="C868" s="5" t="s">
        <v>1979</v>
      </c>
      <c r="D868" s="5" t="s">
        <v>3565</v>
      </c>
      <c r="E868" s="5" t="s">
        <v>1542</v>
      </c>
      <c r="F868" s="34" t="s">
        <v>3574</v>
      </c>
      <c r="G868" s="26">
        <v>5.5E-2</v>
      </c>
      <c r="H868" s="1" t="s">
        <v>774</v>
      </c>
      <c r="I868" s="9">
        <v>100</v>
      </c>
      <c r="J868" s="36">
        <v>0.06</v>
      </c>
    </row>
    <row r="869" spans="2:10" s="44" customFormat="1" x14ac:dyDescent="0.35">
      <c r="B869" s="9">
        <v>1147093</v>
      </c>
      <c r="C869" s="5" t="s">
        <v>1593</v>
      </c>
      <c r="D869" s="5" t="s">
        <v>3565</v>
      </c>
      <c r="E869" s="5" t="s">
        <v>1242</v>
      </c>
      <c r="F869" s="34" t="s">
        <v>3574</v>
      </c>
      <c r="G869" s="26">
        <v>0.27800000000000002</v>
      </c>
      <c r="H869" s="1" t="s">
        <v>774</v>
      </c>
      <c r="I869" s="9">
        <v>100</v>
      </c>
      <c r="J869" s="36">
        <v>0.06</v>
      </c>
    </row>
    <row r="870" spans="2:10" s="44" customFormat="1" x14ac:dyDescent="0.35">
      <c r="B870" s="9">
        <v>1147098</v>
      </c>
      <c r="C870" s="5" t="s">
        <v>1610</v>
      </c>
      <c r="D870" s="5" t="s">
        <v>3565</v>
      </c>
      <c r="E870" s="5" t="s">
        <v>909</v>
      </c>
      <c r="F870" s="34" t="s">
        <v>3574</v>
      </c>
      <c r="G870" s="26">
        <v>0.53700000000000003</v>
      </c>
      <c r="H870" s="1" t="s">
        <v>774</v>
      </c>
      <c r="I870" s="9">
        <v>100</v>
      </c>
      <c r="J870" s="36">
        <v>0.06</v>
      </c>
    </row>
    <row r="871" spans="2:10" s="44" customFormat="1" x14ac:dyDescent="0.35">
      <c r="B871" s="9">
        <v>1147100</v>
      </c>
      <c r="C871" s="5" t="s">
        <v>835</v>
      </c>
      <c r="D871" s="5" t="s">
        <v>3565</v>
      </c>
      <c r="E871" s="5" t="s">
        <v>836</v>
      </c>
      <c r="F871" s="34" t="s">
        <v>3574</v>
      </c>
      <c r="G871" s="26">
        <v>3.78</v>
      </c>
      <c r="H871" s="1" t="s">
        <v>774</v>
      </c>
      <c r="I871" s="9">
        <v>100</v>
      </c>
      <c r="J871" s="36">
        <v>0.06</v>
      </c>
    </row>
    <row r="872" spans="2:10" s="44" customFormat="1" x14ac:dyDescent="0.35">
      <c r="B872" s="9">
        <v>1147104</v>
      </c>
      <c r="C872" s="5" t="s">
        <v>1560</v>
      </c>
      <c r="D872" s="5" t="s">
        <v>3565</v>
      </c>
      <c r="E872" s="5" t="s">
        <v>986</v>
      </c>
      <c r="F872" s="34" t="s">
        <v>3574</v>
      </c>
      <c r="G872" s="26">
        <v>3.6000000000000004E-2</v>
      </c>
      <c r="H872" s="1" t="s">
        <v>774</v>
      </c>
      <c r="I872" s="9">
        <v>200</v>
      </c>
      <c r="J872" s="36">
        <v>0.06</v>
      </c>
    </row>
    <row r="873" spans="2:10" s="44" customFormat="1" x14ac:dyDescent="0.35">
      <c r="B873" s="9">
        <v>1147106</v>
      </c>
      <c r="C873" s="5" t="s">
        <v>1923</v>
      </c>
      <c r="D873" s="5" t="s">
        <v>3565</v>
      </c>
      <c r="E873" s="5" t="s">
        <v>1931</v>
      </c>
      <c r="F873" s="34" t="s">
        <v>3574</v>
      </c>
      <c r="G873" s="26">
        <v>1.5229999999999999</v>
      </c>
      <c r="H873" s="1" t="s">
        <v>774</v>
      </c>
      <c r="I873" s="9">
        <v>100</v>
      </c>
      <c r="J873" s="36">
        <v>0.06</v>
      </c>
    </row>
    <row r="874" spans="2:10" s="44" customFormat="1" x14ac:dyDescent="0.35">
      <c r="B874" s="9">
        <v>1147113</v>
      </c>
      <c r="C874" s="5" t="s">
        <v>2800</v>
      </c>
      <c r="D874" s="5" t="s">
        <v>3565</v>
      </c>
      <c r="E874" s="5" t="s">
        <v>2801</v>
      </c>
      <c r="F874" s="34" t="s">
        <v>3574</v>
      </c>
      <c r="G874" s="26">
        <v>0.92700000000000005</v>
      </c>
      <c r="H874" s="1" t="s">
        <v>774</v>
      </c>
      <c r="I874" s="9">
        <v>100</v>
      </c>
      <c r="J874" s="36">
        <v>0.06</v>
      </c>
    </row>
    <row r="875" spans="2:10" s="44" customFormat="1" x14ac:dyDescent="0.35">
      <c r="B875" s="9">
        <v>1147121</v>
      </c>
      <c r="C875" s="5" t="s">
        <v>2403</v>
      </c>
      <c r="D875" s="5" t="s">
        <v>3565</v>
      </c>
      <c r="E875" s="5" t="s">
        <v>654</v>
      </c>
      <c r="F875" s="34" t="s">
        <v>3574</v>
      </c>
      <c r="G875" s="26">
        <v>1.4179999999999999</v>
      </c>
      <c r="H875" s="1" t="s">
        <v>774</v>
      </c>
      <c r="I875" s="9">
        <v>100</v>
      </c>
      <c r="J875" s="36">
        <v>0.06</v>
      </c>
    </row>
    <row r="876" spans="2:10" s="44" customFormat="1" x14ac:dyDescent="0.35">
      <c r="B876" s="9">
        <v>1147122</v>
      </c>
      <c r="C876" s="5" t="s">
        <v>2445</v>
      </c>
      <c r="D876" s="5" t="s">
        <v>3565</v>
      </c>
      <c r="E876" s="5" t="s">
        <v>2446</v>
      </c>
      <c r="F876" s="34" t="s">
        <v>3574</v>
      </c>
      <c r="G876" s="26">
        <v>0.63</v>
      </c>
      <c r="H876" s="1" t="s">
        <v>774</v>
      </c>
      <c r="I876" s="9">
        <v>100</v>
      </c>
      <c r="J876" s="36">
        <v>0.06</v>
      </c>
    </row>
    <row r="877" spans="2:10" s="44" customFormat="1" x14ac:dyDescent="0.35">
      <c r="B877" s="9">
        <v>1149002</v>
      </c>
      <c r="C877" s="5" t="s">
        <v>3167</v>
      </c>
      <c r="D877" s="5" t="s">
        <v>3565</v>
      </c>
      <c r="E877" s="5" t="s">
        <v>3168</v>
      </c>
      <c r="F877" s="34" t="s">
        <v>3574</v>
      </c>
      <c r="G877" s="26">
        <v>2</v>
      </c>
      <c r="H877" s="1" t="s">
        <v>774</v>
      </c>
      <c r="I877" s="9">
        <v>100</v>
      </c>
      <c r="J877" s="36">
        <v>0.06</v>
      </c>
    </row>
    <row r="878" spans="2:10" s="44" customFormat="1" x14ac:dyDescent="0.35">
      <c r="B878" s="9">
        <v>1149020</v>
      </c>
      <c r="C878" s="5" t="s">
        <v>669</v>
      </c>
      <c r="D878" s="5" t="s">
        <v>3565</v>
      </c>
      <c r="E878" s="5" t="s">
        <v>638</v>
      </c>
      <c r="F878" s="34" t="s">
        <v>3574</v>
      </c>
      <c r="G878" s="26">
        <v>0.68299999999999994</v>
      </c>
      <c r="H878" s="1" t="s">
        <v>774</v>
      </c>
      <c r="I878" s="9">
        <v>100</v>
      </c>
      <c r="J878" s="36">
        <v>0.06</v>
      </c>
    </row>
    <row r="879" spans="2:10" s="44" customFormat="1" x14ac:dyDescent="0.35">
      <c r="B879" s="9">
        <v>1149021</v>
      </c>
      <c r="C879" s="5" t="s">
        <v>1493</v>
      </c>
      <c r="D879" s="5" t="s">
        <v>3565</v>
      </c>
      <c r="E879" s="5" t="s">
        <v>638</v>
      </c>
      <c r="F879" s="34" t="s">
        <v>3574</v>
      </c>
      <c r="G879" s="26">
        <v>1.018</v>
      </c>
      <c r="H879" s="1" t="s">
        <v>774</v>
      </c>
      <c r="I879" s="9">
        <v>100</v>
      </c>
      <c r="J879" s="36">
        <v>0.06</v>
      </c>
    </row>
    <row r="880" spans="2:10" s="44" customFormat="1" x14ac:dyDescent="0.35">
      <c r="B880" s="9">
        <v>1149042</v>
      </c>
      <c r="C880" s="5" t="s">
        <v>1605</v>
      </c>
      <c r="D880" s="5" t="s">
        <v>3565</v>
      </c>
      <c r="E880" s="5" t="s">
        <v>654</v>
      </c>
      <c r="F880" s="34" t="s">
        <v>3574</v>
      </c>
      <c r="G880" s="26">
        <v>1.1970000000000001</v>
      </c>
      <c r="H880" s="1" t="s">
        <v>774</v>
      </c>
      <c r="I880" s="9">
        <v>100</v>
      </c>
      <c r="J880" s="36">
        <v>0.06</v>
      </c>
    </row>
    <row r="881" spans="2:10" s="44" customFormat="1" x14ac:dyDescent="0.35">
      <c r="B881" s="9">
        <v>1149043</v>
      </c>
      <c r="C881" s="5" t="s">
        <v>1606</v>
      </c>
      <c r="D881" s="5" t="s">
        <v>3565</v>
      </c>
      <c r="E881" s="5" t="s">
        <v>658</v>
      </c>
      <c r="F881" s="34" t="s">
        <v>3574</v>
      </c>
      <c r="G881" s="26">
        <v>1.401</v>
      </c>
      <c r="H881" s="1" t="s">
        <v>774</v>
      </c>
      <c r="I881" s="9">
        <v>100</v>
      </c>
      <c r="J881" s="36">
        <v>0.06</v>
      </c>
    </row>
    <row r="882" spans="2:10" s="44" customFormat="1" x14ac:dyDescent="0.35">
      <c r="B882" s="9">
        <v>1149070</v>
      </c>
      <c r="C882" s="5" t="s">
        <v>1625</v>
      </c>
      <c r="D882" s="5" t="s">
        <v>3565</v>
      </c>
      <c r="E882" s="5" t="s">
        <v>638</v>
      </c>
      <c r="F882" s="34" t="s">
        <v>3574</v>
      </c>
      <c r="G882" s="26">
        <v>1.6779999999999999</v>
      </c>
      <c r="H882" s="1" t="s">
        <v>774</v>
      </c>
      <c r="I882" s="9">
        <v>100</v>
      </c>
      <c r="J882" s="36">
        <v>0.06</v>
      </c>
    </row>
    <row r="883" spans="2:10" s="44" customFormat="1" x14ac:dyDescent="0.35">
      <c r="B883" s="9">
        <v>1149074</v>
      </c>
      <c r="C883" s="5" t="s">
        <v>2687</v>
      </c>
      <c r="D883" s="5" t="s">
        <v>3565</v>
      </c>
      <c r="E883" s="5" t="s">
        <v>2688</v>
      </c>
      <c r="F883" s="34" t="s">
        <v>3574</v>
      </c>
      <c r="G883" s="26">
        <v>1.5449999999999999</v>
      </c>
      <c r="H883" s="1" t="s">
        <v>774</v>
      </c>
      <c r="I883" s="9">
        <v>100</v>
      </c>
      <c r="J883" s="36">
        <v>0.06</v>
      </c>
    </row>
    <row r="884" spans="2:10" s="44" customFormat="1" x14ac:dyDescent="0.35">
      <c r="B884" s="9">
        <v>1149078</v>
      </c>
      <c r="C884" s="5" t="s">
        <v>1622</v>
      </c>
      <c r="D884" s="5" t="s">
        <v>3565</v>
      </c>
      <c r="E884" s="5" t="s">
        <v>638</v>
      </c>
      <c r="F884" s="34" t="s">
        <v>3574</v>
      </c>
      <c r="G884" s="26">
        <v>0.996</v>
      </c>
      <c r="H884" s="1" t="s">
        <v>774</v>
      </c>
      <c r="I884" s="9">
        <v>100</v>
      </c>
      <c r="J884" s="36">
        <v>0.06</v>
      </c>
    </row>
    <row r="885" spans="2:10" s="44" customFormat="1" x14ac:dyDescent="0.35">
      <c r="B885" s="9">
        <v>1150001</v>
      </c>
      <c r="C885" s="5" t="s">
        <v>2725</v>
      </c>
      <c r="D885" s="5" t="s">
        <v>3565</v>
      </c>
      <c r="E885" s="5" t="s">
        <v>2726</v>
      </c>
      <c r="F885" s="34" t="s">
        <v>3574</v>
      </c>
      <c r="G885" s="26">
        <v>0.309</v>
      </c>
      <c r="H885" s="1" t="s">
        <v>774</v>
      </c>
      <c r="I885" s="9">
        <v>100</v>
      </c>
      <c r="J885" s="36">
        <v>0.06</v>
      </c>
    </row>
    <row r="886" spans="2:10" s="44" customFormat="1" x14ac:dyDescent="0.35">
      <c r="B886" s="9">
        <v>1150002</v>
      </c>
      <c r="C886" s="5" t="s">
        <v>1968</v>
      </c>
      <c r="D886" s="5" t="s">
        <v>3565</v>
      </c>
      <c r="E886" s="5" t="s">
        <v>1969</v>
      </c>
      <c r="F886" s="34" t="s">
        <v>3574</v>
      </c>
      <c r="G886" s="26">
        <v>0.39899999999999997</v>
      </c>
      <c r="H886" s="1" t="s">
        <v>774</v>
      </c>
      <c r="I886" s="9">
        <v>100</v>
      </c>
      <c r="J886" s="36">
        <v>0.06</v>
      </c>
    </row>
    <row r="887" spans="2:10" s="44" customFormat="1" x14ac:dyDescent="0.35">
      <c r="B887" s="9">
        <v>1150003</v>
      </c>
      <c r="C887" s="5" t="s">
        <v>1003</v>
      </c>
      <c r="D887" s="5" t="s">
        <v>3565</v>
      </c>
      <c r="E887" s="5" t="s">
        <v>1004</v>
      </c>
      <c r="F887" s="34" t="s">
        <v>3574</v>
      </c>
      <c r="G887" s="26">
        <v>0.52200000000000002</v>
      </c>
      <c r="H887" s="1" t="s">
        <v>774</v>
      </c>
      <c r="I887" s="9">
        <v>100</v>
      </c>
      <c r="J887" s="36">
        <v>0.06</v>
      </c>
    </row>
    <row r="888" spans="2:10" s="44" customFormat="1" x14ac:dyDescent="0.35">
      <c r="B888" s="9">
        <v>1150007</v>
      </c>
      <c r="C888" s="5" t="s">
        <v>1005</v>
      </c>
      <c r="D888" s="5" t="s">
        <v>3565</v>
      </c>
      <c r="E888" s="5" t="s">
        <v>1006</v>
      </c>
      <c r="F888" s="34" t="s">
        <v>3574</v>
      </c>
      <c r="G888" s="26">
        <v>0.34</v>
      </c>
      <c r="H888" s="1" t="s">
        <v>774</v>
      </c>
      <c r="I888" s="9">
        <v>100</v>
      </c>
      <c r="J888" s="36">
        <v>0.06</v>
      </c>
    </row>
    <row r="889" spans="2:10" s="44" customFormat="1" x14ac:dyDescent="0.35">
      <c r="B889" s="9">
        <v>1150008</v>
      </c>
      <c r="C889" s="5" t="s">
        <v>1007</v>
      </c>
      <c r="D889" s="5" t="s">
        <v>3565</v>
      </c>
      <c r="E889" s="5" t="s">
        <v>1006</v>
      </c>
      <c r="F889" s="34" t="s">
        <v>3574</v>
      </c>
      <c r="G889" s="26">
        <v>0.38</v>
      </c>
      <c r="H889" s="1" t="s">
        <v>774</v>
      </c>
      <c r="I889" s="9">
        <v>100</v>
      </c>
      <c r="J889" s="36">
        <v>0.06</v>
      </c>
    </row>
    <row r="890" spans="2:10" s="44" customFormat="1" x14ac:dyDescent="0.35">
      <c r="B890" s="9">
        <v>1150009</v>
      </c>
      <c r="C890" s="5" t="s">
        <v>1008</v>
      </c>
      <c r="D890" s="5" t="s">
        <v>3565</v>
      </c>
      <c r="E890" s="5" t="s">
        <v>1004</v>
      </c>
      <c r="F890" s="34" t="s">
        <v>3574</v>
      </c>
      <c r="G890" s="26">
        <v>0.29299999999999998</v>
      </c>
      <c r="H890" s="1" t="s">
        <v>774</v>
      </c>
      <c r="I890" s="9">
        <v>100</v>
      </c>
      <c r="J890" s="36">
        <v>0.06</v>
      </c>
    </row>
    <row r="891" spans="2:10" s="44" customFormat="1" x14ac:dyDescent="0.35">
      <c r="B891" s="9">
        <v>1150010</v>
      </c>
      <c r="C891" s="5" t="s">
        <v>1009</v>
      </c>
      <c r="D891" s="5" t="s">
        <v>3565</v>
      </c>
      <c r="E891" s="5" t="s">
        <v>1004</v>
      </c>
      <c r="F891" s="34" t="s">
        <v>3574</v>
      </c>
      <c r="G891" s="26">
        <v>0.31200000000000006</v>
      </c>
      <c r="H891" s="1" t="s">
        <v>774</v>
      </c>
      <c r="I891" s="9">
        <v>100</v>
      </c>
      <c r="J891" s="36">
        <v>0.06</v>
      </c>
    </row>
    <row r="892" spans="2:10" s="44" customFormat="1" x14ac:dyDescent="0.35">
      <c r="B892" s="9">
        <v>1150011</v>
      </c>
      <c r="C892" s="5" t="s">
        <v>1010</v>
      </c>
      <c r="D892" s="5" t="s">
        <v>3565</v>
      </c>
      <c r="E892" s="5" t="s">
        <v>1004</v>
      </c>
      <c r="F892" s="34" t="s">
        <v>3574</v>
      </c>
      <c r="G892" s="26">
        <v>0.35</v>
      </c>
      <c r="H892" s="1" t="s">
        <v>774</v>
      </c>
      <c r="I892" s="9">
        <v>100</v>
      </c>
      <c r="J892" s="36">
        <v>0.06</v>
      </c>
    </row>
    <row r="893" spans="2:10" s="44" customFormat="1" x14ac:dyDescent="0.35">
      <c r="B893" s="9">
        <v>1150012</v>
      </c>
      <c r="C893" s="5" t="s">
        <v>1011</v>
      </c>
      <c r="D893" s="5" t="s">
        <v>3565</v>
      </c>
      <c r="E893" s="5">
        <v>1153633</v>
      </c>
      <c r="F893" s="34" t="s">
        <v>3574</v>
      </c>
      <c r="G893" s="26">
        <v>1.06</v>
      </c>
      <c r="H893" s="1" t="s">
        <v>774</v>
      </c>
      <c r="I893" s="9">
        <v>100</v>
      </c>
      <c r="J893" s="36">
        <v>0.06</v>
      </c>
    </row>
    <row r="894" spans="2:10" s="44" customFormat="1" x14ac:dyDescent="0.35">
      <c r="B894" s="9">
        <v>1150013</v>
      </c>
      <c r="C894" s="5" t="s">
        <v>1012</v>
      </c>
      <c r="D894" s="5" t="s">
        <v>3565</v>
      </c>
      <c r="E894" s="5" t="s">
        <v>1006</v>
      </c>
      <c r="F894" s="34" t="s">
        <v>3574</v>
      </c>
      <c r="G894" s="26">
        <v>0.28800000000000003</v>
      </c>
      <c r="H894" s="1" t="s">
        <v>774</v>
      </c>
      <c r="I894" s="9">
        <v>100</v>
      </c>
      <c r="J894" s="36">
        <v>0.06</v>
      </c>
    </row>
    <row r="895" spans="2:10" s="44" customFormat="1" x14ac:dyDescent="0.35">
      <c r="B895" s="9">
        <v>1150016</v>
      </c>
      <c r="C895" s="5" t="s">
        <v>1968</v>
      </c>
      <c r="D895" s="5" t="s">
        <v>3565</v>
      </c>
      <c r="E895" s="5" t="s">
        <v>2089</v>
      </c>
      <c r="F895" s="34" t="s">
        <v>3574</v>
      </c>
      <c r="G895" s="26">
        <v>1.208</v>
      </c>
      <c r="H895" s="1" t="s">
        <v>774</v>
      </c>
      <c r="I895" s="9">
        <v>100</v>
      </c>
      <c r="J895" s="36">
        <v>0.06</v>
      </c>
    </row>
    <row r="896" spans="2:10" s="44" customFormat="1" x14ac:dyDescent="0.35">
      <c r="B896" s="9">
        <v>1150017</v>
      </c>
      <c r="C896" s="5" t="s">
        <v>1013</v>
      </c>
      <c r="D896" s="5" t="s">
        <v>3565</v>
      </c>
      <c r="E896" s="11" t="s">
        <v>3573</v>
      </c>
      <c r="F896" s="34" t="s">
        <v>3574</v>
      </c>
      <c r="G896" s="26">
        <v>0.41</v>
      </c>
      <c r="H896" s="1" t="s">
        <v>774</v>
      </c>
      <c r="I896" s="9">
        <v>100</v>
      </c>
      <c r="J896" s="36">
        <v>0.06</v>
      </c>
    </row>
    <row r="897" spans="2:10" s="44" customFormat="1" x14ac:dyDescent="0.35">
      <c r="B897" s="9">
        <v>1150019</v>
      </c>
      <c r="C897" s="5" t="s">
        <v>1968</v>
      </c>
      <c r="D897" s="5" t="s">
        <v>3565</v>
      </c>
      <c r="E897" s="5" t="s">
        <v>2090</v>
      </c>
      <c r="F897" s="34" t="s">
        <v>3574</v>
      </c>
      <c r="G897" s="26">
        <v>1.575</v>
      </c>
      <c r="H897" s="1" t="s">
        <v>774</v>
      </c>
      <c r="I897" s="9">
        <v>100</v>
      </c>
      <c r="J897" s="36">
        <v>0.06</v>
      </c>
    </row>
    <row r="898" spans="2:10" s="44" customFormat="1" x14ac:dyDescent="0.35">
      <c r="B898" s="9">
        <v>1151001</v>
      </c>
      <c r="C898" s="5" t="s">
        <v>1850</v>
      </c>
      <c r="D898" s="5" t="s">
        <v>3565</v>
      </c>
      <c r="E898" s="5" t="s">
        <v>1987</v>
      </c>
      <c r="F898" s="34" t="s">
        <v>3574</v>
      </c>
      <c r="G898" s="26">
        <v>0.26300000000000001</v>
      </c>
      <c r="H898" s="1" t="s">
        <v>774</v>
      </c>
      <c r="I898" s="9">
        <v>200</v>
      </c>
      <c r="J898" s="36">
        <v>0.06</v>
      </c>
    </row>
    <row r="899" spans="2:10" s="44" customFormat="1" x14ac:dyDescent="0.35">
      <c r="B899" s="9">
        <v>1151002</v>
      </c>
      <c r="C899" s="5" t="s">
        <v>2600</v>
      </c>
      <c r="D899" s="5" t="s">
        <v>3565</v>
      </c>
      <c r="E899" s="5" t="s">
        <v>2601</v>
      </c>
      <c r="F899" s="34" t="s">
        <v>3574</v>
      </c>
      <c r="G899" s="26">
        <v>0.25800000000000001</v>
      </c>
      <c r="H899" s="1" t="s">
        <v>774</v>
      </c>
      <c r="I899" s="9">
        <v>200</v>
      </c>
      <c r="J899" s="36">
        <v>0.06</v>
      </c>
    </row>
    <row r="900" spans="2:10" s="44" customFormat="1" x14ac:dyDescent="0.35">
      <c r="B900" s="9">
        <v>1151004</v>
      </c>
      <c r="C900" s="5" t="s">
        <v>1850</v>
      </c>
      <c r="D900" s="5" t="s">
        <v>3565</v>
      </c>
      <c r="E900" s="5" t="s">
        <v>1851</v>
      </c>
      <c r="F900" s="34" t="s">
        <v>3574</v>
      </c>
      <c r="G900" s="26">
        <v>0.24200000000000002</v>
      </c>
      <c r="H900" s="1" t="s">
        <v>774</v>
      </c>
      <c r="I900" s="9">
        <v>100</v>
      </c>
      <c r="J900" s="36">
        <v>0.06</v>
      </c>
    </row>
    <row r="901" spans="2:10" s="44" customFormat="1" x14ac:dyDescent="0.35">
      <c r="B901" s="9">
        <v>1151006</v>
      </c>
      <c r="C901" s="5" t="s">
        <v>1850</v>
      </c>
      <c r="D901" s="5" t="s">
        <v>3565</v>
      </c>
      <c r="E901" s="5" t="s">
        <v>1870</v>
      </c>
      <c r="F901" s="34" t="s">
        <v>3574</v>
      </c>
      <c r="G901" s="26">
        <v>0.31900000000000001</v>
      </c>
      <c r="H901" s="1" t="s">
        <v>774</v>
      </c>
      <c r="I901" s="9">
        <v>100</v>
      </c>
      <c r="J901" s="36">
        <v>0.06</v>
      </c>
    </row>
    <row r="902" spans="2:10" s="44" customFormat="1" x14ac:dyDescent="0.35">
      <c r="B902" s="9">
        <v>1151010</v>
      </c>
      <c r="C902" s="5" t="s">
        <v>1438</v>
      </c>
      <c r="D902" s="5" t="s">
        <v>3565</v>
      </c>
      <c r="E902" s="5">
        <v>1333194</v>
      </c>
      <c r="F902" s="34" t="s">
        <v>3574</v>
      </c>
      <c r="G902" s="26">
        <v>0.49</v>
      </c>
      <c r="H902" s="1" t="s">
        <v>774</v>
      </c>
      <c r="I902" s="9">
        <v>100</v>
      </c>
      <c r="J902" s="36">
        <v>0.06</v>
      </c>
    </row>
    <row r="903" spans="2:10" s="44" customFormat="1" x14ac:dyDescent="0.35">
      <c r="B903" s="9">
        <v>1151016</v>
      </c>
      <c r="C903" s="5" t="s">
        <v>1434</v>
      </c>
      <c r="D903" s="5" t="s">
        <v>3565</v>
      </c>
      <c r="E903" s="5" t="s">
        <v>1435</v>
      </c>
      <c r="F903" s="34" t="s">
        <v>3574</v>
      </c>
      <c r="G903" s="26">
        <v>0.23800000000000002</v>
      </c>
      <c r="H903" s="1" t="s">
        <v>774</v>
      </c>
      <c r="I903" s="9">
        <v>100</v>
      </c>
      <c r="J903" s="36">
        <v>0.06</v>
      </c>
    </row>
    <row r="904" spans="2:10" s="44" customFormat="1" x14ac:dyDescent="0.35">
      <c r="B904" s="9">
        <v>1151020</v>
      </c>
      <c r="C904" s="5" t="s">
        <v>1423</v>
      </c>
      <c r="D904" s="5" t="s">
        <v>3565</v>
      </c>
      <c r="E904" s="5" t="s">
        <v>1424</v>
      </c>
      <c r="F904" s="34" t="s">
        <v>3574</v>
      </c>
      <c r="G904" s="26">
        <v>0.191</v>
      </c>
      <c r="H904" s="1" t="s">
        <v>774</v>
      </c>
      <c r="I904" s="9">
        <v>200</v>
      </c>
      <c r="J904" s="36">
        <v>0.06</v>
      </c>
    </row>
    <row r="905" spans="2:10" s="44" customFormat="1" x14ac:dyDescent="0.35">
      <c r="B905" s="9">
        <v>1151023</v>
      </c>
      <c r="C905" s="5" t="s">
        <v>1432</v>
      </c>
      <c r="D905" s="5" t="s">
        <v>3565</v>
      </c>
      <c r="E905" s="5" t="s">
        <v>1424</v>
      </c>
      <c r="F905" s="34" t="s">
        <v>3574</v>
      </c>
      <c r="G905" s="26">
        <v>0.44300000000000006</v>
      </c>
      <c r="H905" s="1" t="s">
        <v>774</v>
      </c>
      <c r="I905" s="9">
        <v>100</v>
      </c>
      <c r="J905" s="36">
        <v>0.06</v>
      </c>
    </row>
    <row r="906" spans="2:10" s="44" customFormat="1" x14ac:dyDescent="0.35">
      <c r="B906" s="9">
        <v>1151031</v>
      </c>
      <c r="C906" s="5" t="s">
        <v>2443</v>
      </c>
      <c r="D906" s="5" t="s">
        <v>3565</v>
      </c>
      <c r="E906" s="5" t="s">
        <v>2444</v>
      </c>
      <c r="F906" s="34" t="s">
        <v>3574</v>
      </c>
      <c r="G906" s="26">
        <v>0.315</v>
      </c>
      <c r="H906" s="1" t="s">
        <v>774</v>
      </c>
      <c r="I906" s="9">
        <v>100</v>
      </c>
      <c r="J906" s="36">
        <v>0.06</v>
      </c>
    </row>
    <row r="907" spans="2:10" s="44" customFormat="1" x14ac:dyDescent="0.35">
      <c r="B907" s="9">
        <v>1151035</v>
      </c>
      <c r="C907" s="5" t="s">
        <v>1431</v>
      </c>
      <c r="D907" s="5" t="s">
        <v>3565</v>
      </c>
      <c r="E907" s="11" t="s">
        <v>3573</v>
      </c>
      <c r="F907" s="34" t="s">
        <v>3574</v>
      </c>
      <c r="G907" s="26">
        <v>0.23</v>
      </c>
      <c r="H907" s="1" t="s">
        <v>774</v>
      </c>
      <c r="I907" s="9">
        <v>100</v>
      </c>
      <c r="J907" s="36">
        <v>0.06</v>
      </c>
    </row>
    <row r="908" spans="2:10" s="44" customFormat="1" x14ac:dyDescent="0.35">
      <c r="B908" s="9">
        <v>1151037</v>
      </c>
      <c r="C908" s="5" t="s">
        <v>1430</v>
      </c>
      <c r="D908" s="5" t="s">
        <v>3565</v>
      </c>
      <c r="E908" s="5" t="s">
        <v>1426</v>
      </c>
      <c r="F908" s="34" t="s">
        <v>3574</v>
      </c>
      <c r="G908" s="26">
        <v>0.17400000000000002</v>
      </c>
      <c r="H908" s="1" t="s">
        <v>774</v>
      </c>
      <c r="I908" s="9">
        <v>100</v>
      </c>
      <c r="J908" s="36">
        <v>0.06</v>
      </c>
    </row>
    <row r="909" spans="2:10" s="44" customFormat="1" x14ac:dyDescent="0.35">
      <c r="B909" s="9">
        <v>1151038</v>
      </c>
      <c r="C909" s="5" t="s">
        <v>1850</v>
      </c>
      <c r="D909" s="5" t="s">
        <v>3565</v>
      </c>
      <c r="E909" s="5" t="s">
        <v>1971</v>
      </c>
      <c r="F909" s="34" t="s">
        <v>3574</v>
      </c>
      <c r="G909" s="26">
        <v>0.2</v>
      </c>
      <c r="H909" s="1" t="s">
        <v>774</v>
      </c>
      <c r="I909" s="9">
        <v>200</v>
      </c>
      <c r="J909" s="36">
        <v>0.06</v>
      </c>
    </row>
    <row r="910" spans="2:10" s="44" customFormat="1" x14ac:dyDescent="0.35">
      <c r="B910" s="9">
        <v>1151039</v>
      </c>
      <c r="C910" s="5" t="s">
        <v>1425</v>
      </c>
      <c r="D910" s="5" t="s">
        <v>3565</v>
      </c>
      <c r="E910" s="5" t="s">
        <v>1426</v>
      </c>
      <c r="F910" s="34" t="s">
        <v>3574</v>
      </c>
      <c r="G910" s="26">
        <v>0.12</v>
      </c>
      <c r="H910" s="1" t="s">
        <v>774</v>
      </c>
      <c r="I910" s="9">
        <v>100</v>
      </c>
      <c r="J910" s="36">
        <v>0.06</v>
      </c>
    </row>
    <row r="911" spans="2:10" s="44" customFormat="1" x14ac:dyDescent="0.35">
      <c r="B911" s="9">
        <v>1151040</v>
      </c>
      <c r="C911" s="5" t="s">
        <v>1429</v>
      </c>
      <c r="D911" s="5" t="s">
        <v>3565</v>
      </c>
      <c r="E911" s="5" t="s">
        <v>659</v>
      </c>
      <c r="F911" s="34" t="s">
        <v>3574</v>
      </c>
      <c r="G911" s="26">
        <v>0.252</v>
      </c>
      <c r="H911" s="1" t="s">
        <v>774</v>
      </c>
      <c r="I911" s="9">
        <v>100</v>
      </c>
      <c r="J911" s="36">
        <v>0.06</v>
      </c>
    </row>
    <row r="912" spans="2:10" s="44" customFormat="1" x14ac:dyDescent="0.35">
      <c r="B912" s="9">
        <v>1151042</v>
      </c>
      <c r="C912" s="5" t="s">
        <v>1433</v>
      </c>
      <c r="D912" s="5" t="s">
        <v>3565</v>
      </c>
      <c r="E912" s="5" t="s">
        <v>1426</v>
      </c>
      <c r="F912" s="34" t="s">
        <v>3574</v>
      </c>
      <c r="G912" s="26">
        <v>0.44600000000000001</v>
      </c>
      <c r="H912" s="1" t="s">
        <v>774</v>
      </c>
      <c r="I912" s="9">
        <v>100</v>
      </c>
      <c r="J912" s="36">
        <v>0.06</v>
      </c>
    </row>
    <row r="913" spans="2:10" s="44" customFormat="1" x14ac:dyDescent="0.35">
      <c r="B913" s="9">
        <v>1151052</v>
      </c>
      <c r="C913" s="5" t="s">
        <v>2672</v>
      </c>
      <c r="D913" s="5" t="s">
        <v>3565</v>
      </c>
      <c r="E913" s="5" t="s">
        <v>2673</v>
      </c>
      <c r="F913" s="34" t="s">
        <v>3574</v>
      </c>
      <c r="G913" s="26">
        <v>0.36599999999999999</v>
      </c>
      <c r="H913" s="1" t="s">
        <v>774</v>
      </c>
      <c r="I913" s="9">
        <v>100</v>
      </c>
      <c r="J913" s="36">
        <v>0.06</v>
      </c>
    </row>
    <row r="914" spans="2:10" s="44" customFormat="1" x14ac:dyDescent="0.35">
      <c r="B914" s="9">
        <v>1152003</v>
      </c>
      <c r="C914" s="5" t="s">
        <v>2681</v>
      </c>
      <c r="D914" s="5" t="s">
        <v>3565</v>
      </c>
      <c r="E914" s="5" t="s">
        <v>2714</v>
      </c>
      <c r="F914" s="34" t="s">
        <v>3574</v>
      </c>
      <c r="G914" s="26">
        <v>28.84</v>
      </c>
      <c r="H914" s="1" t="s">
        <v>774</v>
      </c>
      <c r="I914" s="9">
        <v>1000</v>
      </c>
      <c r="J914" s="36">
        <v>0.06</v>
      </c>
    </row>
    <row r="915" spans="2:10" s="44" customFormat="1" x14ac:dyDescent="0.35">
      <c r="B915" s="9">
        <v>1152163</v>
      </c>
      <c r="C915" s="5" t="s">
        <v>740</v>
      </c>
      <c r="D915" s="5" t="s">
        <v>3565</v>
      </c>
      <c r="E915" s="5" t="s">
        <v>3235</v>
      </c>
      <c r="F915" s="34" t="s">
        <v>3574</v>
      </c>
      <c r="G915" s="26">
        <v>28</v>
      </c>
      <c r="H915" s="1" t="s">
        <v>774</v>
      </c>
      <c r="I915" s="9">
        <v>100</v>
      </c>
      <c r="J915" s="36">
        <v>0.06</v>
      </c>
    </row>
    <row r="916" spans="2:10" s="44" customFormat="1" x14ac:dyDescent="0.35">
      <c r="B916" s="9">
        <v>1152170</v>
      </c>
      <c r="C916" s="5" t="s">
        <v>2685</v>
      </c>
      <c r="D916" s="5" t="s">
        <v>3565</v>
      </c>
      <c r="E916" s="5" t="s">
        <v>2686</v>
      </c>
      <c r="F916" s="34" t="s">
        <v>3574</v>
      </c>
      <c r="G916" s="26">
        <v>2.472</v>
      </c>
      <c r="H916" s="1" t="s">
        <v>774</v>
      </c>
      <c r="I916" s="9">
        <v>100</v>
      </c>
      <c r="J916" s="36">
        <v>0.06</v>
      </c>
    </row>
    <row r="917" spans="2:10" s="44" customFormat="1" x14ac:dyDescent="0.35">
      <c r="B917" s="9">
        <v>1152173</v>
      </c>
      <c r="C917" s="5" t="s">
        <v>2681</v>
      </c>
      <c r="D917" s="5" t="s">
        <v>3565</v>
      </c>
      <c r="E917" s="5" t="s">
        <v>2682</v>
      </c>
      <c r="F917" s="34" t="s">
        <v>3574</v>
      </c>
      <c r="G917" s="26">
        <v>41.2</v>
      </c>
      <c r="H917" s="1" t="s">
        <v>774</v>
      </c>
      <c r="I917" s="9">
        <v>100</v>
      </c>
      <c r="J917" s="36">
        <v>0.06</v>
      </c>
    </row>
    <row r="918" spans="2:10" s="44" customFormat="1" x14ac:dyDescent="0.35">
      <c r="B918" s="9">
        <v>1152193</v>
      </c>
      <c r="C918" s="5" t="s">
        <v>2036</v>
      </c>
      <c r="D918" s="5" t="s">
        <v>3565</v>
      </c>
      <c r="E918" s="5" t="s">
        <v>2037</v>
      </c>
      <c r="F918" s="34" t="s">
        <v>3574</v>
      </c>
      <c r="G918" s="26">
        <v>0.26300000000000001</v>
      </c>
      <c r="H918" s="1" t="s">
        <v>774</v>
      </c>
      <c r="I918" s="9">
        <v>100</v>
      </c>
      <c r="J918" s="36">
        <v>0.06</v>
      </c>
    </row>
    <row r="919" spans="2:10" s="44" customFormat="1" x14ac:dyDescent="0.35">
      <c r="B919" s="9">
        <v>1152196</v>
      </c>
      <c r="C919" s="5" t="s">
        <v>2036</v>
      </c>
      <c r="D919" s="5" t="s">
        <v>3565</v>
      </c>
      <c r="E919" s="5" t="s">
        <v>2146</v>
      </c>
      <c r="F919" s="34" t="s">
        <v>3574</v>
      </c>
      <c r="G919" s="26">
        <v>0.26300000000000001</v>
      </c>
      <c r="H919" s="1" t="s">
        <v>774</v>
      </c>
      <c r="I919" s="9">
        <v>100</v>
      </c>
      <c r="J919" s="36">
        <v>0.06</v>
      </c>
    </row>
    <row r="920" spans="2:10" s="44" customFormat="1" x14ac:dyDescent="0.35">
      <c r="B920" s="9">
        <v>1152229</v>
      </c>
      <c r="C920" s="5" t="s">
        <v>1531</v>
      </c>
      <c r="D920" s="5" t="s">
        <v>3565</v>
      </c>
      <c r="E920" s="5" t="s">
        <v>1532</v>
      </c>
      <c r="F920" s="34" t="s">
        <v>3574</v>
      </c>
      <c r="G920" s="26">
        <v>0.46100000000000002</v>
      </c>
      <c r="H920" s="1" t="s">
        <v>774</v>
      </c>
      <c r="I920" s="9">
        <v>100</v>
      </c>
      <c r="J920" s="36">
        <v>0.06</v>
      </c>
    </row>
    <row r="921" spans="2:10" s="44" customFormat="1" x14ac:dyDescent="0.35">
      <c r="B921" s="9">
        <v>1152252</v>
      </c>
      <c r="C921" s="5" t="s">
        <v>3236</v>
      </c>
      <c r="D921" s="5" t="s">
        <v>3565</v>
      </c>
      <c r="E921" s="5" t="s">
        <v>3237</v>
      </c>
      <c r="F921" s="34" t="s">
        <v>3574</v>
      </c>
      <c r="G921" s="26">
        <v>0.47</v>
      </c>
      <c r="H921" s="1" t="s">
        <v>774</v>
      </c>
      <c r="I921" s="9">
        <v>100</v>
      </c>
      <c r="J921" s="36">
        <v>0.06</v>
      </c>
    </row>
    <row r="922" spans="2:10" s="44" customFormat="1" x14ac:dyDescent="0.35">
      <c r="B922" s="9">
        <v>1155002</v>
      </c>
      <c r="C922" s="5" t="s">
        <v>1393</v>
      </c>
      <c r="D922" s="5" t="s">
        <v>3565</v>
      </c>
      <c r="E922" s="5" t="s">
        <v>1394</v>
      </c>
      <c r="F922" s="34" t="s">
        <v>3574</v>
      </c>
      <c r="G922" s="26">
        <v>0.26300000000000001</v>
      </c>
      <c r="H922" s="1" t="s">
        <v>774</v>
      </c>
      <c r="I922" s="9">
        <v>100</v>
      </c>
      <c r="J922" s="36">
        <v>0.06</v>
      </c>
    </row>
    <row r="923" spans="2:10" s="44" customFormat="1" x14ac:dyDescent="0.35">
      <c r="B923" s="9">
        <v>1155003</v>
      </c>
      <c r="C923" s="5" t="s">
        <v>1396</v>
      </c>
      <c r="D923" s="5" t="s">
        <v>3565</v>
      </c>
      <c r="E923" s="5" t="s">
        <v>1394</v>
      </c>
      <c r="F923" s="34" t="s">
        <v>3574</v>
      </c>
      <c r="G923" s="26">
        <v>0.44700000000000001</v>
      </c>
      <c r="H923" s="1" t="s">
        <v>774</v>
      </c>
      <c r="I923" s="9">
        <v>100</v>
      </c>
      <c r="J923" s="36">
        <v>0.06</v>
      </c>
    </row>
    <row r="924" spans="2:10" s="44" customFormat="1" x14ac:dyDescent="0.35">
      <c r="B924" s="9">
        <v>1155006</v>
      </c>
      <c r="C924" s="5" t="s">
        <v>2295</v>
      </c>
      <c r="D924" s="5" t="s">
        <v>3565</v>
      </c>
      <c r="E924" s="5" t="s">
        <v>2296</v>
      </c>
      <c r="F924" s="34" t="s">
        <v>3574</v>
      </c>
      <c r="G924" s="26">
        <v>0.36800000000000005</v>
      </c>
      <c r="H924" s="1" t="s">
        <v>774</v>
      </c>
      <c r="I924" s="9">
        <v>100</v>
      </c>
      <c r="J924" s="36">
        <v>0.06</v>
      </c>
    </row>
    <row r="925" spans="2:10" s="44" customFormat="1" x14ac:dyDescent="0.35">
      <c r="B925" s="9">
        <v>1155007</v>
      </c>
      <c r="C925" s="5" t="s">
        <v>1840</v>
      </c>
      <c r="D925" s="5" t="s">
        <v>3565</v>
      </c>
      <c r="E925" s="5" t="s">
        <v>2213</v>
      </c>
      <c r="F925" s="34" t="s">
        <v>3574</v>
      </c>
      <c r="G925" s="26">
        <v>1.47</v>
      </c>
      <c r="H925" s="1" t="s">
        <v>774</v>
      </c>
      <c r="I925" s="9">
        <v>100</v>
      </c>
      <c r="J925" s="36">
        <v>0.06</v>
      </c>
    </row>
    <row r="926" spans="2:10" s="44" customFormat="1" x14ac:dyDescent="0.35">
      <c r="B926" s="9">
        <v>1155008</v>
      </c>
      <c r="C926" s="5" t="s">
        <v>1400</v>
      </c>
      <c r="D926" s="5" t="s">
        <v>3565</v>
      </c>
      <c r="E926" s="5" t="s">
        <v>701</v>
      </c>
      <c r="F926" s="34" t="s">
        <v>3574</v>
      </c>
      <c r="G926" s="26">
        <v>1.0680000000000001</v>
      </c>
      <c r="H926" s="1" t="s">
        <v>774</v>
      </c>
      <c r="I926" s="9">
        <v>100</v>
      </c>
      <c r="J926" s="36">
        <v>0.06</v>
      </c>
    </row>
    <row r="927" spans="2:10" s="44" customFormat="1" x14ac:dyDescent="0.35">
      <c r="B927" s="9">
        <v>1155009</v>
      </c>
      <c r="C927" s="5" t="s">
        <v>1838</v>
      </c>
      <c r="D927" s="5" t="s">
        <v>3565</v>
      </c>
      <c r="E927" s="5" t="s">
        <v>1839</v>
      </c>
      <c r="F927" s="34" t="s">
        <v>3574</v>
      </c>
      <c r="G927" s="26">
        <v>0.84</v>
      </c>
      <c r="H927" s="1" t="s">
        <v>774</v>
      </c>
      <c r="I927" s="9">
        <v>100</v>
      </c>
      <c r="J927" s="36">
        <v>0.06</v>
      </c>
    </row>
    <row r="928" spans="2:10" s="44" customFormat="1" x14ac:dyDescent="0.35">
      <c r="B928" s="9">
        <v>1155010</v>
      </c>
      <c r="C928" s="5" t="s">
        <v>2247</v>
      </c>
      <c r="D928" s="5" t="s">
        <v>3565</v>
      </c>
      <c r="E928" s="5" t="s">
        <v>2248</v>
      </c>
      <c r="F928" s="34" t="s">
        <v>3574</v>
      </c>
      <c r="G928" s="26">
        <v>1.26</v>
      </c>
      <c r="H928" s="1" t="s">
        <v>774</v>
      </c>
      <c r="I928" s="9">
        <v>100</v>
      </c>
      <c r="J928" s="36">
        <v>0.06</v>
      </c>
    </row>
    <row r="929" spans="2:10" s="44" customFormat="1" x14ac:dyDescent="0.35">
      <c r="B929" s="9">
        <v>1155011</v>
      </c>
      <c r="C929" s="5" t="s">
        <v>1402</v>
      </c>
      <c r="D929" s="5" t="s">
        <v>3565</v>
      </c>
      <c r="E929" s="5" t="s">
        <v>701</v>
      </c>
      <c r="F929" s="34" t="s">
        <v>3574</v>
      </c>
      <c r="G929" s="26">
        <v>0.43</v>
      </c>
      <c r="H929" s="1" t="s">
        <v>774</v>
      </c>
      <c r="I929" s="9">
        <v>100</v>
      </c>
      <c r="J929" s="36">
        <v>0.06</v>
      </c>
    </row>
    <row r="930" spans="2:10" s="44" customFormat="1" x14ac:dyDescent="0.35">
      <c r="B930" s="9">
        <v>1155012</v>
      </c>
      <c r="C930" s="5" t="s">
        <v>1403</v>
      </c>
      <c r="D930" s="5" t="s">
        <v>3565</v>
      </c>
      <c r="E930" s="5" t="s">
        <v>701</v>
      </c>
      <c r="F930" s="34" t="s">
        <v>3574</v>
      </c>
      <c r="G930" s="26">
        <v>0.35499999999999998</v>
      </c>
      <c r="H930" s="1" t="s">
        <v>774</v>
      </c>
      <c r="I930" s="9">
        <v>100</v>
      </c>
      <c r="J930" s="36">
        <v>0.06</v>
      </c>
    </row>
    <row r="931" spans="2:10" s="44" customFormat="1" x14ac:dyDescent="0.35">
      <c r="B931" s="9">
        <v>1155013</v>
      </c>
      <c r="C931" s="5" t="s">
        <v>1404</v>
      </c>
      <c r="D931" s="5" t="s">
        <v>3565</v>
      </c>
      <c r="E931" s="5" t="s">
        <v>701</v>
      </c>
      <c r="F931" s="34" t="s">
        <v>3574</v>
      </c>
      <c r="G931" s="26">
        <v>0.32400000000000001</v>
      </c>
      <c r="H931" s="1" t="s">
        <v>774</v>
      </c>
      <c r="I931" s="9">
        <v>100</v>
      </c>
      <c r="J931" s="36">
        <v>0.06</v>
      </c>
    </row>
    <row r="932" spans="2:10" s="44" customFormat="1" x14ac:dyDescent="0.35">
      <c r="B932" s="9">
        <v>1155014</v>
      </c>
      <c r="C932" s="5" t="s">
        <v>1405</v>
      </c>
      <c r="D932" s="5" t="s">
        <v>3565</v>
      </c>
      <c r="E932" s="5" t="s">
        <v>1406</v>
      </c>
      <c r="F932" s="34" t="s">
        <v>3574</v>
      </c>
      <c r="G932" s="26">
        <v>0.32400000000000001</v>
      </c>
      <c r="H932" s="1" t="s">
        <v>774</v>
      </c>
      <c r="I932" s="9">
        <v>100</v>
      </c>
      <c r="J932" s="36">
        <v>0.06</v>
      </c>
    </row>
    <row r="933" spans="2:10" s="44" customFormat="1" x14ac:dyDescent="0.35">
      <c r="B933" s="9">
        <v>1155015</v>
      </c>
      <c r="C933" s="5" t="s">
        <v>1398</v>
      </c>
      <c r="D933" s="5" t="s">
        <v>3565</v>
      </c>
      <c r="E933" s="5" t="s">
        <v>701</v>
      </c>
      <c r="F933" s="34" t="s">
        <v>3574</v>
      </c>
      <c r="G933" s="26">
        <v>0.308</v>
      </c>
      <c r="H933" s="1" t="s">
        <v>774</v>
      </c>
      <c r="I933" s="9">
        <v>100</v>
      </c>
      <c r="J933" s="36">
        <v>0.06</v>
      </c>
    </row>
    <row r="934" spans="2:10" s="44" customFormat="1" x14ac:dyDescent="0.35">
      <c r="B934" s="9">
        <v>1155016</v>
      </c>
      <c r="C934" s="5" t="s">
        <v>1994</v>
      </c>
      <c r="D934" s="5" t="s">
        <v>3565</v>
      </c>
      <c r="E934" s="11" t="s">
        <v>3573</v>
      </c>
      <c r="F934" s="34" t="s">
        <v>3574</v>
      </c>
      <c r="G934" s="26">
        <v>3.1190000000000002</v>
      </c>
      <c r="H934" s="1" t="s">
        <v>774</v>
      </c>
      <c r="I934" s="9">
        <v>50</v>
      </c>
      <c r="J934" s="36">
        <v>0.06</v>
      </c>
    </row>
    <row r="935" spans="2:10" s="44" customFormat="1" x14ac:dyDescent="0.35">
      <c r="B935" s="9">
        <v>1155017</v>
      </c>
      <c r="C935" s="5" t="s">
        <v>1409</v>
      </c>
      <c r="D935" s="5" t="s">
        <v>3565</v>
      </c>
      <c r="E935" s="5" t="s">
        <v>701</v>
      </c>
      <c r="F935" s="34" t="s">
        <v>3574</v>
      </c>
      <c r="G935" s="26">
        <v>0.52200000000000002</v>
      </c>
      <c r="H935" s="1" t="s">
        <v>774</v>
      </c>
      <c r="I935" s="9">
        <v>100</v>
      </c>
      <c r="J935" s="36">
        <v>0.06</v>
      </c>
    </row>
    <row r="936" spans="2:10" s="44" customFormat="1" x14ac:dyDescent="0.35">
      <c r="B936" s="9">
        <v>1155018</v>
      </c>
      <c r="C936" s="5" t="s">
        <v>1410</v>
      </c>
      <c r="D936" s="5" t="s">
        <v>3565</v>
      </c>
      <c r="E936" s="5">
        <v>1306952</v>
      </c>
      <c r="F936" s="34" t="s">
        <v>3574</v>
      </c>
      <c r="G936" s="26">
        <v>0.79799999999999993</v>
      </c>
      <c r="H936" s="1" t="s">
        <v>774</v>
      </c>
      <c r="I936" s="9">
        <v>100</v>
      </c>
      <c r="J936" s="36">
        <v>0.06</v>
      </c>
    </row>
    <row r="937" spans="2:10" s="44" customFormat="1" x14ac:dyDescent="0.35">
      <c r="B937" s="9">
        <v>1155019</v>
      </c>
      <c r="C937" s="5" t="s">
        <v>1412</v>
      </c>
      <c r="D937" s="5" t="s">
        <v>3565</v>
      </c>
      <c r="E937" s="5" t="s">
        <v>701</v>
      </c>
      <c r="F937" s="34" t="s">
        <v>3574</v>
      </c>
      <c r="G937" s="26">
        <v>1.028</v>
      </c>
      <c r="H937" s="1" t="s">
        <v>774</v>
      </c>
      <c r="I937" s="9">
        <v>100</v>
      </c>
      <c r="J937" s="36">
        <v>0.06</v>
      </c>
    </row>
    <row r="938" spans="2:10" s="44" customFormat="1" x14ac:dyDescent="0.35">
      <c r="B938" s="9">
        <v>1155020</v>
      </c>
      <c r="C938" s="5" t="s">
        <v>1373</v>
      </c>
      <c r="D938" s="5" t="s">
        <v>3565</v>
      </c>
      <c r="E938" s="5" t="s">
        <v>701</v>
      </c>
      <c r="F938" s="34" t="s">
        <v>3574</v>
      </c>
      <c r="G938" s="26">
        <v>0.39300000000000002</v>
      </c>
      <c r="H938" s="1" t="s">
        <v>774</v>
      </c>
      <c r="I938" s="9">
        <v>100</v>
      </c>
      <c r="J938" s="36">
        <v>0.06</v>
      </c>
    </row>
    <row r="939" spans="2:10" s="44" customFormat="1" x14ac:dyDescent="0.35">
      <c r="B939" s="9">
        <v>1155022</v>
      </c>
      <c r="C939" s="5" t="s">
        <v>1840</v>
      </c>
      <c r="D939" s="5" t="s">
        <v>3565</v>
      </c>
      <c r="E939" s="5" t="s">
        <v>1949</v>
      </c>
      <c r="F939" s="34" t="s">
        <v>3574</v>
      </c>
      <c r="G939" s="26">
        <v>1.05</v>
      </c>
      <c r="H939" s="1" t="s">
        <v>774</v>
      </c>
      <c r="I939" s="9">
        <v>100</v>
      </c>
      <c r="J939" s="36">
        <v>0.06</v>
      </c>
    </row>
    <row r="940" spans="2:10" s="44" customFormat="1" x14ac:dyDescent="0.35">
      <c r="B940" s="9">
        <v>1155023</v>
      </c>
      <c r="C940" s="5" t="s">
        <v>2690</v>
      </c>
      <c r="D940" s="5" t="s">
        <v>3565</v>
      </c>
      <c r="E940" s="5" t="s">
        <v>1406</v>
      </c>
      <c r="F940" s="34" t="s">
        <v>3574</v>
      </c>
      <c r="G940" s="26">
        <v>1.236</v>
      </c>
      <c r="H940" s="1" t="s">
        <v>774</v>
      </c>
      <c r="I940" s="9">
        <v>100</v>
      </c>
      <c r="J940" s="36">
        <v>0.06</v>
      </c>
    </row>
    <row r="941" spans="2:10" s="44" customFormat="1" x14ac:dyDescent="0.35">
      <c r="B941" s="9">
        <v>1155025</v>
      </c>
      <c r="C941" s="5" t="s">
        <v>1414</v>
      </c>
      <c r="D941" s="5" t="s">
        <v>3565</v>
      </c>
      <c r="E941" s="5" t="s">
        <v>701</v>
      </c>
      <c r="F941" s="34" t="s">
        <v>3574</v>
      </c>
      <c r="G941" s="26">
        <v>1.54</v>
      </c>
      <c r="H941" s="1" t="s">
        <v>774</v>
      </c>
      <c r="I941" s="9">
        <v>100</v>
      </c>
      <c r="J941" s="36">
        <v>0.06</v>
      </c>
    </row>
    <row r="942" spans="2:10" s="44" customFormat="1" x14ac:dyDescent="0.35">
      <c r="B942" s="9">
        <v>1155027</v>
      </c>
      <c r="C942" s="5" t="s">
        <v>2232</v>
      </c>
      <c r="D942" s="5" t="s">
        <v>3565</v>
      </c>
      <c r="E942" s="5" t="s">
        <v>2233</v>
      </c>
      <c r="F942" s="34" t="s">
        <v>3574</v>
      </c>
      <c r="G942" s="26">
        <v>2.73</v>
      </c>
      <c r="H942" s="1" t="s">
        <v>774</v>
      </c>
      <c r="I942" s="9">
        <v>100</v>
      </c>
      <c r="J942" s="36">
        <v>0.06</v>
      </c>
    </row>
    <row r="943" spans="2:10" s="44" customFormat="1" x14ac:dyDescent="0.35">
      <c r="B943" s="9">
        <v>1155028</v>
      </c>
      <c r="C943" s="5" t="s">
        <v>1840</v>
      </c>
      <c r="D943" s="5" t="s">
        <v>3565</v>
      </c>
      <c r="E943" s="5" t="s">
        <v>1866</v>
      </c>
      <c r="F943" s="34" t="s">
        <v>3574</v>
      </c>
      <c r="G943" s="26">
        <v>3.4970000000000003</v>
      </c>
      <c r="H943" s="1" t="s">
        <v>774</v>
      </c>
      <c r="I943" s="9">
        <v>100</v>
      </c>
      <c r="J943" s="36">
        <v>0.06</v>
      </c>
    </row>
    <row r="944" spans="2:10" s="44" customFormat="1" x14ac:dyDescent="0.35">
      <c r="B944" s="9">
        <v>1155029</v>
      </c>
      <c r="C944" s="5" t="s">
        <v>1397</v>
      </c>
      <c r="D944" s="5" t="s">
        <v>3565</v>
      </c>
      <c r="E944" s="5">
        <v>1306685</v>
      </c>
      <c r="F944" s="34" t="s">
        <v>3574</v>
      </c>
      <c r="G944" s="26">
        <v>0.41300000000000003</v>
      </c>
      <c r="H944" s="1" t="s">
        <v>774</v>
      </c>
      <c r="I944" s="9">
        <v>100</v>
      </c>
      <c r="J944" s="36">
        <v>0.06</v>
      </c>
    </row>
    <row r="945" spans="2:10" s="44" customFormat="1" x14ac:dyDescent="0.35">
      <c r="B945" s="9">
        <v>1155030</v>
      </c>
      <c r="C945" s="5" t="s">
        <v>1840</v>
      </c>
      <c r="D945" s="5" t="s">
        <v>3565</v>
      </c>
      <c r="E945" s="5" t="s">
        <v>2100</v>
      </c>
      <c r="F945" s="34" t="s">
        <v>3574</v>
      </c>
      <c r="G945" s="26">
        <v>1.05</v>
      </c>
      <c r="H945" s="1" t="s">
        <v>774</v>
      </c>
      <c r="I945" s="9">
        <v>100</v>
      </c>
      <c r="J945" s="36">
        <v>0.06</v>
      </c>
    </row>
    <row r="946" spans="2:10" s="44" customFormat="1" x14ac:dyDescent="0.35">
      <c r="B946" s="9">
        <v>1155031</v>
      </c>
      <c r="C946" s="5" t="s">
        <v>1840</v>
      </c>
      <c r="D946" s="5" t="s">
        <v>3565</v>
      </c>
      <c r="E946" s="5" t="s">
        <v>2274</v>
      </c>
      <c r="F946" s="34" t="s">
        <v>3574</v>
      </c>
      <c r="G946" s="26">
        <v>1.1340000000000001</v>
      </c>
      <c r="H946" s="1" t="s">
        <v>774</v>
      </c>
      <c r="I946" s="9">
        <v>100</v>
      </c>
      <c r="J946" s="36">
        <v>0.06</v>
      </c>
    </row>
    <row r="947" spans="2:10" s="44" customFormat="1" x14ac:dyDescent="0.35">
      <c r="B947" s="9">
        <v>1155032</v>
      </c>
      <c r="C947" s="5" t="s">
        <v>1840</v>
      </c>
      <c r="D947" s="5" t="s">
        <v>3565</v>
      </c>
      <c r="E947" s="5" t="s">
        <v>2249</v>
      </c>
      <c r="F947" s="34" t="s">
        <v>3574</v>
      </c>
      <c r="G947" s="26">
        <v>0.47300000000000003</v>
      </c>
      <c r="H947" s="1" t="s">
        <v>774</v>
      </c>
      <c r="I947" s="9">
        <v>100</v>
      </c>
      <c r="J947" s="36">
        <v>0.06</v>
      </c>
    </row>
    <row r="948" spans="2:10" s="44" customFormat="1" x14ac:dyDescent="0.35">
      <c r="B948" s="9">
        <v>1155033</v>
      </c>
      <c r="C948" s="5" t="s">
        <v>1399</v>
      </c>
      <c r="D948" s="5" t="s">
        <v>3565</v>
      </c>
      <c r="E948" s="5" t="s">
        <v>1353</v>
      </c>
      <c r="F948" s="34" t="s">
        <v>3574</v>
      </c>
      <c r="G948" s="26">
        <v>0.59899999999999998</v>
      </c>
      <c r="H948" s="1" t="s">
        <v>774</v>
      </c>
      <c r="I948" s="9">
        <v>100</v>
      </c>
      <c r="J948" s="36">
        <v>0.06</v>
      </c>
    </row>
    <row r="949" spans="2:10" s="44" customFormat="1" x14ac:dyDescent="0.35">
      <c r="B949" s="9">
        <v>1155034</v>
      </c>
      <c r="C949" s="5" t="s">
        <v>1415</v>
      </c>
      <c r="D949" s="5" t="s">
        <v>3565</v>
      </c>
      <c r="E949" s="5" t="s">
        <v>701</v>
      </c>
      <c r="F949" s="34" t="s">
        <v>3574</v>
      </c>
      <c r="G949" s="26">
        <v>1.153</v>
      </c>
      <c r="H949" s="1" t="s">
        <v>774</v>
      </c>
      <c r="I949" s="9">
        <v>100</v>
      </c>
      <c r="J949" s="36">
        <v>0.06</v>
      </c>
    </row>
    <row r="950" spans="2:10" s="44" customFormat="1" x14ac:dyDescent="0.35">
      <c r="B950" s="9">
        <v>1155035</v>
      </c>
      <c r="C950" s="5" t="s">
        <v>1956</v>
      </c>
      <c r="D950" s="5" t="s">
        <v>3565</v>
      </c>
      <c r="E950" s="5" t="s">
        <v>1957</v>
      </c>
      <c r="F950" s="34" t="s">
        <v>3574</v>
      </c>
      <c r="G950" s="26">
        <v>1.2809999999999999</v>
      </c>
      <c r="H950" s="1" t="s">
        <v>774</v>
      </c>
      <c r="I950" s="9">
        <v>100</v>
      </c>
      <c r="J950" s="36">
        <v>0.06</v>
      </c>
    </row>
    <row r="951" spans="2:10" s="44" customFormat="1" x14ac:dyDescent="0.35">
      <c r="B951" s="9">
        <v>1155036</v>
      </c>
      <c r="C951" s="5" t="s">
        <v>1840</v>
      </c>
      <c r="D951" s="5" t="s">
        <v>3565</v>
      </c>
      <c r="E951" s="5" t="s">
        <v>1950</v>
      </c>
      <c r="F951" s="34" t="s">
        <v>3574</v>
      </c>
      <c r="G951" s="26">
        <v>1.68</v>
      </c>
      <c r="H951" s="1" t="s">
        <v>774</v>
      </c>
      <c r="I951" s="9">
        <v>100</v>
      </c>
      <c r="J951" s="36">
        <v>0.06</v>
      </c>
    </row>
    <row r="952" spans="2:10" s="44" customFormat="1" x14ac:dyDescent="0.35">
      <c r="B952" s="9">
        <v>1155038</v>
      </c>
      <c r="C952" s="5" t="s">
        <v>1416</v>
      </c>
      <c r="D952" s="5" t="s">
        <v>3565</v>
      </c>
      <c r="E952" s="5">
        <v>1307150</v>
      </c>
      <c r="F952" s="34" t="s">
        <v>3574</v>
      </c>
      <c r="G952" s="26">
        <v>2.1949999999999998</v>
      </c>
      <c r="H952" s="1" t="s">
        <v>774</v>
      </c>
      <c r="I952" s="9">
        <v>200</v>
      </c>
      <c r="J952" s="36">
        <v>0.06</v>
      </c>
    </row>
    <row r="953" spans="2:10" s="44" customFormat="1" x14ac:dyDescent="0.35">
      <c r="B953" s="9">
        <v>1155039</v>
      </c>
      <c r="C953" s="5" t="s">
        <v>1840</v>
      </c>
      <c r="D953" s="5" t="s">
        <v>3565</v>
      </c>
      <c r="E953" s="5" t="s">
        <v>1951</v>
      </c>
      <c r="F953" s="34" t="s">
        <v>3574</v>
      </c>
      <c r="G953" s="26">
        <v>2.363</v>
      </c>
      <c r="H953" s="1" t="s">
        <v>774</v>
      </c>
      <c r="I953" s="9">
        <v>100</v>
      </c>
      <c r="J953" s="36">
        <v>0.06</v>
      </c>
    </row>
    <row r="954" spans="2:10" s="44" customFormat="1" x14ac:dyDescent="0.35">
      <c r="B954" s="9">
        <v>1155040</v>
      </c>
      <c r="C954" s="5" t="s">
        <v>1417</v>
      </c>
      <c r="D954" s="5" t="s">
        <v>3565</v>
      </c>
      <c r="E954" s="5" t="s">
        <v>701</v>
      </c>
      <c r="F954" s="34" t="s">
        <v>3574</v>
      </c>
      <c r="G954" s="26">
        <v>1.2709999999999999</v>
      </c>
      <c r="H954" s="1" t="s">
        <v>774</v>
      </c>
      <c r="I954" s="9">
        <v>100</v>
      </c>
      <c r="J954" s="36">
        <v>0.06</v>
      </c>
    </row>
    <row r="955" spans="2:10" s="44" customFormat="1" x14ac:dyDescent="0.35">
      <c r="B955" s="9">
        <v>1155041</v>
      </c>
      <c r="C955" s="5" t="s">
        <v>1840</v>
      </c>
      <c r="D955" s="5" t="s">
        <v>3565</v>
      </c>
      <c r="E955" s="5" t="s">
        <v>2091</v>
      </c>
      <c r="F955" s="34" t="s">
        <v>3574</v>
      </c>
      <c r="G955" s="26">
        <v>4.2</v>
      </c>
      <c r="H955" s="1" t="s">
        <v>774</v>
      </c>
      <c r="I955" s="9">
        <v>100</v>
      </c>
      <c r="J955" s="36">
        <v>0.06</v>
      </c>
    </row>
    <row r="956" spans="2:10" s="44" customFormat="1" x14ac:dyDescent="0.35">
      <c r="B956" s="9">
        <v>1155042</v>
      </c>
      <c r="C956" s="5" t="s">
        <v>1840</v>
      </c>
      <c r="D956" s="5" t="s">
        <v>3565</v>
      </c>
      <c r="E956" s="5" t="s">
        <v>2206</v>
      </c>
      <c r="F956" s="34" t="s">
        <v>3574</v>
      </c>
      <c r="G956" s="26">
        <v>3.15</v>
      </c>
      <c r="H956" s="1" t="s">
        <v>774</v>
      </c>
      <c r="I956" s="9">
        <v>100</v>
      </c>
      <c r="J956" s="36">
        <v>0.06</v>
      </c>
    </row>
    <row r="957" spans="2:10" s="44" customFormat="1" x14ac:dyDescent="0.35">
      <c r="B957" s="9">
        <v>1155043</v>
      </c>
      <c r="C957" s="5" t="s">
        <v>1840</v>
      </c>
      <c r="D957" s="5" t="s">
        <v>3565</v>
      </c>
      <c r="E957" s="5" t="s">
        <v>2250</v>
      </c>
      <c r="F957" s="34" t="s">
        <v>3574</v>
      </c>
      <c r="G957" s="26">
        <v>3.2030000000000003</v>
      </c>
      <c r="H957" s="1" t="s">
        <v>774</v>
      </c>
      <c r="I957" s="9">
        <v>100</v>
      </c>
      <c r="J957" s="36">
        <v>0.06</v>
      </c>
    </row>
    <row r="958" spans="2:10" s="44" customFormat="1" x14ac:dyDescent="0.35">
      <c r="B958" s="9">
        <v>1155044</v>
      </c>
      <c r="C958" s="5" t="s">
        <v>2467</v>
      </c>
      <c r="D958" s="5" t="s">
        <v>3565</v>
      </c>
      <c r="E958" s="5" t="s">
        <v>2468</v>
      </c>
      <c r="F958" s="34" t="s">
        <v>3574</v>
      </c>
      <c r="G958" s="26">
        <v>2.1</v>
      </c>
      <c r="H958" s="1" t="s">
        <v>774</v>
      </c>
      <c r="I958" s="9">
        <v>100</v>
      </c>
      <c r="J958" s="36">
        <v>0.06</v>
      </c>
    </row>
    <row r="959" spans="2:10" s="44" customFormat="1" x14ac:dyDescent="0.35">
      <c r="B959" s="9">
        <v>1155046</v>
      </c>
      <c r="C959" s="5" t="s">
        <v>1840</v>
      </c>
      <c r="D959" s="5" t="s">
        <v>3565</v>
      </c>
      <c r="E959" s="5" t="s">
        <v>2097</v>
      </c>
      <c r="F959" s="34" t="s">
        <v>3574</v>
      </c>
      <c r="G959" s="26">
        <v>4.5149999999999997</v>
      </c>
      <c r="H959" s="1" t="s">
        <v>774</v>
      </c>
      <c r="I959" s="9">
        <v>100</v>
      </c>
      <c r="J959" s="36">
        <v>0.06</v>
      </c>
    </row>
    <row r="960" spans="2:10" s="44" customFormat="1" x14ac:dyDescent="0.35">
      <c r="B960" s="9">
        <v>1155048</v>
      </c>
      <c r="C960" s="5" t="s">
        <v>1419</v>
      </c>
      <c r="D960" s="5" t="s">
        <v>3565</v>
      </c>
      <c r="E960" s="5" t="s">
        <v>701</v>
      </c>
      <c r="F960" s="34" t="s">
        <v>3574</v>
      </c>
      <c r="G960" s="26">
        <v>2.0699999999999998</v>
      </c>
      <c r="H960" s="1" t="s">
        <v>774</v>
      </c>
      <c r="I960" s="9">
        <v>100</v>
      </c>
      <c r="J960" s="36">
        <v>0.06</v>
      </c>
    </row>
    <row r="961" spans="2:10" s="44" customFormat="1" x14ac:dyDescent="0.35">
      <c r="B961" s="9">
        <v>1155050</v>
      </c>
      <c r="C961" s="5" t="s">
        <v>1840</v>
      </c>
      <c r="D961" s="5" t="s">
        <v>3565</v>
      </c>
      <c r="E961" s="5" t="s">
        <v>2330</v>
      </c>
      <c r="F961" s="34" t="s">
        <v>3574</v>
      </c>
      <c r="G961" s="26">
        <v>2.625</v>
      </c>
      <c r="H961" s="1" t="s">
        <v>774</v>
      </c>
      <c r="I961" s="9">
        <v>50</v>
      </c>
      <c r="J961" s="36">
        <v>0.06</v>
      </c>
    </row>
    <row r="962" spans="2:10" s="44" customFormat="1" x14ac:dyDescent="0.35">
      <c r="B962" s="9">
        <v>1155052</v>
      </c>
      <c r="C962" s="5" t="s">
        <v>1418</v>
      </c>
      <c r="D962" s="5" t="s">
        <v>3565</v>
      </c>
      <c r="E962" s="5">
        <v>1307304</v>
      </c>
      <c r="F962" s="34" t="s">
        <v>3574</v>
      </c>
      <c r="G962" s="26">
        <v>2.2450000000000001</v>
      </c>
      <c r="H962" s="1" t="s">
        <v>774</v>
      </c>
      <c r="I962" s="9">
        <v>100</v>
      </c>
      <c r="J962" s="36">
        <v>0.06</v>
      </c>
    </row>
    <row r="963" spans="2:10" s="44" customFormat="1" x14ac:dyDescent="0.35">
      <c r="B963" s="9">
        <v>1155053</v>
      </c>
      <c r="C963" s="5" t="s">
        <v>1840</v>
      </c>
      <c r="D963" s="5" t="s">
        <v>3565</v>
      </c>
      <c r="E963" s="5" t="s">
        <v>2067</v>
      </c>
      <c r="F963" s="34" t="s">
        <v>3574</v>
      </c>
      <c r="G963" s="26">
        <v>2.4470000000000001</v>
      </c>
      <c r="H963" s="1" t="s">
        <v>774</v>
      </c>
      <c r="I963" s="9">
        <v>100</v>
      </c>
      <c r="J963" s="36">
        <v>0.06</v>
      </c>
    </row>
    <row r="964" spans="2:10" s="44" customFormat="1" x14ac:dyDescent="0.35">
      <c r="B964" s="9">
        <v>1155054</v>
      </c>
      <c r="C964" s="5" t="s">
        <v>1840</v>
      </c>
      <c r="D964" s="5" t="s">
        <v>3565</v>
      </c>
      <c r="E964" s="5" t="s">
        <v>2092</v>
      </c>
      <c r="F964" s="34" t="s">
        <v>3574</v>
      </c>
      <c r="G964" s="26">
        <v>8.4</v>
      </c>
      <c r="H964" s="1" t="s">
        <v>774</v>
      </c>
      <c r="I964" s="9">
        <v>50</v>
      </c>
      <c r="J964" s="36">
        <v>0.06</v>
      </c>
    </row>
    <row r="965" spans="2:10" s="44" customFormat="1" x14ac:dyDescent="0.35">
      <c r="B965" s="9">
        <v>1155055</v>
      </c>
      <c r="C965" s="5" t="s">
        <v>1840</v>
      </c>
      <c r="D965" s="5" t="s">
        <v>3565</v>
      </c>
      <c r="E965" s="5" t="s">
        <v>2287</v>
      </c>
      <c r="F965" s="34" t="s">
        <v>3574</v>
      </c>
      <c r="G965" s="26">
        <v>3.6749999999999998</v>
      </c>
      <c r="H965" s="1" t="s">
        <v>774</v>
      </c>
      <c r="I965" s="9">
        <v>50</v>
      </c>
      <c r="J965" s="36">
        <v>0.06</v>
      </c>
    </row>
    <row r="966" spans="2:10" s="44" customFormat="1" x14ac:dyDescent="0.35">
      <c r="B966" s="9">
        <v>1155057</v>
      </c>
      <c r="C966" s="5" t="s">
        <v>1420</v>
      </c>
      <c r="D966" s="5" t="s">
        <v>3565</v>
      </c>
      <c r="E966" s="5" t="s">
        <v>701</v>
      </c>
      <c r="F966" s="34" t="s">
        <v>3574</v>
      </c>
      <c r="G966" s="26">
        <v>8.7779999999999987</v>
      </c>
      <c r="H966" s="1" t="s">
        <v>774</v>
      </c>
      <c r="I966" s="9">
        <v>25</v>
      </c>
      <c r="J966" s="36">
        <v>0.06</v>
      </c>
    </row>
    <row r="967" spans="2:10" s="44" customFormat="1" x14ac:dyDescent="0.35">
      <c r="B967" s="9">
        <v>1155058</v>
      </c>
      <c r="C967" s="5" t="s">
        <v>3138</v>
      </c>
      <c r="D967" s="5" t="s">
        <v>3565</v>
      </c>
      <c r="E967" s="5" t="s">
        <v>3139</v>
      </c>
      <c r="F967" s="34" t="s">
        <v>3574</v>
      </c>
      <c r="G967" s="26">
        <v>0.95</v>
      </c>
      <c r="H967" s="1" t="s">
        <v>774</v>
      </c>
      <c r="I967" s="9">
        <v>100</v>
      </c>
      <c r="J967" s="36">
        <v>0.06</v>
      </c>
    </row>
    <row r="968" spans="2:10" s="44" customFormat="1" x14ac:dyDescent="0.35">
      <c r="B968" s="9">
        <v>1155059</v>
      </c>
      <c r="C968" s="5" t="s">
        <v>992</v>
      </c>
      <c r="D968" s="5" t="s">
        <v>3565</v>
      </c>
      <c r="E968" s="5" t="s">
        <v>701</v>
      </c>
      <c r="F968" s="34" t="s">
        <v>3574</v>
      </c>
      <c r="G968" s="26">
        <v>0.33</v>
      </c>
      <c r="H968" s="1" t="s">
        <v>774</v>
      </c>
      <c r="I968" s="9">
        <v>100</v>
      </c>
      <c r="J968" s="36">
        <v>0.06</v>
      </c>
    </row>
    <row r="969" spans="2:10" s="44" customFormat="1" x14ac:dyDescent="0.35">
      <c r="B969" s="9">
        <v>1155060</v>
      </c>
      <c r="C969" s="5" t="s">
        <v>1338</v>
      </c>
      <c r="D969" s="5" t="s">
        <v>3565</v>
      </c>
      <c r="E969" s="5" t="s">
        <v>701</v>
      </c>
      <c r="F969" s="34" t="s">
        <v>3574</v>
      </c>
      <c r="G969" s="26">
        <v>0.17100000000000001</v>
      </c>
      <c r="H969" s="1" t="s">
        <v>774</v>
      </c>
      <c r="I969" s="9">
        <v>100</v>
      </c>
      <c r="J969" s="36">
        <v>0.06</v>
      </c>
    </row>
    <row r="970" spans="2:10" s="44" customFormat="1" x14ac:dyDescent="0.35">
      <c r="B970" s="9">
        <v>1155061</v>
      </c>
      <c r="C970" s="5" t="s">
        <v>1339</v>
      </c>
      <c r="D970" s="5" t="s">
        <v>3565</v>
      </c>
      <c r="E970" s="5" t="s">
        <v>701</v>
      </c>
      <c r="F970" s="34" t="s">
        <v>3574</v>
      </c>
      <c r="G970" s="26">
        <v>0.248</v>
      </c>
      <c r="H970" s="1" t="s">
        <v>774</v>
      </c>
      <c r="I970" s="9">
        <v>100</v>
      </c>
      <c r="J970" s="36">
        <v>0.06</v>
      </c>
    </row>
    <row r="971" spans="2:10" s="44" customFormat="1" x14ac:dyDescent="0.35">
      <c r="B971" s="9">
        <v>1155062</v>
      </c>
      <c r="C971" s="5" t="s">
        <v>1344</v>
      </c>
      <c r="D971" s="5" t="s">
        <v>3565</v>
      </c>
      <c r="E971" s="5" t="s">
        <v>701</v>
      </c>
      <c r="F971" s="34" t="s">
        <v>3574</v>
      </c>
      <c r="G971" s="26">
        <v>0.13799999999999998</v>
      </c>
      <c r="H971" s="1" t="s">
        <v>774</v>
      </c>
      <c r="I971" s="9">
        <v>100</v>
      </c>
      <c r="J971" s="36">
        <v>0.06</v>
      </c>
    </row>
    <row r="972" spans="2:10" s="44" customFormat="1" x14ac:dyDescent="0.35">
      <c r="B972" s="9">
        <v>1155065</v>
      </c>
      <c r="C972" s="5" t="s">
        <v>1345</v>
      </c>
      <c r="D972" s="5" t="s">
        <v>3565</v>
      </c>
      <c r="E972" s="5" t="s">
        <v>701</v>
      </c>
      <c r="F972" s="34" t="s">
        <v>3574</v>
      </c>
      <c r="G972" s="26">
        <v>0.14000000000000001</v>
      </c>
      <c r="H972" s="1" t="s">
        <v>774</v>
      </c>
      <c r="I972" s="9">
        <v>100</v>
      </c>
      <c r="J972" s="36">
        <v>0.06</v>
      </c>
    </row>
    <row r="973" spans="2:10" s="44" customFormat="1" x14ac:dyDescent="0.35">
      <c r="B973" s="9">
        <v>1155066</v>
      </c>
      <c r="C973" s="5" t="s">
        <v>1346</v>
      </c>
      <c r="D973" s="5" t="s">
        <v>3565</v>
      </c>
      <c r="E973" s="5" t="s">
        <v>701</v>
      </c>
      <c r="F973" s="34" t="s">
        <v>3574</v>
      </c>
      <c r="G973" s="26">
        <v>0.114</v>
      </c>
      <c r="H973" s="1" t="s">
        <v>774</v>
      </c>
      <c r="I973" s="9">
        <v>100</v>
      </c>
      <c r="J973" s="36">
        <v>0.06</v>
      </c>
    </row>
    <row r="974" spans="2:10" s="44" customFormat="1" x14ac:dyDescent="0.35">
      <c r="B974" s="9">
        <v>1155069</v>
      </c>
      <c r="C974" s="5" t="s">
        <v>1347</v>
      </c>
      <c r="D974" s="5" t="s">
        <v>3565</v>
      </c>
      <c r="E974" s="5" t="s">
        <v>701</v>
      </c>
      <c r="F974" s="34" t="s">
        <v>3574</v>
      </c>
      <c r="G974" s="26">
        <v>0.23</v>
      </c>
      <c r="H974" s="1" t="s">
        <v>774</v>
      </c>
      <c r="I974" s="9">
        <v>100</v>
      </c>
      <c r="J974" s="36">
        <v>0.06</v>
      </c>
    </row>
    <row r="975" spans="2:10" s="44" customFormat="1" x14ac:dyDescent="0.35">
      <c r="B975" s="9">
        <v>1155070</v>
      </c>
      <c r="C975" s="5" t="s">
        <v>1348</v>
      </c>
      <c r="D975" s="5" t="s">
        <v>3565</v>
      </c>
      <c r="E975" s="5" t="s">
        <v>701</v>
      </c>
      <c r="F975" s="34" t="s">
        <v>3574</v>
      </c>
      <c r="G975" s="26">
        <v>0.28600000000000003</v>
      </c>
      <c r="H975" s="1" t="s">
        <v>774</v>
      </c>
      <c r="I975" s="9">
        <v>100</v>
      </c>
      <c r="J975" s="36">
        <v>0.06</v>
      </c>
    </row>
    <row r="976" spans="2:10" s="44" customFormat="1" x14ac:dyDescent="0.35">
      <c r="B976" s="9">
        <v>1155071</v>
      </c>
      <c r="C976" s="5" t="s">
        <v>1349</v>
      </c>
      <c r="D976" s="5" t="s">
        <v>3565</v>
      </c>
      <c r="E976" s="5" t="s">
        <v>701</v>
      </c>
      <c r="F976" s="34" t="s">
        <v>3574</v>
      </c>
      <c r="G976" s="26">
        <v>0.21</v>
      </c>
      <c r="H976" s="1" t="s">
        <v>774</v>
      </c>
      <c r="I976" s="9">
        <v>100</v>
      </c>
      <c r="J976" s="36">
        <v>0.06</v>
      </c>
    </row>
    <row r="977" spans="2:10" s="44" customFormat="1" x14ac:dyDescent="0.35">
      <c r="B977" s="9">
        <v>1155072</v>
      </c>
      <c r="C977" s="5" t="s">
        <v>1355</v>
      </c>
      <c r="D977" s="5" t="s">
        <v>3565</v>
      </c>
      <c r="E977" s="5" t="s">
        <v>1356</v>
      </c>
      <c r="F977" s="34" t="s">
        <v>3574</v>
      </c>
      <c r="G977" s="26">
        <v>0.16400000000000003</v>
      </c>
      <c r="H977" s="1" t="s">
        <v>774</v>
      </c>
      <c r="I977" s="9">
        <v>100</v>
      </c>
      <c r="J977" s="36">
        <v>0.06</v>
      </c>
    </row>
    <row r="978" spans="2:10" s="44" customFormat="1" x14ac:dyDescent="0.35">
      <c r="B978" s="9">
        <v>1155073</v>
      </c>
      <c r="C978" s="5" t="s">
        <v>1357</v>
      </c>
      <c r="D978" s="5" t="s">
        <v>3565</v>
      </c>
      <c r="E978" s="5" t="s">
        <v>701</v>
      </c>
      <c r="F978" s="34" t="s">
        <v>3574</v>
      </c>
      <c r="G978" s="26">
        <v>0.32600000000000001</v>
      </c>
      <c r="H978" s="1" t="s">
        <v>774</v>
      </c>
      <c r="I978" s="9">
        <v>100</v>
      </c>
      <c r="J978" s="36">
        <v>0.06</v>
      </c>
    </row>
    <row r="979" spans="2:10" s="44" customFormat="1" x14ac:dyDescent="0.35">
      <c r="B979" s="9">
        <v>1155074</v>
      </c>
      <c r="C979" s="5" t="s">
        <v>1358</v>
      </c>
      <c r="D979" s="5" t="s">
        <v>3565</v>
      </c>
      <c r="E979" s="5" t="s">
        <v>1359</v>
      </c>
      <c r="F979" s="34" t="s">
        <v>3574</v>
      </c>
      <c r="G979" s="26">
        <v>0.27100000000000002</v>
      </c>
      <c r="H979" s="1" t="s">
        <v>774</v>
      </c>
      <c r="I979" s="9">
        <v>100</v>
      </c>
      <c r="J979" s="36">
        <v>0.06</v>
      </c>
    </row>
    <row r="980" spans="2:10" s="44" customFormat="1" x14ac:dyDescent="0.35">
      <c r="B980" s="9">
        <v>1155075</v>
      </c>
      <c r="C980" s="5" t="s">
        <v>1840</v>
      </c>
      <c r="D980" s="5" t="s">
        <v>3565</v>
      </c>
      <c r="E980" s="5" t="s">
        <v>1882</v>
      </c>
      <c r="F980" s="34" t="s">
        <v>3574</v>
      </c>
      <c r="G980" s="26">
        <v>0.63</v>
      </c>
      <c r="H980" s="1" t="s">
        <v>774</v>
      </c>
      <c r="I980" s="9">
        <v>100</v>
      </c>
      <c r="J980" s="36">
        <v>0.06</v>
      </c>
    </row>
    <row r="981" spans="2:10" s="44" customFormat="1" x14ac:dyDescent="0.35">
      <c r="B981" s="9">
        <v>1155076</v>
      </c>
      <c r="C981" s="5" t="s">
        <v>1333</v>
      </c>
      <c r="D981" s="5" t="s">
        <v>3565</v>
      </c>
      <c r="E981" s="5" t="s">
        <v>701</v>
      </c>
      <c r="F981" s="34" t="s">
        <v>3574</v>
      </c>
      <c r="G981" s="26">
        <v>0.39899999999999997</v>
      </c>
      <c r="H981" s="1" t="s">
        <v>774</v>
      </c>
      <c r="I981" s="9">
        <v>100</v>
      </c>
      <c r="J981" s="36">
        <v>0.06</v>
      </c>
    </row>
    <row r="982" spans="2:10" s="44" customFormat="1" x14ac:dyDescent="0.35">
      <c r="B982" s="9">
        <v>1155077</v>
      </c>
      <c r="C982" s="5" t="s">
        <v>2102</v>
      </c>
      <c r="D982" s="5" t="s">
        <v>3565</v>
      </c>
      <c r="E982" s="5" t="s">
        <v>701</v>
      </c>
      <c r="F982" s="34" t="s">
        <v>3574</v>
      </c>
      <c r="G982" s="26">
        <v>0.68299999999999994</v>
      </c>
      <c r="H982" s="1" t="s">
        <v>774</v>
      </c>
      <c r="I982" s="9">
        <v>100</v>
      </c>
      <c r="J982" s="36">
        <v>0.06</v>
      </c>
    </row>
    <row r="983" spans="2:10" s="44" customFormat="1" x14ac:dyDescent="0.35">
      <c r="B983" s="9">
        <v>1155078</v>
      </c>
      <c r="C983" s="5" t="s">
        <v>1343</v>
      </c>
      <c r="D983" s="5" t="s">
        <v>3565</v>
      </c>
      <c r="E983" s="5" t="s">
        <v>701</v>
      </c>
      <c r="F983" s="34" t="s">
        <v>3574</v>
      </c>
      <c r="G983" s="26">
        <v>0.14299999999999999</v>
      </c>
      <c r="H983" s="1" t="s">
        <v>774</v>
      </c>
      <c r="I983" s="9">
        <v>100</v>
      </c>
      <c r="J983" s="36">
        <v>0.06</v>
      </c>
    </row>
    <row r="984" spans="2:10" s="44" customFormat="1" x14ac:dyDescent="0.35">
      <c r="B984" s="9">
        <v>1155079</v>
      </c>
      <c r="C984" s="5" t="s">
        <v>1336</v>
      </c>
      <c r="D984" s="5" t="s">
        <v>3565</v>
      </c>
      <c r="E984" s="5" t="s">
        <v>701</v>
      </c>
      <c r="F984" s="34" t="s">
        <v>3574</v>
      </c>
      <c r="G984" s="26">
        <v>0.13699999999999998</v>
      </c>
      <c r="H984" s="1" t="s">
        <v>774</v>
      </c>
      <c r="I984" s="9">
        <v>100</v>
      </c>
      <c r="J984" s="36">
        <v>0.06</v>
      </c>
    </row>
    <row r="985" spans="2:10" s="44" customFormat="1" x14ac:dyDescent="0.35">
      <c r="B985" s="9">
        <v>1155080</v>
      </c>
      <c r="C985" s="5" t="s">
        <v>1337</v>
      </c>
      <c r="D985" s="5" t="s">
        <v>3565</v>
      </c>
      <c r="E985" s="5" t="s">
        <v>701</v>
      </c>
      <c r="F985" s="34" t="s">
        <v>3574</v>
      </c>
      <c r="G985" s="26">
        <v>0.2</v>
      </c>
      <c r="H985" s="1" t="s">
        <v>774</v>
      </c>
      <c r="I985" s="9">
        <v>100</v>
      </c>
      <c r="J985" s="36">
        <v>0.06</v>
      </c>
    </row>
    <row r="986" spans="2:10" s="44" customFormat="1" x14ac:dyDescent="0.35">
      <c r="B986" s="9">
        <v>1155081</v>
      </c>
      <c r="C986" s="5" t="s">
        <v>1340</v>
      </c>
      <c r="D986" s="5" t="s">
        <v>3565</v>
      </c>
      <c r="E986" s="5" t="s">
        <v>701</v>
      </c>
      <c r="F986" s="34" t="s">
        <v>3574</v>
      </c>
      <c r="G986" s="26">
        <v>0.248</v>
      </c>
      <c r="H986" s="1" t="s">
        <v>774</v>
      </c>
      <c r="I986" s="9">
        <v>100</v>
      </c>
      <c r="J986" s="36">
        <v>0.06</v>
      </c>
    </row>
    <row r="987" spans="2:10" s="44" customFormat="1" x14ac:dyDescent="0.35">
      <c r="B987" s="9">
        <v>1155082</v>
      </c>
      <c r="C987" s="5" t="s">
        <v>1361</v>
      </c>
      <c r="D987" s="5" t="s">
        <v>3565</v>
      </c>
      <c r="E987" s="5" t="s">
        <v>701</v>
      </c>
      <c r="F987" s="34" t="s">
        <v>3574</v>
      </c>
      <c r="G987" s="26">
        <v>0.159</v>
      </c>
      <c r="H987" s="1" t="s">
        <v>774</v>
      </c>
      <c r="I987" s="9">
        <v>100</v>
      </c>
      <c r="J987" s="36">
        <v>0.06</v>
      </c>
    </row>
    <row r="988" spans="2:10" s="44" customFormat="1" x14ac:dyDescent="0.35">
      <c r="B988" s="9">
        <v>1155083</v>
      </c>
      <c r="C988" s="5" t="s">
        <v>1362</v>
      </c>
      <c r="D988" s="5" t="s">
        <v>3565</v>
      </c>
      <c r="E988" s="5" t="s">
        <v>701</v>
      </c>
      <c r="F988" s="34" t="s">
        <v>3574</v>
      </c>
      <c r="G988" s="26">
        <v>0.151</v>
      </c>
      <c r="H988" s="1" t="s">
        <v>774</v>
      </c>
      <c r="I988" s="9">
        <v>100</v>
      </c>
      <c r="J988" s="36">
        <v>0.06</v>
      </c>
    </row>
    <row r="989" spans="2:10" s="44" customFormat="1" x14ac:dyDescent="0.35">
      <c r="B989" s="9">
        <v>1155084</v>
      </c>
      <c r="C989" s="5" t="s">
        <v>1363</v>
      </c>
      <c r="D989" s="5" t="s">
        <v>3565</v>
      </c>
      <c r="E989" s="5">
        <v>1306251</v>
      </c>
      <c r="F989" s="34" t="s">
        <v>3574</v>
      </c>
      <c r="G989" s="26">
        <v>0.26400000000000001</v>
      </c>
      <c r="H989" s="1" t="s">
        <v>774</v>
      </c>
      <c r="I989" s="9">
        <v>200</v>
      </c>
      <c r="J989" s="36">
        <v>0.06</v>
      </c>
    </row>
    <row r="990" spans="2:10" s="44" customFormat="1" x14ac:dyDescent="0.35">
      <c r="B990" s="9">
        <v>1155085</v>
      </c>
      <c r="C990" s="5" t="s">
        <v>1840</v>
      </c>
      <c r="D990" s="5" t="s">
        <v>3565</v>
      </c>
      <c r="E990" s="5" t="s">
        <v>2201</v>
      </c>
      <c r="F990" s="34" t="s">
        <v>3574</v>
      </c>
      <c r="G990" s="26">
        <v>3.2030000000000003</v>
      </c>
      <c r="H990" s="1" t="s">
        <v>774</v>
      </c>
      <c r="I990" s="9">
        <v>100</v>
      </c>
      <c r="J990" s="36">
        <v>0.06</v>
      </c>
    </row>
    <row r="991" spans="2:10" s="44" customFormat="1" x14ac:dyDescent="0.35">
      <c r="B991" s="9">
        <v>1155086</v>
      </c>
      <c r="C991" s="5" t="s">
        <v>1364</v>
      </c>
      <c r="D991" s="5" t="s">
        <v>3565</v>
      </c>
      <c r="E991" s="5" t="s">
        <v>701</v>
      </c>
      <c r="F991" s="34" t="s">
        <v>3574</v>
      </c>
      <c r="G991" s="26">
        <v>0.19900000000000001</v>
      </c>
      <c r="H991" s="1" t="s">
        <v>774</v>
      </c>
      <c r="I991" s="9">
        <v>100</v>
      </c>
      <c r="J991" s="36">
        <v>0.06</v>
      </c>
    </row>
    <row r="992" spans="2:10" s="44" customFormat="1" x14ac:dyDescent="0.35">
      <c r="B992" s="9">
        <v>1155087</v>
      </c>
      <c r="C992" s="5" t="s">
        <v>1365</v>
      </c>
      <c r="D992" s="5" t="s">
        <v>3565</v>
      </c>
      <c r="E992" s="5" t="s">
        <v>701</v>
      </c>
      <c r="F992" s="34" t="s">
        <v>3574</v>
      </c>
      <c r="G992" s="26">
        <v>0.32100000000000001</v>
      </c>
      <c r="H992" s="1" t="s">
        <v>774</v>
      </c>
      <c r="I992" s="9">
        <v>200</v>
      </c>
      <c r="J992" s="36">
        <v>0.06</v>
      </c>
    </row>
    <row r="993" spans="2:10" s="44" customFormat="1" x14ac:dyDescent="0.35">
      <c r="B993" s="9">
        <v>1155088</v>
      </c>
      <c r="C993" s="5" t="s">
        <v>1366</v>
      </c>
      <c r="D993" s="5" t="s">
        <v>3565</v>
      </c>
      <c r="E993" s="5" t="s">
        <v>701</v>
      </c>
      <c r="F993" s="34" t="s">
        <v>3574</v>
      </c>
      <c r="G993" s="26">
        <v>0.15</v>
      </c>
      <c r="H993" s="1" t="s">
        <v>774</v>
      </c>
      <c r="I993" s="9">
        <v>100</v>
      </c>
      <c r="J993" s="36">
        <v>0.06</v>
      </c>
    </row>
    <row r="994" spans="2:10" s="44" customFormat="1" x14ac:dyDescent="0.35">
      <c r="B994" s="9">
        <v>1155090</v>
      </c>
      <c r="C994" s="5" t="s">
        <v>1367</v>
      </c>
      <c r="D994" s="5" t="s">
        <v>3565</v>
      </c>
      <c r="E994" s="5" t="s">
        <v>701</v>
      </c>
      <c r="F994" s="34" t="s">
        <v>3574</v>
      </c>
      <c r="G994" s="26">
        <v>0.21700000000000003</v>
      </c>
      <c r="H994" s="1" t="s">
        <v>774</v>
      </c>
      <c r="I994" s="9">
        <v>100</v>
      </c>
      <c r="J994" s="36">
        <v>0.06</v>
      </c>
    </row>
    <row r="995" spans="2:10" s="44" customFormat="1" x14ac:dyDescent="0.35">
      <c r="B995" s="9">
        <v>1155091</v>
      </c>
      <c r="C995" s="5" t="s">
        <v>1368</v>
      </c>
      <c r="D995" s="5" t="s">
        <v>3565</v>
      </c>
      <c r="E995" s="5" t="s">
        <v>701</v>
      </c>
      <c r="F995" s="34" t="s">
        <v>3574</v>
      </c>
      <c r="G995" s="26">
        <v>0.27600000000000002</v>
      </c>
      <c r="H995" s="1" t="s">
        <v>774</v>
      </c>
      <c r="I995" s="9">
        <v>100</v>
      </c>
      <c r="J995" s="36">
        <v>0.06</v>
      </c>
    </row>
    <row r="996" spans="2:10" s="44" customFormat="1" x14ac:dyDescent="0.35">
      <c r="B996" s="9">
        <v>1155092</v>
      </c>
      <c r="C996" s="5" t="s">
        <v>1369</v>
      </c>
      <c r="D996" s="5" t="s">
        <v>3565</v>
      </c>
      <c r="E996" s="5" t="s">
        <v>701</v>
      </c>
      <c r="F996" s="34" t="s">
        <v>3574</v>
      </c>
      <c r="G996" s="26">
        <v>0.56600000000000006</v>
      </c>
      <c r="H996" s="1" t="s">
        <v>774</v>
      </c>
      <c r="I996" s="9">
        <v>100</v>
      </c>
      <c r="J996" s="36">
        <v>0.06</v>
      </c>
    </row>
    <row r="997" spans="2:10" s="44" customFormat="1" x14ac:dyDescent="0.35">
      <c r="B997" s="9">
        <v>1155093</v>
      </c>
      <c r="C997" s="5" t="s">
        <v>1370</v>
      </c>
      <c r="D997" s="5" t="s">
        <v>3565</v>
      </c>
      <c r="E997" s="5">
        <v>1306332</v>
      </c>
      <c r="F997" s="34" t="s">
        <v>3574</v>
      </c>
      <c r="G997" s="26">
        <v>0.223</v>
      </c>
      <c r="H997" s="1" t="s">
        <v>774</v>
      </c>
      <c r="I997" s="9">
        <v>100</v>
      </c>
      <c r="J997" s="36">
        <v>0.06</v>
      </c>
    </row>
    <row r="998" spans="2:10" s="44" customFormat="1" x14ac:dyDescent="0.35">
      <c r="B998" s="9">
        <v>1155094</v>
      </c>
      <c r="C998" s="5" t="s">
        <v>1371</v>
      </c>
      <c r="D998" s="5" t="s">
        <v>3565</v>
      </c>
      <c r="E998" s="5" t="s">
        <v>1353</v>
      </c>
      <c r="F998" s="34" t="s">
        <v>3574</v>
      </c>
      <c r="G998" s="26">
        <v>0.28499999999999998</v>
      </c>
      <c r="H998" s="1" t="s">
        <v>774</v>
      </c>
      <c r="I998" s="9">
        <v>100</v>
      </c>
      <c r="J998" s="36">
        <v>0.06</v>
      </c>
    </row>
    <row r="999" spans="2:10" s="44" customFormat="1" x14ac:dyDescent="0.35">
      <c r="B999" s="9">
        <v>1155095</v>
      </c>
      <c r="C999" s="5" t="s">
        <v>1334</v>
      </c>
      <c r="D999" s="5" t="s">
        <v>3565</v>
      </c>
      <c r="E999" s="5" t="s">
        <v>701</v>
      </c>
      <c r="F999" s="34" t="s">
        <v>3574</v>
      </c>
      <c r="G999" s="26">
        <v>0.252</v>
      </c>
      <c r="H999" s="1" t="s">
        <v>774</v>
      </c>
      <c r="I999" s="9">
        <v>100</v>
      </c>
      <c r="J999" s="36">
        <v>0.06</v>
      </c>
    </row>
    <row r="1000" spans="2:10" s="44" customFormat="1" x14ac:dyDescent="0.35">
      <c r="B1000" s="9">
        <v>1155096</v>
      </c>
      <c r="C1000" s="5" t="s">
        <v>1927</v>
      </c>
      <c r="D1000" s="5" t="s">
        <v>3565</v>
      </c>
      <c r="E1000" s="5" t="s">
        <v>1359</v>
      </c>
      <c r="F1000" s="34" t="s">
        <v>3574</v>
      </c>
      <c r="G1000" s="26">
        <v>0.63</v>
      </c>
      <c r="H1000" s="1" t="s">
        <v>774</v>
      </c>
      <c r="I1000" s="9">
        <v>100</v>
      </c>
      <c r="J1000" s="36">
        <v>0.06</v>
      </c>
    </row>
    <row r="1001" spans="2:10" s="44" customFormat="1" x14ac:dyDescent="0.35">
      <c r="B1001" s="9">
        <v>1155098</v>
      </c>
      <c r="C1001" s="5" t="s">
        <v>1840</v>
      </c>
      <c r="D1001" s="5" t="s">
        <v>3565</v>
      </c>
      <c r="E1001" s="5" t="s">
        <v>2373</v>
      </c>
      <c r="F1001" s="34" t="s">
        <v>3574</v>
      </c>
      <c r="G1001" s="26">
        <v>0.73499999999999999</v>
      </c>
      <c r="H1001" s="1" t="s">
        <v>774</v>
      </c>
      <c r="I1001" s="9">
        <v>100</v>
      </c>
      <c r="J1001" s="36">
        <v>0.06</v>
      </c>
    </row>
    <row r="1002" spans="2:10" s="44" customFormat="1" x14ac:dyDescent="0.35">
      <c r="B1002" s="9">
        <v>1155104</v>
      </c>
      <c r="C1002" s="5" t="s">
        <v>1377</v>
      </c>
      <c r="D1002" s="5" t="s">
        <v>3565</v>
      </c>
      <c r="E1002" s="5" t="s">
        <v>701</v>
      </c>
      <c r="F1002" s="34" t="s">
        <v>3574</v>
      </c>
      <c r="G1002" s="26">
        <v>0.19700000000000004</v>
      </c>
      <c r="H1002" s="1" t="s">
        <v>774</v>
      </c>
      <c r="I1002" s="9">
        <v>100</v>
      </c>
      <c r="J1002" s="36">
        <v>0.06</v>
      </c>
    </row>
    <row r="1003" spans="2:10" s="44" customFormat="1" x14ac:dyDescent="0.35">
      <c r="B1003" s="9">
        <v>1155105</v>
      </c>
      <c r="C1003" s="5" t="s">
        <v>1378</v>
      </c>
      <c r="D1003" s="5" t="s">
        <v>3565</v>
      </c>
      <c r="E1003" s="5" t="s">
        <v>701</v>
      </c>
      <c r="F1003" s="34" t="s">
        <v>3574</v>
      </c>
      <c r="G1003" s="26">
        <v>0.38799999999999996</v>
      </c>
      <c r="H1003" s="1" t="s">
        <v>774</v>
      </c>
      <c r="I1003" s="9">
        <v>200</v>
      </c>
      <c r="J1003" s="36">
        <v>0.06</v>
      </c>
    </row>
    <row r="1004" spans="2:10" s="44" customFormat="1" x14ac:dyDescent="0.35">
      <c r="B1004" s="9">
        <v>1155106</v>
      </c>
      <c r="C1004" s="5" t="s">
        <v>1379</v>
      </c>
      <c r="D1004" s="5" t="s">
        <v>3565</v>
      </c>
      <c r="E1004" s="5" t="s">
        <v>701</v>
      </c>
      <c r="F1004" s="34" t="s">
        <v>3574</v>
      </c>
      <c r="G1004" s="26">
        <v>0.25700000000000001</v>
      </c>
      <c r="H1004" s="1" t="s">
        <v>774</v>
      </c>
      <c r="I1004" s="9">
        <v>100</v>
      </c>
      <c r="J1004" s="36">
        <v>0.06</v>
      </c>
    </row>
    <row r="1005" spans="2:10" s="44" customFormat="1" x14ac:dyDescent="0.35">
      <c r="B1005" s="9">
        <v>1155107</v>
      </c>
      <c r="C1005" s="5" t="s">
        <v>1380</v>
      </c>
      <c r="D1005" s="5" t="s">
        <v>3565</v>
      </c>
      <c r="E1005" s="5" t="s">
        <v>701</v>
      </c>
      <c r="F1005" s="34" t="s">
        <v>3574</v>
      </c>
      <c r="G1005" s="26">
        <v>0.36399999999999999</v>
      </c>
      <c r="H1005" s="1" t="s">
        <v>774</v>
      </c>
      <c r="I1005" s="9">
        <v>200</v>
      </c>
      <c r="J1005" s="36">
        <v>0.06</v>
      </c>
    </row>
    <row r="1006" spans="2:10" s="44" customFormat="1" x14ac:dyDescent="0.35">
      <c r="B1006" s="9">
        <v>1155108</v>
      </c>
      <c r="C1006" s="5" t="s">
        <v>1381</v>
      </c>
      <c r="D1006" s="5" t="s">
        <v>3565</v>
      </c>
      <c r="E1006" s="5" t="s">
        <v>701</v>
      </c>
      <c r="F1006" s="34" t="s">
        <v>3574</v>
      </c>
      <c r="G1006" s="26">
        <v>0.22600000000000001</v>
      </c>
      <c r="H1006" s="1" t="s">
        <v>774</v>
      </c>
      <c r="I1006" s="9">
        <v>100</v>
      </c>
      <c r="J1006" s="36">
        <v>0.06</v>
      </c>
    </row>
    <row r="1007" spans="2:10" s="44" customFormat="1" x14ac:dyDescent="0.35">
      <c r="B1007" s="9">
        <v>1155109</v>
      </c>
      <c r="C1007" s="5" t="s">
        <v>1382</v>
      </c>
      <c r="D1007" s="5" t="s">
        <v>3565</v>
      </c>
      <c r="E1007" s="5" t="s">
        <v>701</v>
      </c>
      <c r="F1007" s="34" t="s">
        <v>3574</v>
      </c>
      <c r="G1007" s="26">
        <v>0.36</v>
      </c>
      <c r="H1007" s="1" t="s">
        <v>774</v>
      </c>
      <c r="I1007" s="9">
        <v>100</v>
      </c>
      <c r="J1007" s="36">
        <v>0.06</v>
      </c>
    </row>
    <row r="1008" spans="2:10" s="44" customFormat="1" x14ac:dyDescent="0.35">
      <c r="B1008" s="9">
        <v>1155111</v>
      </c>
      <c r="C1008" s="5" t="s">
        <v>1383</v>
      </c>
      <c r="D1008" s="5" t="s">
        <v>3565</v>
      </c>
      <c r="E1008" s="5" t="s">
        <v>701</v>
      </c>
      <c r="F1008" s="34" t="s">
        <v>3574</v>
      </c>
      <c r="G1008" s="26">
        <v>0.27600000000000002</v>
      </c>
      <c r="H1008" s="1" t="s">
        <v>774</v>
      </c>
      <c r="I1008" s="9">
        <v>100</v>
      </c>
      <c r="J1008" s="36">
        <v>0.06</v>
      </c>
    </row>
    <row r="1009" spans="2:10" s="44" customFormat="1" x14ac:dyDescent="0.35">
      <c r="B1009" s="9">
        <v>1155112</v>
      </c>
      <c r="C1009" s="5" t="s">
        <v>1385</v>
      </c>
      <c r="D1009" s="5" t="s">
        <v>3565</v>
      </c>
      <c r="E1009" s="5" t="s">
        <v>701</v>
      </c>
      <c r="F1009" s="34" t="s">
        <v>3574</v>
      </c>
      <c r="G1009" s="26">
        <v>0.24900000000000003</v>
      </c>
      <c r="H1009" s="1" t="s">
        <v>774</v>
      </c>
      <c r="I1009" s="9">
        <v>100</v>
      </c>
      <c r="J1009" s="36">
        <v>0.06</v>
      </c>
    </row>
    <row r="1010" spans="2:10" s="44" customFormat="1" x14ac:dyDescent="0.35">
      <c r="B1010" s="9">
        <v>1155113</v>
      </c>
      <c r="C1010" s="5" t="s">
        <v>1386</v>
      </c>
      <c r="D1010" s="5" t="s">
        <v>3565</v>
      </c>
      <c r="E1010" s="5" t="s">
        <v>701</v>
      </c>
      <c r="F1010" s="34" t="s">
        <v>3574</v>
      </c>
      <c r="G1010" s="26">
        <v>0.32</v>
      </c>
      <c r="H1010" s="1" t="s">
        <v>774</v>
      </c>
      <c r="I1010" s="9">
        <v>100</v>
      </c>
      <c r="J1010" s="36">
        <v>0.06</v>
      </c>
    </row>
    <row r="1011" spans="2:10" s="44" customFormat="1" x14ac:dyDescent="0.35">
      <c r="B1011" s="9">
        <v>1155114</v>
      </c>
      <c r="C1011" s="5" t="s">
        <v>1387</v>
      </c>
      <c r="D1011" s="5" t="s">
        <v>3565</v>
      </c>
      <c r="E1011" s="5" t="s">
        <v>701</v>
      </c>
      <c r="F1011" s="34" t="s">
        <v>3574</v>
      </c>
      <c r="G1011" s="26">
        <v>0.33899999999999997</v>
      </c>
      <c r="H1011" s="1" t="s">
        <v>774</v>
      </c>
      <c r="I1011" s="9">
        <v>100</v>
      </c>
      <c r="J1011" s="36">
        <v>0.06</v>
      </c>
    </row>
    <row r="1012" spans="2:10" s="44" customFormat="1" x14ac:dyDescent="0.35">
      <c r="B1012" s="9">
        <v>1155115</v>
      </c>
      <c r="C1012" s="5" t="s">
        <v>1388</v>
      </c>
      <c r="D1012" s="5" t="s">
        <v>3565</v>
      </c>
      <c r="E1012" s="5">
        <v>1306561</v>
      </c>
      <c r="F1012" s="34" t="s">
        <v>3574</v>
      </c>
      <c r="G1012" s="26">
        <v>0.7619999999999999</v>
      </c>
      <c r="H1012" s="1" t="s">
        <v>774</v>
      </c>
      <c r="I1012" s="9">
        <v>100</v>
      </c>
      <c r="J1012" s="36">
        <v>0.06</v>
      </c>
    </row>
    <row r="1013" spans="2:10" s="44" customFormat="1" x14ac:dyDescent="0.35">
      <c r="B1013" s="9">
        <v>1155116</v>
      </c>
      <c r="C1013" s="5" t="s">
        <v>1389</v>
      </c>
      <c r="D1013" s="5" t="s">
        <v>3565</v>
      </c>
      <c r="E1013" s="5" t="s">
        <v>701</v>
      </c>
      <c r="F1013" s="34" t="s">
        <v>3574</v>
      </c>
      <c r="G1013" s="26">
        <v>0.51400000000000001</v>
      </c>
      <c r="H1013" s="1" t="s">
        <v>774</v>
      </c>
      <c r="I1013" s="9">
        <v>100</v>
      </c>
      <c r="J1013" s="36">
        <v>0.06</v>
      </c>
    </row>
    <row r="1014" spans="2:10" s="44" customFormat="1" x14ac:dyDescent="0.35">
      <c r="B1014" s="9">
        <v>1155117</v>
      </c>
      <c r="C1014" s="5" t="s">
        <v>2428</v>
      </c>
      <c r="D1014" s="5" t="s">
        <v>3565</v>
      </c>
      <c r="E1014" s="5" t="s">
        <v>2429</v>
      </c>
      <c r="F1014" s="34" t="s">
        <v>3574</v>
      </c>
      <c r="G1014" s="26">
        <v>1.4909999999999999</v>
      </c>
      <c r="H1014" s="1" t="s">
        <v>774</v>
      </c>
      <c r="I1014" s="9">
        <v>100</v>
      </c>
      <c r="J1014" s="36">
        <v>0.06</v>
      </c>
    </row>
    <row r="1015" spans="2:10" s="44" customFormat="1" x14ac:dyDescent="0.35">
      <c r="B1015" s="9">
        <v>1155118</v>
      </c>
      <c r="C1015" s="5" t="s">
        <v>1391</v>
      </c>
      <c r="D1015" s="5" t="s">
        <v>3565</v>
      </c>
      <c r="E1015" s="5" t="s">
        <v>701</v>
      </c>
      <c r="F1015" s="34" t="s">
        <v>3574</v>
      </c>
      <c r="G1015" s="26">
        <v>0.59499999999999997</v>
      </c>
      <c r="H1015" s="1" t="s">
        <v>774</v>
      </c>
      <c r="I1015" s="9">
        <v>100</v>
      </c>
      <c r="J1015" s="36">
        <v>0.06</v>
      </c>
    </row>
    <row r="1016" spans="2:10" s="44" customFormat="1" x14ac:dyDescent="0.35">
      <c r="B1016" s="9">
        <v>1155119</v>
      </c>
      <c r="C1016" s="5" t="s">
        <v>1372</v>
      </c>
      <c r="D1016" s="5" t="s">
        <v>3565</v>
      </c>
      <c r="E1016" s="5" t="s">
        <v>701</v>
      </c>
      <c r="F1016" s="34" t="s">
        <v>3574</v>
      </c>
      <c r="G1016" s="26">
        <v>0.45899999999999996</v>
      </c>
      <c r="H1016" s="1" t="s">
        <v>774</v>
      </c>
      <c r="I1016" s="9">
        <v>100</v>
      </c>
      <c r="J1016" s="36">
        <v>0.06</v>
      </c>
    </row>
    <row r="1017" spans="2:10" s="44" customFormat="1" x14ac:dyDescent="0.35">
      <c r="B1017" s="9">
        <v>1155120</v>
      </c>
      <c r="C1017" s="5" t="s">
        <v>1384</v>
      </c>
      <c r="D1017" s="5" t="s">
        <v>3565</v>
      </c>
      <c r="E1017" s="5" t="s">
        <v>701</v>
      </c>
      <c r="F1017" s="34" t="s">
        <v>3574</v>
      </c>
      <c r="G1017" s="26">
        <v>0.33200000000000002</v>
      </c>
      <c r="H1017" s="1" t="s">
        <v>774</v>
      </c>
      <c r="I1017" s="9">
        <v>100</v>
      </c>
      <c r="J1017" s="36">
        <v>0.06</v>
      </c>
    </row>
    <row r="1018" spans="2:10" s="44" customFormat="1" x14ac:dyDescent="0.35">
      <c r="B1018" s="9">
        <v>1155122</v>
      </c>
      <c r="C1018" s="5" t="s">
        <v>2325</v>
      </c>
      <c r="D1018" s="5" t="s">
        <v>3565</v>
      </c>
      <c r="E1018" s="5" t="s">
        <v>2326</v>
      </c>
      <c r="F1018" s="34" t="s">
        <v>3574</v>
      </c>
      <c r="G1018" s="26">
        <v>0.47300000000000003</v>
      </c>
      <c r="H1018" s="1" t="s">
        <v>774</v>
      </c>
      <c r="I1018" s="9">
        <v>100</v>
      </c>
      <c r="J1018" s="36">
        <v>0.06</v>
      </c>
    </row>
    <row r="1019" spans="2:10" s="44" customFormat="1" x14ac:dyDescent="0.35">
      <c r="B1019" s="9">
        <v>1155128</v>
      </c>
      <c r="C1019" s="5" t="s">
        <v>1374</v>
      </c>
      <c r="D1019" s="5" t="s">
        <v>3565</v>
      </c>
      <c r="E1019" s="5" t="s">
        <v>1375</v>
      </c>
      <c r="F1019" s="34" t="s">
        <v>3574</v>
      </c>
      <c r="G1019" s="26">
        <v>0.29299999999999998</v>
      </c>
      <c r="H1019" s="1" t="s">
        <v>774</v>
      </c>
      <c r="I1019" s="9">
        <v>100</v>
      </c>
      <c r="J1019" s="36">
        <v>0.06</v>
      </c>
    </row>
    <row r="1020" spans="2:10" s="44" customFormat="1" x14ac:dyDescent="0.35">
      <c r="B1020" s="9">
        <v>1155138</v>
      </c>
      <c r="C1020" s="5" t="s">
        <v>1411</v>
      </c>
      <c r="D1020" s="5" t="s">
        <v>3565</v>
      </c>
      <c r="E1020" s="5">
        <v>1306960</v>
      </c>
      <c r="F1020" s="34" t="s">
        <v>3574</v>
      </c>
      <c r="G1020" s="26">
        <v>1.0880000000000001</v>
      </c>
      <c r="H1020" s="1" t="s">
        <v>774</v>
      </c>
      <c r="I1020" s="9">
        <v>100</v>
      </c>
      <c r="J1020" s="36">
        <v>0.06</v>
      </c>
    </row>
    <row r="1021" spans="2:10" s="44" customFormat="1" x14ac:dyDescent="0.35">
      <c r="B1021" s="9">
        <v>1155139</v>
      </c>
      <c r="C1021" s="5" t="s">
        <v>1331</v>
      </c>
      <c r="D1021" s="5" t="s">
        <v>3565</v>
      </c>
      <c r="E1021" s="5" t="s">
        <v>1332</v>
      </c>
      <c r="F1021" s="34" t="s">
        <v>3574</v>
      </c>
      <c r="G1021" s="26">
        <v>0.309</v>
      </c>
      <c r="H1021" s="1" t="s">
        <v>774</v>
      </c>
      <c r="I1021" s="9">
        <v>200</v>
      </c>
      <c r="J1021" s="36">
        <v>0.06</v>
      </c>
    </row>
    <row r="1022" spans="2:10" s="44" customFormat="1" x14ac:dyDescent="0.35">
      <c r="B1022" s="9">
        <v>1155141</v>
      </c>
      <c r="C1022" s="5" t="s">
        <v>2719</v>
      </c>
      <c r="D1022" s="5" t="s">
        <v>3565</v>
      </c>
      <c r="E1022" s="5" t="s">
        <v>2720</v>
      </c>
      <c r="F1022" s="34" t="s">
        <v>3574</v>
      </c>
      <c r="G1022" s="26">
        <v>2.0089999999999999</v>
      </c>
      <c r="H1022" s="1" t="s">
        <v>774</v>
      </c>
      <c r="I1022" s="9">
        <v>100</v>
      </c>
      <c r="J1022" s="36">
        <v>0.06</v>
      </c>
    </row>
    <row r="1023" spans="2:10" s="44" customFormat="1" x14ac:dyDescent="0.35">
      <c r="B1023" s="9">
        <v>1155142</v>
      </c>
      <c r="C1023" s="5" t="s">
        <v>3267</v>
      </c>
      <c r="D1023" s="5" t="s">
        <v>3565</v>
      </c>
      <c r="E1023" s="5" t="s">
        <v>3268</v>
      </c>
      <c r="F1023" s="34" t="s">
        <v>3574</v>
      </c>
      <c r="G1023" s="26">
        <v>1.5</v>
      </c>
      <c r="H1023" s="1" t="s">
        <v>774</v>
      </c>
      <c r="I1023" s="9">
        <v>100</v>
      </c>
      <c r="J1023" s="36">
        <v>0.06</v>
      </c>
    </row>
    <row r="1024" spans="2:10" s="44" customFormat="1" x14ac:dyDescent="0.35">
      <c r="B1024" s="9">
        <v>1155144</v>
      </c>
      <c r="C1024" s="5" t="s">
        <v>1351</v>
      </c>
      <c r="D1024" s="5" t="s">
        <v>3565</v>
      </c>
      <c r="E1024" s="5" t="s">
        <v>701</v>
      </c>
      <c r="F1024" s="34" t="s">
        <v>3574</v>
      </c>
      <c r="G1024" s="26">
        <v>0.41</v>
      </c>
      <c r="H1024" s="1" t="s">
        <v>774</v>
      </c>
      <c r="I1024" s="9">
        <v>100</v>
      </c>
      <c r="J1024" s="36">
        <v>0.06</v>
      </c>
    </row>
    <row r="1025" spans="2:10" s="44" customFormat="1" x14ac:dyDescent="0.35">
      <c r="B1025" s="9">
        <v>1155145</v>
      </c>
      <c r="C1025" s="5" t="s">
        <v>1352</v>
      </c>
      <c r="D1025" s="5" t="s">
        <v>3565</v>
      </c>
      <c r="E1025" s="5" t="s">
        <v>1353</v>
      </c>
      <c r="F1025" s="34" t="s">
        <v>3574</v>
      </c>
      <c r="G1025" s="26">
        <v>0.32</v>
      </c>
      <c r="H1025" s="1" t="s">
        <v>774</v>
      </c>
      <c r="I1025" s="9">
        <v>100</v>
      </c>
      <c r="J1025" s="36">
        <v>0.06</v>
      </c>
    </row>
    <row r="1026" spans="2:10" s="44" customFormat="1" x14ac:dyDescent="0.35">
      <c r="B1026" s="9">
        <v>1155146</v>
      </c>
      <c r="C1026" s="5" t="s">
        <v>1840</v>
      </c>
      <c r="D1026" s="5" t="s">
        <v>3565</v>
      </c>
      <c r="E1026" s="5" t="s">
        <v>2124</v>
      </c>
      <c r="F1026" s="34" t="s">
        <v>3574</v>
      </c>
      <c r="G1026" s="26">
        <v>3.2549999999999999</v>
      </c>
      <c r="H1026" s="1" t="s">
        <v>774</v>
      </c>
      <c r="I1026" s="9">
        <v>100</v>
      </c>
      <c r="J1026" s="36">
        <v>0.06</v>
      </c>
    </row>
    <row r="1027" spans="2:10" s="44" customFormat="1" x14ac:dyDescent="0.35">
      <c r="B1027" s="9">
        <v>1155190</v>
      </c>
      <c r="C1027" s="5" t="s">
        <v>1840</v>
      </c>
      <c r="D1027" s="5" t="s">
        <v>3565</v>
      </c>
      <c r="E1027" s="5" t="s">
        <v>2919</v>
      </c>
      <c r="F1027" s="34" t="s">
        <v>3574</v>
      </c>
      <c r="G1027" s="26">
        <v>2.06</v>
      </c>
      <c r="H1027" s="1" t="s">
        <v>774</v>
      </c>
      <c r="I1027" s="9">
        <v>100</v>
      </c>
      <c r="J1027" s="36">
        <v>0.06</v>
      </c>
    </row>
    <row r="1028" spans="2:10" s="44" customFormat="1" x14ac:dyDescent="0.35">
      <c r="B1028" s="9">
        <v>1155195</v>
      </c>
      <c r="C1028" s="5" t="s">
        <v>1407</v>
      </c>
      <c r="D1028" s="5" t="s">
        <v>3565</v>
      </c>
      <c r="E1028" s="5" t="s">
        <v>701</v>
      </c>
      <c r="F1028" s="34" t="s">
        <v>3574</v>
      </c>
      <c r="G1028" s="26">
        <v>0.59</v>
      </c>
      <c r="H1028" s="1" t="s">
        <v>774</v>
      </c>
      <c r="I1028" s="9">
        <v>100</v>
      </c>
      <c r="J1028" s="36">
        <v>0.06</v>
      </c>
    </row>
    <row r="1029" spans="2:10" s="44" customFormat="1" x14ac:dyDescent="0.35">
      <c r="B1029" s="9">
        <v>1155196</v>
      </c>
      <c r="C1029" s="5" t="s">
        <v>1341</v>
      </c>
      <c r="D1029" s="5" t="s">
        <v>3565</v>
      </c>
      <c r="E1029" s="5" t="s">
        <v>701</v>
      </c>
      <c r="F1029" s="34" t="s">
        <v>3574</v>
      </c>
      <c r="G1029" s="26">
        <v>0.68399999999999994</v>
      </c>
      <c r="H1029" s="1" t="s">
        <v>774</v>
      </c>
      <c r="I1029" s="9">
        <v>100</v>
      </c>
      <c r="J1029" s="36">
        <v>0.06</v>
      </c>
    </row>
    <row r="1030" spans="2:10" s="44" customFormat="1" x14ac:dyDescent="0.35">
      <c r="B1030" s="9">
        <v>1155202</v>
      </c>
      <c r="C1030" s="5" t="s">
        <v>2802</v>
      </c>
      <c r="D1030" s="5" t="s">
        <v>3565</v>
      </c>
      <c r="E1030" s="5" t="s">
        <v>2803</v>
      </c>
      <c r="F1030" s="34" t="s">
        <v>3574</v>
      </c>
      <c r="G1030" s="26">
        <v>0.18600000000000003</v>
      </c>
      <c r="H1030" s="1" t="s">
        <v>774</v>
      </c>
      <c r="I1030" s="9">
        <v>100</v>
      </c>
      <c r="J1030" s="36">
        <v>0.06</v>
      </c>
    </row>
    <row r="1031" spans="2:10" s="44" customFormat="1" x14ac:dyDescent="0.35">
      <c r="B1031" s="9">
        <v>1155203</v>
      </c>
      <c r="C1031" s="5" t="s">
        <v>1390</v>
      </c>
      <c r="D1031" s="5" t="s">
        <v>3565</v>
      </c>
      <c r="E1031" s="5" t="s">
        <v>701</v>
      </c>
      <c r="F1031" s="34" t="s">
        <v>3574</v>
      </c>
      <c r="G1031" s="26">
        <v>0.45</v>
      </c>
      <c r="H1031" s="1" t="s">
        <v>774</v>
      </c>
      <c r="I1031" s="9">
        <v>100</v>
      </c>
      <c r="J1031" s="36">
        <v>0.06</v>
      </c>
    </row>
    <row r="1032" spans="2:10" s="44" customFormat="1" x14ac:dyDescent="0.35">
      <c r="B1032" s="9">
        <v>1155204</v>
      </c>
      <c r="C1032" s="5" t="s">
        <v>1413</v>
      </c>
      <c r="D1032" s="5" t="s">
        <v>3565</v>
      </c>
      <c r="E1032" s="5" t="s">
        <v>701</v>
      </c>
      <c r="F1032" s="34" t="s">
        <v>3574</v>
      </c>
      <c r="G1032" s="26">
        <v>0.86099999999999999</v>
      </c>
      <c r="H1032" s="1" t="s">
        <v>774</v>
      </c>
      <c r="I1032" s="9">
        <v>100</v>
      </c>
      <c r="J1032" s="36">
        <v>0.06</v>
      </c>
    </row>
    <row r="1033" spans="2:10" s="44" customFormat="1" x14ac:dyDescent="0.35">
      <c r="B1033" s="9">
        <v>1155205</v>
      </c>
      <c r="C1033" s="5" t="s">
        <v>1840</v>
      </c>
      <c r="D1033" s="5" t="s">
        <v>3565</v>
      </c>
      <c r="E1033" s="5" t="s">
        <v>2270</v>
      </c>
      <c r="F1033" s="34" t="s">
        <v>3574</v>
      </c>
      <c r="G1033" s="26">
        <v>1.0290000000000001</v>
      </c>
      <c r="H1033" s="1" t="s">
        <v>774</v>
      </c>
      <c r="I1033" s="9">
        <v>100</v>
      </c>
      <c r="J1033" s="36">
        <v>0.06</v>
      </c>
    </row>
    <row r="1034" spans="2:10" s="44" customFormat="1" x14ac:dyDescent="0.35">
      <c r="B1034" s="9">
        <v>1155206</v>
      </c>
      <c r="C1034" s="5" t="s">
        <v>1401</v>
      </c>
      <c r="D1034" s="5" t="s">
        <v>3565</v>
      </c>
      <c r="E1034" s="5" t="s">
        <v>701</v>
      </c>
      <c r="F1034" s="34" t="s">
        <v>3574</v>
      </c>
      <c r="G1034" s="26">
        <v>1.242</v>
      </c>
      <c r="H1034" s="1" t="s">
        <v>774</v>
      </c>
      <c r="I1034" s="9">
        <v>100</v>
      </c>
      <c r="J1034" s="36">
        <v>0.06</v>
      </c>
    </row>
    <row r="1035" spans="2:10" s="44" customFormat="1" x14ac:dyDescent="0.35">
      <c r="B1035" s="9">
        <v>1155209</v>
      </c>
      <c r="C1035" s="5" t="s">
        <v>2821</v>
      </c>
      <c r="D1035" s="5" t="s">
        <v>3565</v>
      </c>
      <c r="E1035" s="5" t="s">
        <v>2822</v>
      </c>
      <c r="F1035" s="34" t="s">
        <v>3574</v>
      </c>
      <c r="G1035" s="26">
        <v>3.173</v>
      </c>
      <c r="H1035" s="1" t="s">
        <v>774</v>
      </c>
      <c r="I1035" s="9">
        <v>50</v>
      </c>
      <c r="J1035" s="36">
        <v>0.06</v>
      </c>
    </row>
    <row r="1036" spans="2:10" s="44" customFormat="1" x14ac:dyDescent="0.35">
      <c r="B1036" s="9">
        <v>1155210</v>
      </c>
      <c r="C1036" s="5" t="s">
        <v>1360</v>
      </c>
      <c r="D1036" s="5" t="s">
        <v>3565</v>
      </c>
      <c r="E1036" s="5" t="s">
        <v>701</v>
      </c>
      <c r="F1036" s="34" t="s">
        <v>3574</v>
      </c>
      <c r="G1036" s="26">
        <v>0.45600000000000002</v>
      </c>
      <c r="H1036" s="1" t="s">
        <v>774</v>
      </c>
      <c r="I1036" s="9">
        <v>100</v>
      </c>
      <c r="J1036" s="36">
        <v>0.06</v>
      </c>
    </row>
    <row r="1037" spans="2:10" s="44" customFormat="1" x14ac:dyDescent="0.35">
      <c r="B1037" s="9">
        <v>1155214</v>
      </c>
      <c r="C1037" s="5" t="s">
        <v>2418</v>
      </c>
      <c r="D1037" s="5" t="s">
        <v>3565</v>
      </c>
      <c r="E1037" s="5" t="s">
        <v>2419</v>
      </c>
      <c r="F1037" s="34" t="s">
        <v>3574</v>
      </c>
      <c r="G1037" s="26">
        <v>0.26300000000000001</v>
      </c>
      <c r="H1037" s="1" t="s">
        <v>774</v>
      </c>
      <c r="I1037" s="9">
        <v>100</v>
      </c>
      <c r="J1037" s="36">
        <v>0.06</v>
      </c>
    </row>
    <row r="1038" spans="2:10" s="44" customFormat="1" x14ac:dyDescent="0.35">
      <c r="B1038" s="9">
        <v>1155216</v>
      </c>
      <c r="C1038" s="5" t="s">
        <v>1993</v>
      </c>
      <c r="D1038" s="5" t="s">
        <v>3565</v>
      </c>
      <c r="E1038" s="11" t="s">
        <v>3573</v>
      </c>
      <c r="F1038" s="34" t="s">
        <v>3574</v>
      </c>
      <c r="G1038" s="26">
        <v>2.331</v>
      </c>
      <c r="H1038" s="1" t="s">
        <v>774</v>
      </c>
      <c r="I1038" s="9">
        <v>50</v>
      </c>
      <c r="J1038" s="36">
        <v>0.06</v>
      </c>
    </row>
    <row r="1039" spans="2:10" s="44" customFormat="1" x14ac:dyDescent="0.35">
      <c r="B1039" s="9">
        <v>1155218</v>
      </c>
      <c r="C1039" s="5" t="s">
        <v>1392</v>
      </c>
      <c r="D1039" s="5" t="s">
        <v>3565</v>
      </c>
      <c r="E1039" s="5">
        <v>1306642</v>
      </c>
      <c r="F1039" s="34" t="s">
        <v>3574</v>
      </c>
      <c r="G1039" s="26">
        <v>0.26800000000000002</v>
      </c>
      <c r="H1039" s="1" t="s">
        <v>774</v>
      </c>
      <c r="I1039" s="9">
        <v>100</v>
      </c>
      <c r="J1039" s="36">
        <v>0.06</v>
      </c>
    </row>
    <row r="1040" spans="2:10" s="44" customFormat="1" x14ac:dyDescent="0.35">
      <c r="B1040" s="9">
        <v>1155226</v>
      </c>
      <c r="C1040" s="5" t="s">
        <v>1342</v>
      </c>
      <c r="D1040" s="5" t="s">
        <v>3565</v>
      </c>
      <c r="E1040" s="5" t="s">
        <v>701</v>
      </c>
      <c r="F1040" s="34" t="s">
        <v>3574</v>
      </c>
      <c r="G1040" s="26">
        <v>0.79199999999999993</v>
      </c>
      <c r="H1040" s="1" t="s">
        <v>774</v>
      </c>
      <c r="I1040" s="9">
        <v>100</v>
      </c>
      <c r="J1040" s="36">
        <v>0.06</v>
      </c>
    </row>
    <row r="1041" spans="2:10" s="44" customFormat="1" x14ac:dyDescent="0.35">
      <c r="B1041" s="9">
        <v>1155228</v>
      </c>
      <c r="C1041" s="5" t="s">
        <v>1376</v>
      </c>
      <c r="D1041" s="5" t="s">
        <v>3565</v>
      </c>
      <c r="E1041" s="5" t="s">
        <v>701</v>
      </c>
      <c r="F1041" s="34" t="s">
        <v>3574</v>
      </c>
      <c r="G1041" s="26">
        <v>0.24100000000000002</v>
      </c>
      <c r="H1041" s="1" t="s">
        <v>774</v>
      </c>
      <c r="I1041" s="9">
        <v>100</v>
      </c>
      <c r="J1041" s="36">
        <v>0.06</v>
      </c>
    </row>
    <row r="1042" spans="2:10" s="44" customFormat="1" x14ac:dyDescent="0.35">
      <c r="B1042" s="9">
        <v>1155234</v>
      </c>
      <c r="C1042" s="5" t="s">
        <v>3184</v>
      </c>
      <c r="D1042" s="5" t="s">
        <v>3565</v>
      </c>
      <c r="E1042" s="5" t="s">
        <v>3185</v>
      </c>
      <c r="F1042" s="34" t="s">
        <v>3574</v>
      </c>
      <c r="G1042" s="26">
        <v>0.18</v>
      </c>
      <c r="H1042" s="1" t="s">
        <v>774</v>
      </c>
      <c r="I1042" s="9">
        <v>200</v>
      </c>
      <c r="J1042" s="36">
        <v>0.06</v>
      </c>
    </row>
    <row r="1043" spans="2:10" s="44" customFormat="1" x14ac:dyDescent="0.35">
      <c r="B1043" s="9">
        <v>1155235</v>
      </c>
      <c r="C1043" s="5" t="s">
        <v>1240</v>
      </c>
      <c r="D1043" s="5" t="s">
        <v>3565</v>
      </c>
      <c r="E1043" s="5" t="s">
        <v>3566</v>
      </c>
      <c r="F1043" s="34" t="s">
        <v>3574</v>
      </c>
      <c r="G1043" s="26">
        <v>0.30099999999999999</v>
      </c>
      <c r="H1043" s="1" t="s">
        <v>774</v>
      </c>
      <c r="I1043" s="9">
        <v>100</v>
      </c>
      <c r="J1043" s="36">
        <v>0.06</v>
      </c>
    </row>
    <row r="1044" spans="2:10" s="44" customFormat="1" x14ac:dyDescent="0.35">
      <c r="B1044" s="9">
        <v>1155238</v>
      </c>
      <c r="C1044" s="5" t="s">
        <v>1238</v>
      </c>
      <c r="D1044" s="5" t="s">
        <v>3565</v>
      </c>
      <c r="E1044" s="5" t="s">
        <v>1239</v>
      </c>
      <c r="F1044" s="34" t="s">
        <v>3574</v>
      </c>
      <c r="G1044" s="26">
        <v>0.79799999999999993</v>
      </c>
      <c r="H1044" s="1" t="s">
        <v>774</v>
      </c>
      <c r="I1044" s="9">
        <v>100</v>
      </c>
      <c r="J1044" s="36">
        <v>0.06</v>
      </c>
    </row>
    <row r="1045" spans="2:10" s="44" customFormat="1" x14ac:dyDescent="0.35">
      <c r="B1045" s="9">
        <v>1155240</v>
      </c>
      <c r="C1045" s="5" t="s">
        <v>2293</v>
      </c>
      <c r="D1045" s="5" t="s">
        <v>3565</v>
      </c>
      <c r="E1045" s="5" t="s">
        <v>2294</v>
      </c>
      <c r="F1045" s="34" t="s">
        <v>3574</v>
      </c>
      <c r="G1045" s="26">
        <v>0.87199999999999989</v>
      </c>
      <c r="H1045" s="1" t="s">
        <v>774</v>
      </c>
      <c r="I1045" s="9">
        <v>100</v>
      </c>
      <c r="J1045" s="36">
        <v>0.06</v>
      </c>
    </row>
    <row r="1046" spans="2:10" s="44" customFormat="1" x14ac:dyDescent="0.35">
      <c r="B1046" s="9">
        <v>1155246</v>
      </c>
      <c r="C1046" s="5" t="s">
        <v>2413</v>
      </c>
      <c r="D1046" s="5" t="s">
        <v>3565</v>
      </c>
      <c r="E1046" s="5" t="s">
        <v>2414</v>
      </c>
      <c r="F1046" s="34" t="s">
        <v>3574</v>
      </c>
      <c r="G1046" s="26">
        <v>2.1</v>
      </c>
      <c r="H1046" s="1" t="s">
        <v>774</v>
      </c>
      <c r="I1046" s="9">
        <v>1000</v>
      </c>
      <c r="J1046" s="36">
        <v>0.06</v>
      </c>
    </row>
    <row r="1047" spans="2:10" s="44" customFormat="1" x14ac:dyDescent="0.35">
      <c r="B1047" s="9">
        <v>1156005</v>
      </c>
      <c r="C1047" s="5" t="s">
        <v>2063</v>
      </c>
      <c r="D1047" s="5" t="s">
        <v>3565</v>
      </c>
      <c r="E1047" s="5" t="s">
        <v>2064</v>
      </c>
      <c r="F1047" s="34" t="s">
        <v>3574</v>
      </c>
      <c r="G1047" s="26">
        <v>3.57</v>
      </c>
      <c r="H1047" s="1" t="s">
        <v>774</v>
      </c>
      <c r="I1047" s="9">
        <v>100</v>
      </c>
      <c r="J1047" s="36">
        <v>0.06</v>
      </c>
    </row>
    <row r="1048" spans="2:10" s="44" customFormat="1" x14ac:dyDescent="0.35">
      <c r="B1048" s="9">
        <v>1156006</v>
      </c>
      <c r="C1048" s="5" t="s">
        <v>2587</v>
      </c>
      <c r="D1048" s="5" t="s">
        <v>3565</v>
      </c>
      <c r="E1048" s="5" t="s">
        <v>2588</v>
      </c>
      <c r="F1048" s="34" t="s">
        <v>3574</v>
      </c>
      <c r="G1048" s="26">
        <v>2.1640000000000001</v>
      </c>
      <c r="H1048" s="1" t="s">
        <v>774</v>
      </c>
      <c r="I1048" s="9">
        <v>100</v>
      </c>
      <c r="J1048" s="36">
        <v>0.06</v>
      </c>
    </row>
    <row r="1049" spans="2:10" s="44" customFormat="1" x14ac:dyDescent="0.35">
      <c r="B1049" s="9">
        <v>1156009</v>
      </c>
      <c r="C1049" s="5" t="s">
        <v>2602</v>
      </c>
      <c r="D1049" s="5" t="s">
        <v>3565</v>
      </c>
      <c r="E1049" s="5" t="s">
        <v>2603</v>
      </c>
      <c r="F1049" s="34" t="s">
        <v>3574</v>
      </c>
      <c r="G1049" s="26">
        <v>1.03</v>
      </c>
      <c r="H1049" s="1" t="s">
        <v>774</v>
      </c>
      <c r="I1049" s="9">
        <v>100</v>
      </c>
      <c r="J1049" s="36">
        <v>0.06</v>
      </c>
    </row>
    <row r="1050" spans="2:10" s="44" customFormat="1" x14ac:dyDescent="0.35">
      <c r="B1050" s="9">
        <v>1157001</v>
      </c>
      <c r="C1050" s="5" t="s">
        <v>2284</v>
      </c>
      <c r="D1050" s="5" t="s">
        <v>3565</v>
      </c>
      <c r="E1050" s="5" t="s">
        <v>701</v>
      </c>
      <c r="F1050" s="34" t="s">
        <v>3574</v>
      </c>
      <c r="G1050" s="26">
        <v>0.86599999999999999</v>
      </c>
      <c r="H1050" s="1" t="s">
        <v>774</v>
      </c>
      <c r="I1050" s="9">
        <v>100</v>
      </c>
      <c r="J1050" s="36">
        <v>0.06</v>
      </c>
    </row>
    <row r="1051" spans="2:10" s="44" customFormat="1" x14ac:dyDescent="0.35">
      <c r="B1051" s="9">
        <v>1157010</v>
      </c>
      <c r="C1051" s="5" t="s">
        <v>1395</v>
      </c>
      <c r="D1051" s="5" t="s">
        <v>3565</v>
      </c>
      <c r="E1051" s="5">
        <v>1306669</v>
      </c>
      <c r="F1051" s="34" t="s">
        <v>3574</v>
      </c>
      <c r="G1051" s="26">
        <v>0.34300000000000003</v>
      </c>
      <c r="H1051" s="1" t="s">
        <v>774</v>
      </c>
      <c r="I1051" s="9">
        <v>100</v>
      </c>
      <c r="J1051" s="36">
        <v>0.06</v>
      </c>
    </row>
    <row r="1052" spans="2:10" s="44" customFormat="1" x14ac:dyDescent="0.35">
      <c r="B1052" s="9">
        <v>1157012</v>
      </c>
      <c r="C1052" s="5" t="s">
        <v>1840</v>
      </c>
      <c r="D1052" s="5" t="s">
        <v>3565</v>
      </c>
      <c r="E1052" s="5" t="s">
        <v>2228</v>
      </c>
      <c r="F1052" s="34" t="s">
        <v>3574</v>
      </c>
      <c r="G1052" s="26">
        <v>1.365</v>
      </c>
      <c r="H1052" s="1" t="s">
        <v>774</v>
      </c>
      <c r="I1052" s="9">
        <v>100</v>
      </c>
      <c r="J1052" s="36">
        <v>0.06</v>
      </c>
    </row>
    <row r="1053" spans="2:10" s="44" customFormat="1" x14ac:dyDescent="0.35">
      <c r="B1053" s="9">
        <v>1157013</v>
      </c>
      <c r="C1053" s="5" t="s">
        <v>1354</v>
      </c>
      <c r="D1053" s="5" t="s">
        <v>3565</v>
      </c>
      <c r="E1053" s="5" t="s">
        <v>701</v>
      </c>
      <c r="F1053" s="34" t="s">
        <v>3574</v>
      </c>
      <c r="G1053" s="26">
        <v>0.151</v>
      </c>
      <c r="H1053" s="1" t="s">
        <v>774</v>
      </c>
      <c r="I1053" s="9">
        <v>100</v>
      </c>
      <c r="J1053" s="36">
        <v>0.06</v>
      </c>
    </row>
    <row r="1054" spans="2:10" s="44" customFormat="1" x14ac:dyDescent="0.35">
      <c r="B1054" s="9">
        <v>1157014</v>
      </c>
      <c r="C1054" s="5" t="s">
        <v>1840</v>
      </c>
      <c r="D1054" s="5" t="s">
        <v>3565</v>
      </c>
      <c r="E1054" s="5" t="s">
        <v>2198</v>
      </c>
      <c r="F1054" s="34" t="s">
        <v>3574</v>
      </c>
      <c r="G1054" s="26">
        <v>0.315</v>
      </c>
      <c r="H1054" s="1" t="s">
        <v>774</v>
      </c>
      <c r="I1054" s="9">
        <v>100</v>
      </c>
      <c r="J1054" s="36">
        <v>0.06</v>
      </c>
    </row>
    <row r="1055" spans="2:10" s="44" customFormat="1" x14ac:dyDescent="0.35">
      <c r="B1055" s="9">
        <v>1157016</v>
      </c>
      <c r="C1055" s="5" t="s">
        <v>991</v>
      </c>
      <c r="D1055" s="5" t="s">
        <v>3565</v>
      </c>
      <c r="E1055" s="5" t="s">
        <v>701</v>
      </c>
      <c r="F1055" s="34" t="s">
        <v>3574</v>
      </c>
      <c r="G1055" s="26">
        <v>0.33</v>
      </c>
      <c r="H1055" s="1" t="s">
        <v>774</v>
      </c>
      <c r="I1055" s="9">
        <v>100</v>
      </c>
      <c r="J1055" s="36">
        <v>0.06</v>
      </c>
    </row>
    <row r="1056" spans="2:10" s="44" customFormat="1" x14ac:dyDescent="0.35">
      <c r="B1056" s="9">
        <v>1157017</v>
      </c>
      <c r="C1056" s="5" t="s">
        <v>2006</v>
      </c>
      <c r="D1056" s="5" t="s">
        <v>3565</v>
      </c>
      <c r="E1056" s="5" t="s">
        <v>2007</v>
      </c>
      <c r="F1056" s="34" t="s">
        <v>3574</v>
      </c>
      <c r="G1056" s="26">
        <v>0.26300000000000001</v>
      </c>
      <c r="H1056" s="1" t="s">
        <v>774</v>
      </c>
      <c r="I1056" s="9">
        <v>100</v>
      </c>
      <c r="J1056" s="36">
        <v>0.06</v>
      </c>
    </row>
    <row r="1057" spans="2:10" s="44" customFormat="1" x14ac:dyDescent="0.35">
      <c r="B1057" s="9">
        <v>1157018</v>
      </c>
      <c r="C1057" s="5" t="s">
        <v>1335</v>
      </c>
      <c r="D1057" s="5" t="s">
        <v>3565</v>
      </c>
      <c r="E1057" s="5" t="s">
        <v>701</v>
      </c>
      <c r="F1057" s="34" t="s">
        <v>3574</v>
      </c>
      <c r="G1057" s="26">
        <v>0.28000000000000003</v>
      </c>
      <c r="H1057" s="1" t="s">
        <v>774</v>
      </c>
      <c r="I1057" s="9">
        <v>100</v>
      </c>
      <c r="J1057" s="36">
        <v>0.06</v>
      </c>
    </row>
    <row r="1058" spans="2:10" s="44" customFormat="1" x14ac:dyDescent="0.35">
      <c r="B1058" s="9">
        <v>1157019</v>
      </c>
      <c r="C1058" s="5" t="s">
        <v>1972</v>
      </c>
      <c r="D1058" s="5" t="s">
        <v>3565</v>
      </c>
      <c r="E1058" s="5" t="s">
        <v>1973</v>
      </c>
      <c r="F1058" s="34" t="s">
        <v>3574</v>
      </c>
      <c r="G1058" s="26">
        <v>0.29399999999999998</v>
      </c>
      <c r="H1058" s="1" t="s">
        <v>774</v>
      </c>
      <c r="I1058" s="9">
        <v>100</v>
      </c>
      <c r="J1058" s="36">
        <v>0.06</v>
      </c>
    </row>
    <row r="1059" spans="2:10" s="44" customFormat="1" x14ac:dyDescent="0.35">
      <c r="B1059" s="9">
        <v>1157020</v>
      </c>
      <c r="C1059" s="5" t="s">
        <v>1350</v>
      </c>
      <c r="D1059" s="5" t="s">
        <v>3565</v>
      </c>
      <c r="E1059" s="5" t="s">
        <v>701</v>
      </c>
      <c r="F1059" s="34" t="s">
        <v>3574</v>
      </c>
      <c r="G1059" s="26">
        <v>0.40700000000000003</v>
      </c>
      <c r="H1059" s="1" t="s">
        <v>774</v>
      </c>
      <c r="I1059" s="9">
        <v>100</v>
      </c>
      <c r="J1059" s="36">
        <v>0.06</v>
      </c>
    </row>
    <row r="1060" spans="2:10" s="44" customFormat="1" x14ac:dyDescent="0.35">
      <c r="B1060" s="9">
        <v>1157021</v>
      </c>
      <c r="C1060" s="5" t="s">
        <v>2842</v>
      </c>
      <c r="D1060" s="5" t="s">
        <v>3565</v>
      </c>
      <c r="E1060" s="5" t="s">
        <v>2843</v>
      </c>
      <c r="F1060" s="34" t="s">
        <v>3574</v>
      </c>
      <c r="G1060" s="26">
        <v>0.80599999999999994</v>
      </c>
      <c r="H1060" s="1" t="s">
        <v>774</v>
      </c>
      <c r="I1060" s="9">
        <v>100</v>
      </c>
      <c r="J1060" s="36">
        <v>0.06</v>
      </c>
    </row>
    <row r="1061" spans="2:10" s="44" customFormat="1" x14ac:dyDescent="0.35">
      <c r="B1061" s="9">
        <v>1159004</v>
      </c>
      <c r="C1061" s="5" t="s">
        <v>2641</v>
      </c>
      <c r="D1061" s="5" t="s">
        <v>3565</v>
      </c>
      <c r="E1061" s="5" t="s">
        <v>2642</v>
      </c>
      <c r="F1061" s="34" t="s">
        <v>3574</v>
      </c>
      <c r="G1061" s="26">
        <v>0.49099999999999999</v>
      </c>
      <c r="H1061" s="1" t="s">
        <v>774</v>
      </c>
      <c r="I1061" s="9">
        <v>100</v>
      </c>
      <c r="J1061" s="36">
        <v>0.06</v>
      </c>
    </row>
    <row r="1062" spans="2:10" s="44" customFormat="1" x14ac:dyDescent="0.35">
      <c r="B1062" s="9">
        <v>1161001</v>
      </c>
      <c r="C1062" s="5" t="s">
        <v>2038</v>
      </c>
      <c r="D1062" s="5" t="s">
        <v>3565</v>
      </c>
      <c r="E1062" s="5" t="s">
        <v>2039</v>
      </c>
      <c r="F1062" s="34" t="s">
        <v>3574</v>
      </c>
      <c r="G1062" s="26">
        <v>0.109</v>
      </c>
      <c r="H1062" s="1" t="s">
        <v>774</v>
      </c>
      <c r="I1062" s="9">
        <v>200</v>
      </c>
      <c r="J1062" s="36">
        <v>0.06</v>
      </c>
    </row>
    <row r="1063" spans="2:10" s="44" customFormat="1" x14ac:dyDescent="0.35">
      <c r="B1063" s="9">
        <v>1161003</v>
      </c>
      <c r="C1063" s="5" t="s">
        <v>1317</v>
      </c>
      <c r="D1063" s="5" t="s">
        <v>3565</v>
      </c>
      <c r="E1063" s="5" t="s">
        <v>1318</v>
      </c>
      <c r="F1063" s="34" t="s">
        <v>3574</v>
      </c>
      <c r="G1063" s="26">
        <v>0.1</v>
      </c>
      <c r="H1063" s="1" t="s">
        <v>774</v>
      </c>
      <c r="I1063" s="9">
        <v>100</v>
      </c>
      <c r="J1063" s="36">
        <v>0.06</v>
      </c>
    </row>
    <row r="1064" spans="2:10" s="44" customFormat="1" x14ac:dyDescent="0.35">
      <c r="B1064" s="9">
        <v>1161004</v>
      </c>
      <c r="C1064" s="5" t="s">
        <v>1321</v>
      </c>
      <c r="D1064" s="5" t="s">
        <v>3565</v>
      </c>
      <c r="E1064" s="5" t="s">
        <v>1322</v>
      </c>
      <c r="F1064" s="34" t="s">
        <v>3574</v>
      </c>
      <c r="G1064" s="26">
        <v>0.17600000000000002</v>
      </c>
      <c r="H1064" s="1" t="s">
        <v>774</v>
      </c>
      <c r="I1064" s="9">
        <v>200</v>
      </c>
      <c r="J1064" s="36">
        <v>0.06</v>
      </c>
    </row>
    <row r="1065" spans="2:10" s="44" customFormat="1" x14ac:dyDescent="0.35">
      <c r="B1065" s="9">
        <v>1161005</v>
      </c>
      <c r="C1065" s="5" t="s">
        <v>1323</v>
      </c>
      <c r="D1065" s="5" t="s">
        <v>3565</v>
      </c>
      <c r="E1065" s="5" t="s">
        <v>1324</v>
      </c>
      <c r="F1065" s="34" t="s">
        <v>3574</v>
      </c>
      <c r="G1065" s="26">
        <v>0.20100000000000001</v>
      </c>
      <c r="H1065" s="1" t="s">
        <v>774</v>
      </c>
      <c r="I1065" s="9">
        <v>200</v>
      </c>
      <c r="J1065" s="36">
        <v>0.06</v>
      </c>
    </row>
    <row r="1066" spans="2:10" s="44" customFormat="1" x14ac:dyDescent="0.35">
      <c r="B1066" s="9">
        <v>1161006</v>
      </c>
      <c r="C1066" s="5" t="s">
        <v>1325</v>
      </c>
      <c r="D1066" s="5" t="s">
        <v>3565</v>
      </c>
      <c r="E1066" s="5" t="s">
        <v>1324</v>
      </c>
      <c r="F1066" s="34" t="s">
        <v>3574</v>
      </c>
      <c r="G1066" s="26">
        <v>0.17900000000000002</v>
      </c>
      <c r="H1066" s="1" t="s">
        <v>774</v>
      </c>
      <c r="I1066" s="9">
        <v>200</v>
      </c>
      <c r="J1066" s="36">
        <v>0.06</v>
      </c>
    </row>
    <row r="1067" spans="2:10" s="44" customFormat="1" x14ac:dyDescent="0.35">
      <c r="B1067" s="9">
        <v>1161007</v>
      </c>
      <c r="C1067" s="5" t="s">
        <v>1326</v>
      </c>
      <c r="D1067" s="5" t="s">
        <v>3565</v>
      </c>
      <c r="E1067" s="5" t="s">
        <v>1327</v>
      </c>
      <c r="F1067" s="34" t="s">
        <v>3574</v>
      </c>
      <c r="G1067" s="26">
        <v>0.34399999999999997</v>
      </c>
      <c r="H1067" s="1" t="s">
        <v>774</v>
      </c>
      <c r="I1067" s="9">
        <v>200</v>
      </c>
      <c r="J1067" s="36">
        <v>0.06</v>
      </c>
    </row>
    <row r="1068" spans="2:10" s="44" customFormat="1" x14ac:dyDescent="0.35">
      <c r="B1068" s="9">
        <v>1161008</v>
      </c>
      <c r="C1068" s="5" t="s">
        <v>2936</v>
      </c>
      <c r="D1068" s="5" t="s">
        <v>3565</v>
      </c>
      <c r="E1068" s="5" t="s">
        <v>2937</v>
      </c>
      <c r="F1068" s="34" t="s">
        <v>3574</v>
      </c>
      <c r="G1068" s="26">
        <v>7.8E-2</v>
      </c>
      <c r="H1068" s="1" t="s">
        <v>774</v>
      </c>
      <c r="I1068" s="9">
        <v>200</v>
      </c>
      <c r="J1068" s="36">
        <v>0.06</v>
      </c>
    </row>
    <row r="1069" spans="2:10" s="44" customFormat="1" x14ac:dyDescent="0.35">
      <c r="B1069" s="9">
        <v>1161010</v>
      </c>
      <c r="C1069" s="5" t="s">
        <v>2076</v>
      </c>
      <c r="D1069" s="5" t="s">
        <v>3565</v>
      </c>
      <c r="E1069" s="5" t="s">
        <v>2077</v>
      </c>
      <c r="F1069" s="34" t="s">
        <v>3574</v>
      </c>
      <c r="G1069" s="26">
        <v>0.25</v>
      </c>
      <c r="H1069" s="1" t="s">
        <v>774</v>
      </c>
      <c r="I1069" s="9">
        <v>100</v>
      </c>
      <c r="J1069" s="36">
        <v>0.06</v>
      </c>
    </row>
    <row r="1070" spans="2:10" s="44" customFormat="1" x14ac:dyDescent="0.35">
      <c r="B1070" s="9">
        <v>1161018</v>
      </c>
      <c r="C1070" s="5" t="s">
        <v>1319</v>
      </c>
      <c r="D1070" s="5" t="s">
        <v>3565</v>
      </c>
      <c r="E1070" s="5" t="s">
        <v>1320</v>
      </c>
      <c r="F1070" s="34" t="s">
        <v>3574</v>
      </c>
      <c r="G1070" s="26">
        <v>0.42800000000000005</v>
      </c>
      <c r="H1070" s="1" t="s">
        <v>774</v>
      </c>
      <c r="I1070" s="9">
        <v>100</v>
      </c>
      <c r="J1070" s="36">
        <v>0.06</v>
      </c>
    </row>
    <row r="1071" spans="2:10" s="44" customFormat="1" x14ac:dyDescent="0.35">
      <c r="B1071" s="9">
        <v>1161035</v>
      </c>
      <c r="C1071" s="5" t="s">
        <v>3180</v>
      </c>
      <c r="D1071" s="5" t="s">
        <v>3565</v>
      </c>
      <c r="E1071" s="5" t="s">
        <v>3181</v>
      </c>
      <c r="F1071" s="34" t="s">
        <v>3574</v>
      </c>
      <c r="G1071" s="26">
        <v>0.73</v>
      </c>
      <c r="H1071" s="1" t="s">
        <v>774</v>
      </c>
      <c r="I1071" s="9">
        <v>100</v>
      </c>
      <c r="J1071" s="36">
        <v>0.06</v>
      </c>
    </row>
    <row r="1072" spans="2:10" s="44" customFormat="1" x14ac:dyDescent="0.35">
      <c r="B1072" s="9">
        <v>1161036</v>
      </c>
      <c r="C1072" s="5" t="s">
        <v>1328</v>
      </c>
      <c r="D1072" s="5" t="s">
        <v>3565</v>
      </c>
      <c r="E1072" s="5" t="s">
        <v>1329</v>
      </c>
      <c r="F1072" s="34" t="s">
        <v>3574</v>
      </c>
      <c r="G1072" s="26">
        <v>0.35499999999999998</v>
      </c>
      <c r="H1072" s="1" t="s">
        <v>774</v>
      </c>
      <c r="I1072" s="9">
        <v>100</v>
      </c>
      <c r="J1072" s="36">
        <v>0.06</v>
      </c>
    </row>
    <row r="1073" spans="2:10" s="44" customFormat="1" x14ac:dyDescent="0.35">
      <c r="B1073" s="9">
        <v>1161053</v>
      </c>
      <c r="C1073" s="5" t="s">
        <v>2285</v>
      </c>
      <c r="D1073" s="5" t="s">
        <v>3565</v>
      </c>
      <c r="E1073" s="5" t="s">
        <v>2286</v>
      </c>
      <c r="F1073" s="34" t="s">
        <v>3574</v>
      </c>
      <c r="G1073" s="26">
        <v>2.52</v>
      </c>
      <c r="H1073" s="1" t="s">
        <v>774</v>
      </c>
      <c r="I1073" s="9">
        <v>100</v>
      </c>
      <c r="J1073" s="36">
        <v>0.06</v>
      </c>
    </row>
    <row r="1074" spans="2:10" s="44" customFormat="1" x14ac:dyDescent="0.35">
      <c r="B1074" s="9">
        <v>1169010</v>
      </c>
      <c r="C1074" s="5" t="s">
        <v>1330</v>
      </c>
      <c r="D1074" s="5" t="s">
        <v>3565</v>
      </c>
      <c r="E1074" s="5" t="s">
        <v>687</v>
      </c>
      <c r="F1074" s="34" t="s">
        <v>3574</v>
      </c>
      <c r="G1074" s="26">
        <v>19.3</v>
      </c>
      <c r="H1074" s="1" t="s">
        <v>774</v>
      </c>
      <c r="I1074" s="9">
        <v>1</v>
      </c>
      <c r="J1074" s="36">
        <v>0.06</v>
      </c>
    </row>
    <row r="1075" spans="2:10" s="44" customFormat="1" x14ac:dyDescent="0.35">
      <c r="B1075" s="9">
        <v>1169011</v>
      </c>
      <c r="C1075" s="5" t="s">
        <v>1765</v>
      </c>
      <c r="D1075" s="5" t="s">
        <v>3565</v>
      </c>
      <c r="E1075" s="5">
        <v>50511</v>
      </c>
      <c r="F1075" s="34" t="s">
        <v>3574</v>
      </c>
      <c r="G1075" s="26">
        <v>9.4700000000000006</v>
      </c>
      <c r="H1075" s="1" t="s">
        <v>774</v>
      </c>
      <c r="I1075" s="9">
        <v>1</v>
      </c>
      <c r="J1075" s="36">
        <v>0.06</v>
      </c>
    </row>
    <row r="1076" spans="2:10" s="44" customFormat="1" x14ac:dyDescent="0.35">
      <c r="B1076" s="9">
        <v>1169013</v>
      </c>
      <c r="C1076" s="5" t="s">
        <v>2264</v>
      </c>
      <c r="D1076" s="5" t="s">
        <v>3565</v>
      </c>
      <c r="E1076" s="5" t="s">
        <v>2265</v>
      </c>
      <c r="F1076" s="34" t="s">
        <v>3574</v>
      </c>
      <c r="G1076" s="26">
        <v>15.75</v>
      </c>
      <c r="H1076" s="1" t="s">
        <v>774</v>
      </c>
      <c r="I1076" s="9">
        <v>1</v>
      </c>
      <c r="J1076" s="36">
        <v>0.06</v>
      </c>
    </row>
    <row r="1077" spans="2:10" s="44" customFormat="1" x14ac:dyDescent="0.35">
      <c r="B1077" s="9">
        <v>1169020</v>
      </c>
      <c r="C1077" s="5" t="s">
        <v>1729</v>
      </c>
      <c r="D1077" s="5" t="s">
        <v>3565</v>
      </c>
      <c r="E1077" s="5">
        <v>66222</v>
      </c>
      <c r="F1077" s="34" t="s">
        <v>3574</v>
      </c>
      <c r="G1077" s="26">
        <v>14.96</v>
      </c>
      <c r="H1077" s="1" t="s">
        <v>774</v>
      </c>
      <c r="I1077" s="9">
        <v>1</v>
      </c>
      <c r="J1077" s="36">
        <v>0.06</v>
      </c>
    </row>
    <row r="1078" spans="2:10" s="44" customFormat="1" x14ac:dyDescent="0.35">
      <c r="B1078" s="9">
        <v>1169022</v>
      </c>
      <c r="C1078" s="5" t="s">
        <v>754</v>
      </c>
      <c r="D1078" s="5" t="s">
        <v>3565</v>
      </c>
      <c r="E1078" s="5" t="s">
        <v>3362</v>
      </c>
      <c r="F1078" s="34" t="s">
        <v>3574</v>
      </c>
      <c r="G1078" s="26">
        <v>24.7</v>
      </c>
      <c r="H1078" s="1" t="s">
        <v>774</v>
      </c>
      <c r="I1078" s="9">
        <v>2</v>
      </c>
      <c r="J1078" s="36">
        <v>0.06</v>
      </c>
    </row>
    <row r="1079" spans="2:10" s="44" customFormat="1" x14ac:dyDescent="0.35">
      <c r="B1079" s="9">
        <v>1169041</v>
      </c>
      <c r="C1079" s="5" t="s">
        <v>2333</v>
      </c>
      <c r="D1079" s="5" t="s">
        <v>3565</v>
      </c>
      <c r="E1079" s="5" t="s">
        <v>2334</v>
      </c>
      <c r="F1079" s="34" t="s">
        <v>3574</v>
      </c>
      <c r="G1079" s="26">
        <v>1.42</v>
      </c>
      <c r="H1079" s="1" t="s">
        <v>774</v>
      </c>
      <c r="I1079" s="9">
        <v>1</v>
      </c>
      <c r="J1079" s="36">
        <v>0.06</v>
      </c>
    </row>
    <row r="1080" spans="2:10" s="44" customFormat="1" x14ac:dyDescent="0.35">
      <c r="B1080" s="9">
        <v>1169052</v>
      </c>
      <c r="C1080" s="5" t="s">
        <v>2639</v>
      </c>
      <c r="D1080" s="5" t="s">
        <v>3565</v>
      </c>
      <c r="E1080" s="5" t="s">
        <v>2640</v>
      </c>
      <c r="F1080" s="34" t="s">
        <v>3574</v>
      </c>
      <c r="G1080" s="26">
        <v>17.922000000000001</v>
      </c>
      <c r="H1080" s="1" t="s">
        <v>774</v>
      </c>
      <c r="I1080" s="9">
        <v>1</v>
      </c>
      <c r="J1080" s="36">
        <v>0.06</v>
      </c>
    </row>
    <row r="1081" spans="2:10" s="44" customFormat="1" x14ac:dyDescent="0.35">
      <c r="B1081" s="9">
        <v>1169060</v>
      </c>
      <c r="C1081" s="5" t="s">
        <v>1998</v>
      </c>
      <c r="D1081" s="5" t="s">
        <v>3565</v>
      </c>
      <c r="E1081" s="5" t="s">
        <v>1999</v>
      </c>
      <c r="F1081" s="34" t="s">
        <v>3574</v>
      </c>
      <c r="G1081" s="26">
        <v>26.25</v>
      </c>
      <c r="H1081" s="1" t="s">
        <v>774</v>
      </c>
      <c r="I1081" s="9">
        <v>1</v>
      </c>
      <c r="J1081" s="36">
        <v>0.06</v>
      </c>
    </row>
    <row r="1082" spans="2:10" s="44" customFormat="1" x14ac:dyDescent="0.35">
      <c r="B1082" s="9">
        <v>1169078</v>
      </c>
      <c r="C1082" s="5" t="s">
        <v>656</v>
      </c>
      <c r="D1082" s="5" t="s">
        <v>3565</v>
      </c>
      <c r="E1082" s="5" t="s">
        <v>1672</v>
      </c>
      <c r="F1082" s="34" t="s">
        <v>3574</v>
      </c>
      <c r="G1082" s="26">
        <v>25.45</v>
      </c>
      <c r="H1082" s="1" t="s">
        <v>774</v>
      </c>
      <c r="I1082" s="9">
        <v>1</v>
      </c>
      <c r="J1082" s="36">
        <v>0.06</v>
      </c>
    </row>
    <row r="1083" spans="2:10" s="44" customFormat="1" x14ac:dyDescent="0.35">
      <c r="B1083" s="9">
        <v>1169083</v>
      </c>
      <c r="C1083" s="5" t="s">
        <v>2166</v>
      </c>
      <c r="D1083" s="5" t="s">
        <v>3565</v>
      </c>
      <c r="E1083" s="5" t="s">
        <v>2167</v>
      </c>
      <c r="F1083" s="34" t="s">
        <v>3574</v>
      </c>
      <c r="G1083" s="26">
        <v>16.8</v>
      </c>
      <c r="H1083" s="1" t="s">
        <v>774</v>
      </c>
      <c r="I1083" s="9">
        <v>1</v>
      </c>
      <c r="J1083" s="36">
        <v>0.06</v>
      </c>
    </row>
    <row r="1084" spans="2:10" s="44" customFormat="1" x14ac:dyDescent="0.35">
      <c r="B1084" s="9">
        <v>1170004</v>
      </c>
      <c r="C1084" s="5" t="s">
        <v>1661</v>
      </c>
      <c r="D1084" s="5" t="s">
        <v>3565</v>
      </c>
      <c r="E1084" s="5" t="s">
        <v>1662</v>
      </c>
      <c r="F1084" s="34" t="s">
        <v>3574</v>
      </c>
      <c r="G1084" s="26">
        <v>1.228</v>
      </c>
      <c r="H1084" s="1" t="s">
        <v>774</v>
      </c>
      <c r="I1084" s="9">
        <v>100</v>
      </c>
      <c r="J1084" s="36">
        <v>0.06</v>
      </c>
    </row>
    <row r="1085" spans="2:10" s="44" customFormat="1" x14ac:dyDescent="0.35">
      <c r="B1085" s="9">
        <v>1170005</v>
      </c>
      <c r="C1085" s="5" t="s">
        <v>2668</v>
      </c>
      <c r="D1085" s="5" t="s">
        <v>3565</v>
      </c>
      <c r="E1085" s="5" t="s">
        <v>2669</v>
      </c>
      <c r="F1085" s="34" t="s">
        <v>3574</v>
      </c>
      <c r="G1085" s="26">
        <v>1.391</v>
      </c>
      <c r="H1085" s="1" t="s">
        <v>774</v>
      </c>
      <c r="I1085" s="9">
        <v>100</v>
      </c>
      <c r="J1085" s="36">
        <v>0.06</v>
      </c>
    </row>
    <row r="1086" spans="2:10" s="44" customFormat="1" x14ac:dyDescent="0.35">
      <c r="B1086" s="9">
        <v>1170006</v>
      </c>
      <c r="C1086" s="5" t="s">
        <v>1577</v>
      </c>
      <c r="D1086" s="5" t="s">
        <v>3565</v>
      </c>
      <c r="E1086" s="5" t="s">
        <v>948</v>
      </c>
      <c r="F1086" s="34" t="s">
        <v>3574</v>
      </c>
      <c r="G1086" s="26">
        <v>1.784</v>
      </c>
      <c r="H1086" s="1" t="s">
        <v>774</v>
      </c>
      <c r="I1086" s="9">
        <v>100</v>
      </c>
      <c r="J1086" s="36">
        <v>0.06</v>
      </c>
    </row>
    <row r="1087" spans="2:10" s="44" customFormat="1" x14ac:dyDescent="0.35">
      <c r="B1087" s="9">
        <v>1170011</v>
      </c>
      <c r="C1087" s="5" t="s">
        <v>2202</v>
      </c>
      <c r="D1087" s="5" t="s">
        <v>3565</v>
      </c>
      <c r="E1087" s="5" t="s">
        <v>2203</v>
      </c>
      <c r="F1087" s="34" t="s">
        <v>3574</v>
      </c>
      <c r="G1087" s="26">
        <v>10.5</v>
      </c>
      <c r="H1087" s="1" t="s">
        <v>774</v>
      </c>
      <c r="I1087" s="9">
        <v>10</v>
      </c>
      <c r="J1087" s="36">
        <v>0.06</v>
      </c>
    </row>
    <row r="1088" spans="2:10" s="44" customFormat="1" x14ac:dyDescent="0.35">
      <c r="B1088" s="9">
        <v>1170012</v>
      </c>
      <c r="C1088" s="5" t="s">
        <v>1041</v>
      </c>
      <c r="D1088" s="5" t="s">
        <v>3565</v>
      </c>
      <c r="E1088" s="5" t="s">
        <v>1042</v>
      </c>
      <c r="F1088" s="34" t="s">
        <v>3574</v>
      </c>
      <c r="G1088" s="26">
        <v>2.633</v>
      </c>
      <c r="H1088" s="1" t="s">
        <v>774</v>
      </c>
      <c r="I1088" s="9">
        <v>100</v>
      </c>
      <c r="J1088" s="36">
        <v>0.06</v>
      </c>
    </row>
    <row r="1089" spans="2:10" s="44" customFormat="1" x14ac:dyDescent="0.35">
      <c r="B1089" s="9">
        <v>1170013</v>
      </c>
      <c r="C1089" s="5" t="s">
        <v>1043</v>
      </c>
      <c r="D1089" s="5" t="s">
        <v>3565</v>
      </c>
      <c r="E1089" s="5" t="s">
        <v>1044</v>
      </c>
      <c r="F1089" s="34" t="s">
        <v>3574</v>
      </c>
      <c r="G1089" s="26">
        <v>3.0630000000000002</v>
      </c>
      <c r="H1089" s="1" t="s">
        <v>774</v>
      </c>
      <c r="I1089" s="9">
        <v>100</v>
      </c>
      <c r="J1089" s="36">
        <v>0.06</v>
      </c>
    </row>
    <row r="1090" spans="2:10" s="44" customFormat="1" x14ac:dyDescent="0.35">
      <c r="B1090" s="9">
        <v>1170014</v>
      </c>
      <c r="C1090" s="5" t="s">
        <v>1040</v>
      </c>
      <c r="D1090" s="5" t="s">
        <v>3565</v>
      </c>
      <c r="E1090" s="5" t="s">
        <v>700</v>
      </c>
      <c r="F1090" s="34" t="s">
        <v>3574</v>
      </c>
      <c r="G1090" s="26">
        <v>2.31</v>
      </c>
      <c r="H1090" s="1" t="s">
        <v>774</v>
      </c>
      <c r="I1090" s="9">
        <v>100</v>
      </c>
      <c r="J1090" s="36">
        <v>0.06</v>
      </c>
    </row>
    <row r="1091" spans="2:10" s="44" customFormat="1" x14ac:dyDescent="0.35">
      <c r="B1091" s="9">
        <v>1170015</v>
      </c>
      <c r="C1091" s="5" t="s">
        <v>2216</v>
      </c>
      <c r="D1091" s="5" t="s">
        <v>3565</v>
      </c>
      <c r="E1091" s="5" t="s">
        <v>2217</v>
      </c>
      <c r="F1091" s="34" t="s">
        <v>3574</v>
      </c>
      <c r="G1091" s="26">
        <v>3.15</v>
      </c>
      <c r="H1091" s="1" t="s">
        <v>774</v>
      </c>
      <c r="I1091" s="9">
        <v>100</v>
      </c>
      <c r="J1091" s="36">
        <v>0.06</v>
      </c>
    </row>
    <row r="1092" spans="2:10" s="44" customFormat="1" x14ac:dyDescent="0.35">
      <c r="B1092" s="9">
        <v>1170019</v>
      </c>
      <c r="C1092" s="5" t="s">
        <v>2728</v>
      </c>
      <c r="D1092" s="5" t="s">
        <v>3565</v>
      </c>
      <c r="E1092" s="5" t="s">
        <v>2729</v>
      </c>
      <c r="F1092" s="34" t="s">
        <v>3574</v>
      </c>
      <c r="G1092" s="26">
        <v>3.605</v>
      </c>
      <c r="H1092" s="1" t="s">
        <v>774</v>
      </c>
      <c r="I1092" s="9">
        <v>100</v>
      </c>
      <c r="J1092" s="36">
        <v>0.06</v>
      </c>
    </row>
    <row r="1093" spans="2:10" s="44" customFormat="1" x14ac:dyDescent="0.35">
      <c r="B1093" s="9">
        <v>1170020</v>
      </c>
      <c r="C1093" s="5" t="s">
        <v>2202</v>
      </c>
      <c r="D1093" s="5" t="s">
        <v>3565</v>
      </c>
      <c r="E1093" s="5" t="s">
        <v>2942</v>
      </c>
      <c r="F1093" s="34" t="s">
        <v>3574</v>
      </c>
      <c r="G1093" s="26">
        <v>7.21</v>
      </c>
      <c r="H1093" s="1" t="s">
        <v>774</v>
      </c>
      <c r="I1093" s="9">
        <v>1</v>
      </c>
      <c r="J1093" s="36">
        <v>0.06</v>
      </c>
    </row>
    <row r="1094" spans="2:10" s="44" customFormat="1" x14ac:dyDescent="0.35">
      <c r="B1094" s="9">
        <v>1170025</v>
      </c>
      <c r="C1094" s="5" t="s">
        <v>1045</v>
      </c>
      <c r="D1094" s="5" t="s">
        <v>3565</v>
      </c>
      <c r="E1094" s="5" t="s">
        <v>1046</v>
      </c>
      <c r="F1094" s="34" t="s">
        <v>3574</v>
      </c>
      <c r="G1094" s="26">
        <v>2.39</v>
      </c>
      <c r="H1094" s="1" t="s">
        <v>774</v>
      </c>
      <c r="I1094" s="9">
        <v>100</v>
      </c>
      <c r="J1094" s="36">
        <v>0.06</v>
      </c>
    </row>
    <row r="1095" spans="2:10" s="44" customFormat="1" x14ac:dyDescent="0.35">
      <c r="B1095" s="9">
        <v>1170028</v>
      </c>
      <c r="C1095" s="5" t="s">
        <v>3319</v>
      </c>
      <c r="D1095" s="5" t="s">
        <v>3565</v>
      </c>
      <c r="E1095" s="5" t="s">
        <v>3320</v>
      </c>
      <c r="F1095" s="34" t="s">
        <v>3574</v>
      </c>
      <c r="G1095" s="26">
        <v>2</v>
      </c>
      <c r="H1095" s="1" t="s">
        <v>774</v>
      </c>
      <c r="I1095" s="9">
        <v>100</v>
      </c>
      <c r="J1095" s="36">
        <v>0.06</v>
      </c>
    </row>
    <row r="1096" spans="2:10" s="44" customFormat="1" x14ac:dyDescent="0.35">
      <c r="B1096" s="9">
        <v>1170033</v>
      </c>
      <c r="C1096" s="5" t="s">
        <v>947</v>
      </c>
      <c r="D1096" s="5" t="s">
        <v>3565</v>
      </c>
      <c r="E1096" s="5" t="s">
        <v>948</v>
      </c>
      <c r="F1096" s="34" t="s">
        <v>3574</v>
      </c>
      <c r="G1096" s="26">
        <v>1.415</v>
      </c>
      <c r="H1096" s="1" t="s">
        <v>774</v>
      </c>
      <c r="I1096" s="9">
        <v>100</v>
      </c>
      <c r="J1096" s="36">
        <v>0.06</v>
      </c>
    </row>
    <row r="1097" spans="2:10" s="44" customFormat="1" x14ac:dyDescent="0.35">
      <c r="B1097" s="9">
        <v>1170034</v>
      </c>
      <c r="C1097" s="5" t="s">
        <v>2234</v>
      </c>
      <c r="D1097" s="5" t="s">
        <v>3565</v>
      </c>
      <c r="E1097" s="5" t="s">
        <v>2235</v>
      </c>
      <c r="F1097" s="34" t="s">
        <v>3574</v>
      </c>
      <c r="G1097" s="26">
        <v>2.1</v>
      </c>
      <c r="H1097" s="1" t="s">
        <v>774</v>
      </c>
      <c r="I1097" s="9">
        <v>100</v>
      </c>
      <c r="J1097" s="36">
        <v>0.06</v>
      </c>
    </row>
    <row r="1098" spans="2:10" s="44" customFormat="1" x14ac:dyDescent="0.35">
      <c r="B1098" s="9">
        <v>1174015</v>
      </c>
      <c r="C1098" s="5" t="s">
        <v>2214</v>
      </c>
      <c r="D1098" s="5" t="s">
        <v>3565</v>
      </c>
      <c r="E1098" s="5" t="s">
        <v>2215</v>
      </c>
      <c r="F1098" s="34" t="s">
        <v>3574</v>
      </c>
      <c r="G1098" s="26">
        <v>0.28400000000000003</v>
      </c>
      <c r="H1098" s="1" t="s">
        <v>774</v>
      </c>
      <c r="I1098" s="9">
        <v>100</v>
      </c>
      <c r="J1098" s="36">
        <v>0.06</v>
      </c>
    </row>
    <row r="1099" spans="2:10" s="44" customFormat="1" x14ac:dyDescent="0.35">
      <c r="B1099" s="9">
        <v>1176051</v>
      </c>
      <c r="C1099" s="5" t="s">
        <v>934</v>
      </c>
      <c r="D1099" s="5" t="s">
        <v>3565</v>
      </c>
      <c r="E1099" s="5" t="s">
        <v>935</v>
      </c>
      <c r="F1099" s="34" t="s">
        <v>3574</v>
      </c>
      <c r="G1099" s="26">
        <v>1.101</v>
      </c>
      <c r="H1099" s="1" t="s">
        <v>774</v>
      </c>
      <c r="I1099" s="9">
        <v>100</v>
      </c>
      <c r="J1099" s="36">
        <v>0.06</v>
      </c>
    </row>
    <row r="1100" spans="2:10" s="44" customFormat="1" x14ac:dyDescent="0.35">
      <c r="B1100" s="9">
        <v>1176056</v>
      </c>
      <c r="C1100" s="5" t="s">
        <v>1508</v>
      </c>
      <c r="D1100" s="5" t="s">
        <v>3565</v>
      </c>
      <c r="E1100" s="5" t="s">
        <v>2636</v>
      </c>
      <c r="F1100" s="34" t="s">
        <v>3574</v>
      </c>
      <c r="G1100" s="26">
        <v>0.82400000000000007</v>
      </c>
      <c r="H1100" s="1" t="s">
        <v>774</v>
      </c>
      <c r="I1100" s="9">
        <v>100</v>
      </c>
      <c r="J1100" s="36">
        <v>0.06</v>
      </c>
    </row>
    <row r="1101" spans="2:10" s="44" customFormat="1" x14ac:dyDescent="0.35">
      <c r="B1101" s="9">
        <v>1176057</v>
      </c>
      <c r="C1101" s="5" t="s">
        <v>1504</v>
      </c>
      <c r="D1101" s="5" t="s">
        <v>3565</v>
      </c>
      <c r="E1101" s="5" t="s">
        <v>1505</v>
      </c>
      <c r="F1101" s="34" t="s">
        <v>3574</v>
      </c>
      <c r="G1101" s="26">
        <v>0.29399999999999998</v>
      </c>
      <c r="H1101" s="1" t="s">
        <v>774</v>
      </c>
      <c r="I1101" s="9">
        <v>100</v>
      </c>
      <c r="J1101" s="36">
        <v>0.06</v>
      </c>
    </row>
    <row r="1102" spans="2:10" s="44" customFormat="1" x14ac:dyDescent="0.35">
      <c r="B1102" s="9">
        <v>1176097</v>
      </c>
      <c r="C1102" s="5" t="s">
        <v>1558</v>
      </c>
      <c r="D1102" s="5" t="s">
        <v>3565</v>
      </c>
      <c r="E1102" s="5" t="s">
        <v>1559</v>
      </c>
      <c r="F1102" s="34" t="s">
        <v>3574</v>
      </c>
      <c r="G1102" s="26">
        <v>0.76500000000000001</v>
      </c>
      <c r="H1102" s="1" t="s">
        <v>774</v>
      </c>
      <c r="I1102" s="9">
        <v>100</v>
      </c>
      <c r="J1102" s="36">
        <v>0.06</v>
      </c>
    </row>
    <row r="1103" spans="2:10" s="44" customFormat="1" x14ac:dyDescent="0.35">
      <c r="B1103" s="9">
        <v>1176289</v>
      </c>
      <c r="C1103" s="5" t="s">
        <v>1014</v>
      </c>
      <c r="D1103" s="5" t="s">
        <v>3565</v>
      </c>
      <c r="E1103" s="5" t="s">
        <v>1015</v>
      </c>
      <c r="F1103" s="34" t="s">
        <v>3574</v>
      </c>
      <c r="G1103" s="26">
        <v>1.4369999999999998</v>
      </c>
      <c r="H1103" s="1" t="s">
        <v>774</v>
      </c>
      <c r="I1103" s="9">
        <v>100</v>
      </c>
      <c r="J1103" s="36">
        <v>0.06</v>
      </c>
    </row>
    <row r="1104" spans="2:10" s="44" customFormat="1" x14ac:dyDescent="0.35">
      <c r="B1104" s="9">
        <v>1176367</v>
      </c>
      <c r="C1104" s="5" t="s">
        <v>1890</v>
      </c>
      <c r="D1104" s="5" t="s">
        <v>3565</v>
      </c>
      <c r="E1104" s="5" t="s">
        <v>1891</v>
      </c>
      <c r="F1104" s="34" t="s">
        <v>3574</v>
      </c>
      <c r="G1104" s="26">
        <v>0.18899999999999997</v>
      </c>
      <c r="H1104" s="1" t="s">
        <v>774</v>
      </c>
      <c r="I1104" s="9">
        <v>100</v>
      </c>
      <c r="J1104" s="36">
        <v>0.06</v>
      </c>
    </row>
    <row r="1105" spans="2:10" s="44" customFormat="1" x14ac:dyDescent="0.35">
      <c r="B1105" s="9">
        <v>1189003</v>
      </c>
      <c r="C1105" s="5" t="s">
        <v>2656</v>
      </c>
      <c r="D1105" s="5" t="s">
        <v>3565</v>
      </c>
      <c r="E1105" s="5" t="s">
        <v>2657</v>
      </c>
      <c r="F1105" s="34" t="s">
        <v>3574</v>
      </c>
      <c r="G1105" s="26">
        <v>128.75</v>
      </c>
      <c r="H1105" s="1" t="s">
        <v>774</v>
      </c>
      <c r="I1105" s="9">
        <v>10</v>
      </c>
      <c r="J1105" s="36">
        <v>0.06</v>
      </c>
    </row>
    <row r="1106" spans="2:10" s="44" customFormat="1" x14ac:dyDescent="0.35">
      <c r="B1106" s="9">
        <v>1260292</v>
      </c>
      <c r="C1106" s="5" t="s">
        <v>15</v>
      </c>
      <c r="D1106" s="5" t="s">
        <v>3567</v>
      </c>
      <c r="E1106" s="5" t="s">
        <v>16</v>
      </c>
      <c r="F1106" s="35" t="s">
        <v>3569</v>
      </c>
      <c r="G1106" s="26">
        <v>147.21276595744681</v>
      </c>
      <c r="H1106" s="1" t="s">
        <v>774</v>
      </c>
      <c r="I1106" s="9">
        <v>2</v>
      </c>
      <c r="J1106" s="36">
        <v>0.1</v>
      </c>
    </row>
    <row r="1107" spans="2:10" s="44" customFormat="1" x14ac:dyDescent="0.35">
      <c r="B1107" s="9">
        <v>1260316</v>
      </c>
      <c r="C1107" s="5" t="s">
        <v>3496</v>
      </c>
      <c r="D1107" s="5" t="s">
        <v>3567</v>
      </c>
      <c r="E1107" s="5" t="s">
        <v>3497</v>
      </c>
      <c r="F1107" s="35" t="s">
        <v>3569</v>
      </c>
      <c r="G1107" s="26">
        <v>42.468085106382986</v>
      </c>
      <c r="H1107" s="1" t="s">
        <v>774</v>
      </c>
      <c r="I1107" s="9">
        <v>10</v>
      </c>
      <c r="J1107" s="36">
        <v>0.1</v>
      </c>
    </row>
    <row r="1108" spans="2:10" s="44" customFormat="1" x14ac:dyDescent="0.35">
      <c r="B1108" s="9">
        <v>1260439</v>
      </c>
      <c r="C1108" s="5" t="s">
        <v>3498</v>
      </c>
      <c r="D1108" s="5" t="s">
        <v>3567</v>
      </c>
      <c r="E1108" s="5" t="s">
        <v>3499</v>
      </c>
      <c r="F1108" s="35" t="s">
        <v>3569</v>
      </c>
      <c r="G1108" s="26">
        <v>143.7021276595745</v>
      </c>
      <c r="H1108" s="1" t="s">
        <v>774</v>
      </c>
      <c r="I1108" s="9">
        <v>2</v>
      </c>
      <c r="J1108" s="36">
        <v>0.1</v>
      </c>
    </row>
    <row r="1109" spans="2:10" s="44" customFormat="1" x14ac:dyDescent="0.35">
      <c r="B1109" s="9">
        <v>1260512</v>
      </c>
      <c r="C1109" s="5" t="s">
        <v>3500</v>
      </c>
      <c r="D1109" s="5" t="s">
        <v>3567</v>
      </c>
      <c r="E1109" s="5" t="s">
        <v>3501</v>
      </c>
      <c r="F1109" s="35" t="s">
        <v>3569</v>
      </c>
      <c r="G1109" s="26">
        <v>145.64893617021278</v>
      </c>
      <c r="H1109" s="1" t="s">
        <v>774</v>
      </c>
      <c r="I1109" s="9">
        <v>2</v>
      </c>
      <c r="J1109" s="36">
        <v>0.1</v>
      </c>
    </row>
    <row r="1110" spans="2:10" s="44" customFormat="1" x14ac:dyDescent="0.35">
      <c r="B1110" s="9">
        <v>1260513</v>
      </c>
      <c r="C1110" s="5" t="s">
        <v>3502</v>
      </c>
      <c r="D1110" s="5" t="s">
        <v>3567</v>
      </c>
      <c r="E1110" s="5" t="s">
        <v>3503</v>
      </c>
      <c r="F1110" s="35" t="s">
        <v>3569</v>
      </c>
      <c r="G1110" s="26">
        <v>42.574468085106389</v>
      </c>
      <c r="H1110" s="1" t="s">
        <v>774</v>
      </c>
      <c r="I1110" s="9">
        <v>10</v>
      </c>
      <c r="J1110" s="36">
        <v>0.1</v>
      </c>
    </row>
    <row r="1111" spans="2:10" s="44" customFormat="1" x14ac:dyDescent="0.35">
      <c r="B1111" s="9">
        <v>1260530</v>
      </c>
      <c r="C1111" s="5" t="s">
        <v>3504</v>
      </c>
      <c r="D1111" s="5" t="s">
        <v>3567</v>
      </c>
      <c r="E1111" s="5" t="s">
        <v>3505</v>
      </c>
      <c r="F1111" s="35" t="s">
        <v>3569</v>
      </c>
      <c r="G1111" s="26">
        <v>87.872340425531917</v>
      </c>
      <c r="H1111" s="1" t="s">
        <v>774</v>
      </c>
      <c r="I1111" s="9">
        <v>4</v>
      </c>
      <c r="J1111" s="36">
        <v>0.1</v>
      </c>
    </row>
    <row r="1112" spans="2:10" s="44" customFormat="1" x14ac:dyDescent="0.35">
      <c r="B1112" s="9">
        <v>1260591</v>
      </c>
      <c r="C1112" s="5" t="s">
        <v>15</v>
      </c>
      <c r="D1112" s="5" t="s">
        <v>3567</v>
      </c>
      <c r="E1112" s="5" t="s">
        <v>3568</v>
      </c>
      <c r="F1112" s="35" t="s">
        <v>3569</v>
      </c>
      <c r="G1112" s="26">
        <v>275.05319148936172</v>
      </c>
      <c r="H1112" s="1" t="s">
        <v>774</v>
      </c>
      <c r="I1112" s="9">
        <v>4</v>
      </c>
      <c r="J1112" s="36">
        <v>0.1</v>
      </c>
    </row>
    <row r="1113" spans="2:10" s="44" customFormat="1" x14ac:dyDescent="0.35">
      <c r="B1113" s="9">
        <v>1260650</v>
      </c>
      <c r="C1113" s="5" t="s">
        <v>3506</v>
      </c>
      <c r="D1113" s="5" t="s">
        <v>3567</v>
      </c>
      <c r="E1113" s="5" t="s">
        <v>3507</v>
      </c>
      <c r="F1113" s="35" t="s">
        <v>3569</v>
      </c>
      <c r="G1113" s="26">
        <v>51.946808510638299</v>
      </c>
      <c r="H1113" s="1" t="s">
        <v>774</v>
      </c>
      <c r="I1113" s="9">
        <v>10</v>
      </c>
      <c r="J1113" s="36">
        <v>0.1</v>
      </c>
    </row>
    <row r="1114" spans="2:10" s="44" customFormat="1" x14ac:dyDescent="0.35">
      <c r="B1114" s="9">
        <v>1260692</v>
      </c>
      <c r="C1114" s="5" t="s">
        <v>3508</v>
      </c>
      <c r="D1114" s="5" t="s">
        <v>3567</v>
      </c>
      <c r="E1114" s="5" t="s">
        <v>3509</v>
      </c>
      <c r="F1114" s="35" t="s">
        <v>3569</v>
      </c>
      <c r="G1114" s="26">
        <v>44.021276595744688</v>
      </c>
      <c r="H1114" s="1" t="s">
        <v>774</v>
      </c>
      <c r="I1114" s="9">
        <v>10</v>
      </c>
      <c r="J1114" s="36">
        <v>0.1</v>
      </c>
    </row>
    <row r="1115" spans="2:10" s="44" customFormat="1" x14ac:dyDescent="0.35">
      <c r="B1115" s="9">
        <v>1260693</v>
      </c>
      <c r="C1115" s="5" t="s">
        <v>3510</v>
      </c>
      <c r="D1115" s="5" t="s">
        <v>3567</v>
      </c>
      <c r="E1115" s="5" t="s">
        <v>3511</v>
      </c>
      <c r="F1115" s="35" t="s">
        <v>3569</v>
      </c>
      <c r="G1115" s="26">
        <v>69.670212765957444</v>
      </c>
      <c r="H1115" s="1" t="s">
        <v>774</v>
      </c>
      <c r="I1115" s="9">
        <v>4</v>
      </c>
      <c r="J1115" s="36">
        <v>0.1</v>
      </c>
    </row>
    <row r="1116" spans="2:10" s="44" customFormat="1" x14ac:dyDescent="0.35">
      <c r="B1116" s="9">
        <v>1260701</v>
      </c>
      <c r="C1116" s="5" t="s">
        <v>3512</v>
      </c>
      <c r="D1116" s="5" t="s">
        <v>3567</v>
      </c>
      <c r="E1116" s="5" t="s">
        <v>3513</v>
      </c>
      <c r="F1116" s="35" t="s">
        <v>3569</v>
      </c>
      <c r="G1116" s="26">
        <v>123.85106382978724</v>
      </c>
      <c r="H1116" s="1" t="s">
        <v>774</v>
      </c>
      <c r="I1116" s="9">
        <v>4</v>
      </c>
      <c r="J1116" s="36">
        <v>0.1</v>
      </c>
    </row>
    <row r="1117" spans="2:10" s="44" customFormat="1" x14ac:dyDescent="0.35">
      <c r="B1117" s="9">
        <v>1260864</v>
      </c>
      <c r="C1117" s="5" t="s">
        <v>678</v>
      </c>
      <c r="D1117" s="5" t="s">
        <v>3564</v>
      </c>
      <c r="E1117" s="5">
        <v>10149985</v>
      </c>
      <c r="F1117" s="34" t="s">
        <v>3552</v>
      </c>
      <c r="G1117" s="26">
        <v>124.41</v>
      </c>
      <c r="H1117" s="1" t="s">
        <v>774</v>
      </c>
      <c r="I1117" s="9">
        <v>1</v>
      </c>
      <c r="J1117" s="36">
        <v>0.1</v>
      </c>
    </row>
    <row r="1118" spans="2:10" s="44" customFormat="1" x14ac:dyDescent="0.35">
      <c r="B1118" s="9">
        <v>1261733</v>
      </c>
      <c r="C1118" s="5" t="s">
        <v>3514</v>
      </c>
      <c r="D1118" s="5" t="s">
        <v>3567</v>
      </c>
      <c r="E1118" s="5" t="s">
        <v>3515</v>
      </c>
      <c r="F1118" s="35" t="s">
        <v>3569</v>
      </c>
      <c r="G1118" s="26">
        <v>134.77659574468086</v>
      </c>
      <c r="H1118" s="1" t="s">
        <v>774</v>
      </c>
      <c r="I1118" s="9">
        <v>4</v>
      </c>
      <c r="J1118" s="36">
        <v>0.1</v>
      </c>
    </row>
    <row r="1119" spans="2:10" s="44" customFormat="1" x14ac:dyDescent="0.35">
      <c r="B1119" s="9">
        <v>1261761</v>
      </c>
      <c r="C1119" s="5" t="s">
        <v>3516</v>
      </c>
      <c r="D1119" s="5" t="s">
        <v>3567</v>
      </c>
      <c r="E1119" s="5" t="s">
        <v>3517</v>
      </c>
      <c r="F1119" s="35" t="s">
        <v>3569</v>
      </c>
      <c r="G1119" s="26">
        <v>26.957446808510639</v>
      </c>
      <c r="H1119" s="1" t="s">
        <v>774</v>
      </c>
      <c r="I1119" s="9">
        <v>10</v>
      </c>
      <c r="J1119" s="36">
        <v>0.1</v>
      </c>
    </row>
    <row r="1120" spans="2:10" s="44" customFormat="1" x14ac:dyDescent="0.35">
      <c r="B1120" s="9">
        <v>1261762</v>
      </c>
      <c r="C1120" s="5" t="s">
        <v>3518</v>
      </c>
      <c r="D1120" s="5" t="s">
        <v>3567</v>
      </c>
      <c r="E1120" s="5" t="s">
        <v>3519</v>
      </c>
      <c r="F1120" s="35" t="s">
        <v>3569</v>
      </c>
      <c r="G1120" s="26">
        <v>73.819148936170222</v>
      </c>
      <c r="H1120" s="1" t="s">
        <v>774</v>
      </c>
      <c r="I1120" s="9">
        <v>4</v>
      </c>
      <c r="J1120" s="36">
        <v>0.1</v>
      </c>
    </row>
    <row r="1121" spans="2:10" s="44" customFormat="1" x14ac:dyDescent="0.35">
      <c r="B1121" s="9">
        <v>1261768</v>
      </c>
      <c r="C1121" s="5" t="s">
        <v>3543</v>
      </c>
      <c r="D1121" s="5" t="s">
        <v>3567</v>
      </c>
      <c r="E1121" s="5" t="s">
        <v>3544</v>
      </c>
      <c r="F1121" s="35" t="s">
        <v>3569</v>
      </c>
      <c r="G1121" s="26">
        <v>105.86170212765958</v>
      </c>
      <c r="H1121" s="1" t="s">
        <v>774</v>
      </c>
      <c r="I1121" s="9">
        <v>4</v>
      </c>
      <c r="J1121" s="36">
        <v>0.1</v>
      </c>
    </row>
    <row r="1122" spans="2:10" s="44" customFormat="1" x14ac:dyDescent="0.35">
      <c r="B1122" s="9">
        <v>1262007</v>
      </c>
      <c r="C1122" s="5" t="s">
        <v>3496</v>
      </c>
      <c r="D1122" s="5" t="s">
        <v>3567</v>
      </c>
      <c r="E1122" s="5" t="s">
        <v>3520</v>
      </c>
      <c r="F1122" s="35" t="s">
        <v>3569</v>
      </c>
      <c r="G1122" s="26">
        <v>42.468085106382986</v>
      </c>
      <c r="H1122" s="1" t="s">
        <v>774</v>
      </c>
      <c r="I1122" s="9">
        <v>10</v>
      </c>
      <c r="J1122" s="36">
        <v>0.1</v>
      </c>
    </row>
    <row r="1123" spans="2:10" s="44" customFormat="1" x14ac:dyDescent="0.35">
      <c r="B1123" s="9">
        <v>1262063</v>
      </c>
      <c r="C1123" s="5" t="s">
        <v>3521</v>
      </c>
      <c r="D1123" s="5" t="s">
        <v>3567</v>
      </c>
      <c r="E1123" s="5" t="s">
        <v>3522</v>
      </c>
      <c r="F1123" s="35" t="s">
        <v>3569</v>
      </c>
      <c r="G1123" s="26">
        <v>120.21276595744682</v>
      </c>
      <c r="H1123" s="1" t="s">
        <v>774</v>
      </c>
      <c r="I1123" s="9">
        <v>4</v>
      </c>
      <c r="J1123" s="36">
        <v>0.1</v>
      </c>
    </row>
    <row r="1124" spans="2:10" s="44" customFormat="1" x14ac:dyDescent="0.35">
      <c r="B1124" s="9">
        <v>1262064</v>
      </c>
      <c r="C1124" s="5" t="s">
        <v>3523</v>
      </c>
      <c r="D1124" s="5" t="s">
        <v>3567</v>
      </c>
      <c r="E1124" s="5" t="s">
        <v>3524</v>
      </c>
      <c r="F1124" s="35" t="s">
        <v>3569</v>
      </c>
      <c r="G1124" s="26">
        <v>139.36170212765958</v>
      </c>
      <c r="H1124" s="1" t="s">
        <v>774</v>
      </c>
      <c r="I1124" s="9">
        <v>4</v>
      </c>
      <c r="J1124" s="36">
        <v>0.1</v>
      </c>
    </row>
    <row r="1125" spans="2:10" s="44" customFormat="1" x14ac:dyDescent="0.35">
      <c r="B1125" s="9">
        <v>1264027</v>
      </c>
      <c r="C1125" s="5" t="s">
        <v>3525</v>
      </c>
      <c r="D1125" s="5" t="s">
        <v>3567</v>
      </c>
      <c r="E1125" s="5" t="s">
        <v>635</v>
      </c>
      <c r="F1125" s="35" t="s">
        <v>3569</v>
      </c>
      <c r="G1125" s="26">
        <v>40.489361702127667</v>
      </c>
      <c r="H1125" s="1" t="s">
        <v>774</v>
      </c>
      <c r="I1125" s="9">
        <v>10</v>
      </c>
      <c r="J1125" s="36">
        <v>0.1</v>
      </c>
    </row>
    <row r="1126" spans="2:10" s="44" customFormat="1" x14ac:dyDescent="0.35">
      <c r="B1126" s="9">
        <v>1317012</v>
      </c>
      <c r="C1126" s="5" t="s">
        <v>2834</v>
      </c>
      <c r="D1126" s="5" t="s">
        <v>3565</v>
      </c>
      <c r="E1126" s="5" t="s">
        <v>2835</v>
      </c>
      <c r="F1126" s="34" t="s">
        <v>3574</v>
      </c>
      <c r="G1126" s="26">
        <v>1.7509999999999999</v>
      </c>
      <c r="H1126" s="1" t="s">
        <v>774</v>
      </c>
      <c r="I1126" s="9">
        <v>100</v>
      </c>
      <c r="J1126" s="36">
        <v>0.06</v>
      </c>
    </row>
    <row r="1127" spans="2:10" s="44" customFormat="1" x14ac:dyDescent="0.35">
      <c r="B1127" s="9">
        <v>1360281</v>
      </c>
      <c r="C1127" s="5" t="s">
        <v>1427</v>
      </c>
      <c r="D1127" s="5" t="s">
        <v>3565</v>
      </c>
      <c r="E1127" s="11" t="s">
        <v>3573</v>
      </c>
      <c r="F1127" s="34" t="s">
        <v>3574</v>
      </c>
      <c r="G1127" s="26">
        <v>0.1</v>
      </c>
      <c r="H1127" s="1" t="s">
        <v>774</v>
      </c>
      <c r="I1127" s="9">
        <v>100</v>
      </c>
      <c r="J1127" s="36">
        <v>0.06</v>
      </c>
    </row>
    <row r="1128" spans="2:10" s="44" customFormat="1" x14ac:dyDescent="0.35">
      <c r="B1128" s="9">
        <v>1361162</v>
      </c>
      <c r="C1128" s="5" t="s">
        <v>1759</v>
      </c>
      <c r="D1128" s="5" t="s">
        <v>3565</v>
      </c>
      <c r="E1128" s="5">
        <v>3454772</v>
      </c>
      <c r="F1128" s="34" t="s">
        <v>3574</v>
      </c>
      <c r="G1128" s="26">
        <v>2.319</v>
      </c>
      <c r="H1128" s="1" t="s">
        <v>774</v>
      </c>
      <c r="I1128" s="9">
        <v>100</v>
      </c>
      <c r="J1128" s="36">
        <v>0.06</v>
      </c>
    </row>
    <row r="1129" spans="2:10" s="44" customFormat="1" x14ac:dyDescent="0.35">
      <c r="B1129" s="9">
        <v>1439005</v>
      </c>
      <c r="C1129" s="5" t="s">
        <v>49</v>
      </c>
      <c r="D1129" s="1" t="s">
        <v>115</v>
      </c>
      <c r="E1129" s="5" t="s">
        <v>95</v>
      </c>
      <c r="F1129" s="34" t="s">
        <v>3574</v>
      </c>
      <c r="G1129" s="26">
        <v>93.6</v>
      </c>
      <c r="H1129" s="1" t="s">
        <v>774</v>
      </c>
      <c r="I1129" s="9">
        <v>1</v>
      </c>
      <c r="J1129" s="36">
        <v>0.06</v>
      </c>
    </row>
    <row r="1130" spans="2:10" s="44" customFormat="1" x14ac:dyDescent="0.35">
      <c r="B1130" s="9">
        <v>1439006</v>
      </c>
      <c r="C1130" s="5" t="s">
        <v>664</v>
      </c>
      <c r="D1130" s="1" t="s">
        <v>115</v>
      </c>
      <c r="E1130" s="5" t="s">
        <v>665</v>
      </c>
      <c r="F1130" s="34" t="s">
        <v>3574</v>
      </c>
      <c r="G1130" s="26">
        <v>240</v>
      </c>
      <c r="H1130" s="1" t="s">
        <v>774</v>
      </c>
      <c r="I1130" s="9">
        <v>1</v>
      </c>
      <c r="J1130" s="36">
        <v>0.06</v>
      </c>
    </row>
    <row r="1131" spans="2:10" s="44" customFormat="1" x14ac:dyDescent="0.35">
      <c r="B1131" s="9">
        <v>1439007</v>
      </c>
      <c r="C1131" s="5" t="s">
        <v>666</v>
      </c>
      <c r="D1131" s="1" t="s">
        <v>115</v>
      </c>
      <c r="E1131" s="5" t="s">
        <v>667</v>
      </c>
      <c r="F1131" s="34" t="s">
        <v>3574</v>
      </c>
      <c r="G1131" s="26">
        <v>158.6</v>
      </c>
      <c r="H1131" s="1" t="s">
        <v>774</v>
      </c>
      <c r="I1131" s="9">
        <v>1</v>
      </c>
      <c r="J1131" s="36">
        <v>0.06</v>
      </c>
    </row>
    <row r="1132" spans="2:10" s="44" customFormat="1" x14ac:dyDescent="0.35">
      <c r="B1132" s="9">
        <v>1439073</v>
      </c>
      <c r="C1132" s="5" t="s">
        <v>664</v>
      </c>
      <c r="D1132" s="1" t="s">
        <v>115</v>
      </c>
      <c r="E1132" s="5" t="s">
        <v>3464</v>
      </c>
      <c r="F1132" s="34" t="s">
        <v>3574</v>
      </c>
      <c r="G1132" s="26">
        <v>223.8</v>
      </c>
      <c r="H1132" s="1" t="s">
        <v>774</v>
      </c>
      <c r="I1132" s="9">
        <v>1</v>
      </c>
      <c r="J1132" s="36">
        <v>0.06</v>
      </c>
    </row>
    <row r="1133" spans="2:10" s="44" customFormat="1" x14ac:dyDescent="0.35">
      <c r="B1133" s="9">
        <v>1439086</v>
      </c>
      <c r="C1133" s="5" t="s">
        <v>680</v>
      </c>
      <c r="D1133" s="1" t="s">
        <v>115</v>
      </c>
      <c r="E1133" s="5" t="s">
        <v>681</v>
      </c>
      <c r="F1133" s="34" t="s">
        <v>3574</v>
      </c>
      <c r="G1133" s="26">
        <v>280</v>
      </c>
      <c r="H1133" s="1" t="s">
        <v>774</v>
      </c>
      <c r="I1133" s="9">
        <v>1</v>
      </c>
      <c r="J1133" s="36">
        <v>0.06</v>
      </c>
    </row>
    <row r="1134" spans="2:10" s="44" customFormat="1" x14ac:dyDescent="0.35">
      <c r="B1134" s="9">
        <v>1439214</v>
      </c>
      <c r="C1134" s="5" t="s">
        <v>812</v>
      </c>
      <c r="D1134" s="5" t="s">
        <v>3564</v>
      </c>
      <c r="E1134" s="5">
        <v>10215057</v>
      </c>
      <c r="F1134" s="34" t="s">
        <v>3552</v>
      </c>
      <c r="G1134" s="26">
        <v>233.2</v>
      </c>
      <c r="H1134" s="1" t="s">
        <v>774</v>
      </c>
      <c r="I1134" s="9">
        <v>1</v>
      </c>
      <c r="J1134" s="36">
        <v>0.1</v>
      </c>
    </row>
    <row r="1135" spans="2:10" s="44" customFormat="1" x14ac:dyDescent="0.35">
      <c r="B1135" s="9">
        <v>1439234</v>
      </c>
      <c r="C1135" s="5" t="s">
        <v>3455</v>
      </c>
      <c r="D1135" s="1" t="s">
        <v>115</v>
      </c>
      <c r="E1135" s="5" t="s">
        <v>3456</v>
      </c>
      <c r="F1135" s="34" t="s">
        <v>3574</v>
      </c>
      <c r="G1135" s="26">
        <v>340</v>
      </c>
      <c r="H1135" s="1" t="s">
        <v>774</v>
      </c>
      <c r="I1135" s="9">
        <v>1</v>
      </c>
      <c r="J1135" s="36">
        <v>0.06</v>
      </c>
    </row>
    <row r="1136" spans="2:10" s="44" customFormat="1" x14ac:dyDescent="0.35">
      <c r="B1136" s="9">
        <v>1439245</v>
      </c>
      <c r="C1136" s="5" t="s">
        <v>3494</v>
      </c>
      <c r="D1136" s="1" t="s">
        <v>115</v>
      </c>
      <c r="E1136" s="5" t="s">
        <v>686</v>
      </c>
      <c r="F1136" s="34" t="s">
        <v>3574</v>
      </c>
      <c r="G1136" s="26">
        <v>211</v>
      </c>
      <c r="H1136" s="1" t="s">
        <v>774</v>
      </c>
      <c r="I1136" s="9">
        <v>1</v>
      </c>
      <c r="J1136" s="36">
        <v>0.06</v>
      </c>
    </row>
    <row r="1137" spans="2:10" s="44" customFormat="1" x14ac:dyDescent="0.35">
      <c r="B1137" s="9">
        <v>1439312</v>
      </c>
      <c r="C1137" s="5" t="s">
        <v>813</v>
      </c>
      <c r="D1137" s="5" t="s">
        <v>3564</v>
      </c>
      <c r="E1137" s="5">
        <v>10220490</v>
      </c>
      <c r="F1137" s="34" t="s">
        <v>3552</v>
      </c>
      <c r="G1137" s="26">
        <v>134.35</v>
      </c>
      <c r="H1137" s="1" t="s">
        <v>774</v>
      </c>
      <c r="I1137" s="9">
        <v>1</v>
      </c>
      <c r="J1137" s="36">
        <v>0.1</v>
      </c>
    </row>
    <row r="1138" spans="2:10" s="44" customFormat="1" x14ac:dyDescent="0.35">
      <c r="B1138" s="9">
        <v>1439330</v>
      </c>
      <c r="C1138" s="5" t="s">
        <v>3407</v>
      </c>
      <c r="D1138" s="1" t="s">
        <v>115</v>
      </c>
      <c r="E1138" s="5" t="s">
        <v>741</v>
      </c>
      <c r="F1138" s="34" t="s">
        <v>3574</v>
      </c>
      <c r="G1138" s="26">
        <v>230</v>
      </c>
      <c r="H1138" s="1" t="s">
        <v>774</v>
      </c>
      <c r="I1138" s="9">
        <v>1</v>
      </c>
      <c r="J1138" s="36">
        <v>0.06</v>
      </c>
    </row>
    <row r="1139" spans="2:10" s="44" customFormat="1" x14ac:dyDescent="0.35">
      <c r="B1139" s="9">
        <v>1439506</v>
      </c>
      <c r="C1139" s="5" t="s">
        <v>51</v>
      </c>
      <c r="D1139" s="1" t="s">
        <v>115</v>
      </c>
      <c r="E1139" s="5" t="s">
        <v>706</v>
      </c>
      <c r="F1139" s="34" t="s">
        <v>3574</v>
      </c>
      <c r="G1139" s="26">
        <v>90</v>
      </c>
      <c r="H1139" s="1" t="s">
        <v>774</v>
      </c>
      <c r="I1139" s="9">
        <v>1</v>
      </c>
      <c r="J1139" s="36">
        <v>0.06</v>
      </c>
    </row>
    <row r="1140" spans="2:10" s="44" customFormat="1" x14ac:dyDescent="0.35">
      <c r="B1140" s="9">
        <v>1439521</v>
      </c>
      <c r="C1140" s="5" t="s">
        <v>789</v>
      </c>
      <c r="D1140" s="5" t="s">
        <v>3564</v>
      </c>
      <c r="E1140" s="5">
        <v>10113873</v>
      </c>
      <c r="F1140" s="34" t="s">
        <v>3552</v>
      </c>
      <c r="G1140" s="26">
        <v>5.75</v>
      </c>
      <c r="H1140" s="1" t="s">
        <v>774</v>
      </c>
      <c r="I1140" s="9">
        <v>1</v>
      </c>
      <c r="J1140" s="36">
        <v>0.1</v>
      </c>
    </row>
    <row r="1141" spans="2:10" s="44" customFormat="1" x14ac:dyDescent="0.35">
      <c r="B1141" s="9">
        <v>1439529</v>
      </c>
      <c r="C1141" s="5" t="s">
        <v>682</v>
      </c>
      <c r="D1141" s="1" t="s">
        <v>115</v>
      </c>
      <c r="E1141" s="5" t="s">
        <v>3430</v>
      </c>
      <c r="F1141" s="34" t="s">
        <v>3574</v>
      </c>
      <c r="G1141" s="26">
        <v>379.5</v>
      </c>
      <c r="H1141" s="1" t="s">
        <v>774</v>
      </c>
      <c r="I1141" s="9">
        <v>1</v>
      </c>
      <c r="J1141" s="36">
        <v>0.06</v>
      </c>
    </row>
    <row r="1142" spans="2:10" s="44" customFormat="1" x14ac:dyDescent="0.35">
      <c r="B1142" s="9">
        <v>1439530</v>
      </c>
      <c r="C1142" s="5" t="s">
        <v>682</v>
      </c>
      <c r="D1142" s="1" t="s">
        <v>115</v>
      </c>
      <c r="E1142" s="5" t="s">
        <v>683</v>
      </c>
      <c r="F1142" s="34" t="s">
        <v>3574</v>
      </c>
      <c r="G1142" s="26">
        <v>279.75</v>
      </c>
      <c r="H1142" s="1" t="s">
        <v>774</v>
      </c>
      <c r="I1142" s="9">
        <v>1</v>
      </c>
      <c r="J1142" s="36">
        <v>0.06</v>
      </c>
    </row>
    <row r="1143" spans="2:10" s="44" customFormat="1" x14ac:dyDescent="0.35">
      <c r="B1143" s="9">
        <v>1439533</v>
      </c>
      <c r="C1143" s="5" t="s">
        <v>682</v>
      </c>
      <c r="D1143" s="1" t="s">
        <v>115</v>
      </c>
      <c r="E1143" s="5" t="s">
        <v>3442</v>
      </c>
      <c r="F1143" s="34" t="s">
        <v>3574</v>
      </c>
      <c r="G1143" s="26">
        <v>245.89</v>
      </c>
      <c r="H1143" s="1" t="s">
        <v>774</v>
      </c>
      <c r="I1143" s="9">
        <v>1</v>
      </c>
      <c r="J1143" s="36">
        <v>0.06</v>
      </c>
    </row>
    <row r="1144" spans="2:10" s="44" customFormat="1" x14ac:dyDescent="0.35">
      <c r="B1144" s="9">
        <v>1439534</v>
      </c>
      <c r="C1144" s="5" t="s">
        <v>49</v>
      </c>
      <c r="D1144" s="1" t="s">
        <v>115</v>
      </c>
      <c r="E1144" s="5" t="s">
        <v>50</v>
      </c>
      <c r="F1144" s="34" t="s">
        <v>3574</v>
      </c>
      <c r="G1144" s="26">
        <v>208.5</v>
      </c>
      <c r="H1144" s="1" t="s">
        <v>774</v>
      </c>
      <c r="I1144" s="9">
        <v>1</v>
      </c>
      <c r="J1144" s="36">
        <v>0.06</v>
      </c>
    </row>
    <row r="1145" spans="2:10" s="44" customFormat="1" x14ac:dyDescent="0.35">
      <c r="B1145" s="9">
        <v>1439535</v>
      </c>
      <c r="C1145" s="5" t="s">
        <v>3408</v>
      </c>
      <c r="D1145" s="1" t="s">
        <v>115</v>
      </c>
      <c r="E1145" s="5" t="s">
        <v>3409</v>
      </c>
      <c r="F1145" s="34" t="s">
        <v>3574</v>
      </c>
      <c r="G1145" s="26">
        <v>220</v>
      </c>
      <c r="H1145" s="1" t="s">
        <v>774</v>
      </c>
      <c r="I1145" s="9">
        <v>1</v>
      </c>
      <c r="J1145" s="36">
        <v>0.06</v>
      </c>
    </row>
    <row r="1146" spans="2:10" s="44" customFormat="1" x14ac:dyDescent="0.35">
      <c r="B1146" s="9">
        <v>1440007</v>
      </c>
      <c r="C1146" s="5" t="s">
        <v>802</v>
      </c>
      <c r="D1146" s="5" t="s">
        <v>3564</v>
      </c>
      <c r="E1146" s="5">
        <v>10144583</v>
      </c>
      <c r="F1146" s="34" t="s">
        <v>3552</v>
      </c>
      <c r="G1146" s="26">
        <v>24.35</v>
      </c>
      <c r="H1146" s="1" t="s">
        <v>774</v>
      </c>
      <c r="I1146" s="9">
        <v>1</v>
      </c>
      <c r="J1146" s="36">
        <v>0.1</v>
      </c>
    </row>
    <row r="1147" spans="2:10" s="44" customFormat="1" x14ac:dyDescent="0.35">
      <c r="B1147" s="9">
        <v>1440014</v>
      </c>
      <c r="C1147" s="5" t="s">
        <v>810</v>
      </c>
      <c r="D1147" s="5" t="s">
        <v>3564</v>
      </c>
      <c r="E1147" s="5">
        <v>10150306</v>
      </c>
      <c r="F1147" s="34" t="s">
        <v>3552</v>
      </c>
      <c r="G1147" s="26">
        <v>9.65</v>
      </c>
      <c r="H1147" s="1" t="s">
        <v>774</v>
      </c>
      <c r="I1147" s="9">
        <v>1</v>
      </c>
      <c r="J1147" s="36">
        <v>0.1</v>
      </c>
    </row>
    <row r="1148" spans="2:10" s="44" customFormat="1" x14ac:dyDescent="0.35">
      <c r="B1148" s="9">
        <v>1440042</v>
      </c>
      <c r="C1148" s="5" t="s">
        <v>791</v>
      </c>
      <c r="D1148" s="5" t="s">
        <v>3564</v>
      </c>
      <c r="E1148" s="5">
        <v>10129742</v>
      </c>
      <c r="F1148" s="34" t="s">
        <v>3552</v>
      </c>
      <c r="G1148" s="26">
        <v>86.4</v>
      </c>
      <c r="H1148" s="1" t="s">
        <v>774</v>
      </c>
      <c r="I1148" s="9">
        <v>1</v>
      </c>
      <c r="J1148" s="36">
        <v>0.1</v>
      </c>
    </row>
    <row r="1149" spans="2:10" s="44" customFormat="1" x14ac:dyDescent="0.35">
      <c r="B1149" s="9">
        <v>1440087</v>
      </c>
      <c r="C1149" s="5" t="s">
        <v>797</v>
      </c>
      <c r="D1149" s="5" t="s">
        <v>3564</v>
      </c>
      <c r="E1149" s="5">
        <v>10140391</v>
      </c>
      <c r="F1149" s="34" t="s">
        <v>3552</v>
      </c>
      <c r="G1149" s="26">
        <v>29.7</v>
      </c>
      <c r="H1149" s="1" t="s">
        <v>774</v>
      </c>
      <c r="I1149" s="9">
        <v>1</v>
      </c>
      <c r="J1149" s="36">
        <v>0.1</v>
      </c>
    </row>
    <row r="1150" spans="2:10" s="44" customFormat="1" x14ac:dyDescent="0.35">
      <c r="B1150" s="9">
        <v>1440161</v>
      </c>
      <c r="C1150" s="5" t="s">
        <v>814</v>
      </c>
      <c r="D1150" s="5" t="s">
        <v>3564</v>
      </c>
      <c r="E1150" s="5">
        <v>10229697</v>
      </c>
      <c r="F1150" s="34" t="s">
        <v>3552</v>
      </c>
      <c r="G1150" s="26">
        <v>43.92</v>
      </c>
      <c r="H1150" s="1" t="s">
        <v>774</v>
      </c>
      <c r="I1150" s="9">
        <v>1</v>
      </c>
      <c r="J1150" s="36">
        <v>0.1</v>
      </c>
    </row>
    <row r="1151" spans="2:10" s="44" customFormat="1" x14ac:dyDescent="0.35">
      <c r="B1151" s="9">
        <v>1440166</v>
      </c>
      <c r="C1151" s="5" t="s">
        <v>805</v>
      </c>
      <c r="D1151" s="5" t="s">
        <v>3564</v>
      </c>
      <c r="E1151" s="5">
        <v>10146074</v>
      </c>
      <c r="F1151" s="34" t="s">
        <v>3552</v>
      </c>
      <c r="G1151" s="26">
        <v>115.24</v>
      </c>
      <c r="H1151" s="1" t="s">
        <v>774</v>
      </c>
      <c r="I1151" s="9">
        <v>1</v>
      </c>
      <c r="J1151" s="36">
        <v>0.1</v>
      </c>
    </row>
    <row r="1152" spans="2:10" s="44" customFormat="1" x14ac:dyDescent="0.35">
      <c r="B1152" s="9">
        <v>1440567</v>
      </c>
      <c r="C1152" s="5" t="s">
        <v>795</v>
      </c>
      <c r="D1152" s="5" t="s">
        <v>3564</v>
      </c>
      <c r="E1152" s="5">
        <v>10138747</v>
      </c>
      <c r="F1152" s="34" t="s">
        <v>3552</v>
      </c>
      <c r="G1152" s="26">
        <v>61.3</v>
      </c>
      <c r="H1152" s="1" t="s">
        <v>774</v>
      </c>
      <c r="I1152" s="9">
        <v>1</v>
      </c>
      <c r="J1152" s="36">
        <v>0.1</v>
      </c>
    </row>
    <row r="1153" spans="2:10" s="44" customFormat="1" x14ac:dyDescent="0.35">
      <c r="B1153" s="9">
        <v>1492019</v>
      </c>
      <c r="C1153" s="5" t="s">
        <v>1599</v>
      </c>
      <c r="D1153" s="5" t="s">
        <v>3565</v>
      </c>
      <c r="E1153" s="5" t="s">
        <v>679</v>
      </c>
      <c r="F1153" s="34" t="s">
        <v>3574</v>
      </c>
      <c r="G1153" s="26">
        <v>0.48299999999999998</v>
      </c>
      <c r="H1153" s="1" t="s">
        <v>774</v>
      </c>
      <c r="I1153" s="9">
        <v>100</v>
      </c>
      <c r="J1153" s="36">
        <v>0.06</v>
      </c>
    </row>
    <row r="1154" spans="2:10" s="44" customFormat="1" x14ac:dyDescent="0.35">
      <c r="B1154" s="9">
        <v>1492164</v>
      </c>
      <c r="C1154" s="5" t="s">
        <v>3018</v>
      </c>
      <c r="D1154" s="5" t="s">
        <v>3565</v>
      </c>
      <c r="E1154" s="5" t="s">
        <v>3018</v>
      </c>
      <c r="F1154" s="34" t="s">
        <v>3574</v>
      </c>
      <c r="G1154" s="26">
        <v>1400</v>
      </c>
      <c r="H1154" s="1" t="s">
        <v>774</v>
      </c>
      <c r="I1154" s="9">
        <v>6</v>
      </c>
      <c r="J1154" s="36">
        <v>0.06</v>
      </c>
    </row>
    <row r="1155" spans="2:10" s="44" customFormat="1" x14ac:dyDescent="0.35">
      <c r="B1155" s="9">
        <v>1492415</v>
      </c>
      <c r="C1155" s="5" t="s">
        <v>3348</v>
      </c>
      <c r="D1155" s="5" t="s">
        <v>3565</v>
      </c>
      <c r="E1155" s="5" t="s">
        <v>3349</v>
      </c>
      <c r="F1155" s="34" t="s">
        <v>3574</v>
      </c>
      <c r="G1155" s="26">
        <v>21</v>
      </c>
      <c r="H1155" s="1" t="s">
        <v>774</v>
      </c>
      <c r="I1155" s="9">
        <v>1</v>
      </c>
      <c r="J1155" s="36">
        <v>0.06</v>
      </c>
    </row>
    <row r="1156" spans="2:10" s="44" customFormat="1" x14ac:dyDescent="0.35">
      <c r="B1156" s="9">
        <v>1500013</v>
      </c>
      <c r="C1156" s="5" t="s">
        <v>2299</v>
      </c>
      <c r="D1156" s="5" t="s">
        <v>3565</v>
      </c>
      <c r="E1156" s="5" t="s">
        <v>2300</v>
      </c>
      <c r="F1156" s="34" t="s">
        <v>3574</v>
      </c>
      <c r="G1156" s="26">
        <v>0.214</v>
      </c>
      <c r="H1156" s="1" t="s">
        <v>774</v>
      </c>
      <c r="I1156" s="9">
        <v>1000</v>
      </c>
      <c r="J1156" s="36">
        <v>0.06</v>
      </c>
    </row>
    <row r="1157" spans="2:10" s="44" customFormat="1" x14ac:dyDescent="0.35">
      <c r="B1157" s="9">
        <v>1500015</v>
      </c>
      <c r="C1157" s="5" t="s">
        <v>2103</v>
      </c>
      <c r="D1157" s="5" t="s">
        <v>3565</v>
      </c>
      <c r="E1157" s="5" t="s">
        <v>749</v>
      </c>
      <c r="F1157" s="34" t="s">
        <v>3574</v>
      </c>
      <c r="G1157" s="26">
        <v>0.13699999999999998</v>
      </c>
      <c r="H1157" s="1" t="s">
        <v>774</v>
      </c>
      <c r="I1157" s="9">
        <v>1000</v>
      </c>
      <c r="J1157" s="36">
        <v>0.06</v>
      </c>
    </row>
    <row r="1158" spans="2:10" s="44" customFormat="1" x14ac:dyDescent="0.35">
      <c r="B1158" s="9">
        <v>1500036</v>
      </c>
      <c r="C1158" s="5" t="s">
        <v>2177</v>
      </c>
      <c r="D1158" s="5" t="s">
        <v>3565</v>
      </c>
      <c r="E1158" s="5" t="s">
        <v>2178</v>
      </c>
      <c r="F1158" s="34" t="s">
        <v>3574</v>
      </c>
      <c r="G1158" s="26">
        <v>0.63</v>
      </c>
      <c r="H1158" s="1" t="s">
        <v>774</v>
      </c>
      <c r="I1158" s="9">
        <v>1000</v>
      </c>
      <c r="J1158" s="36">
        <v>0.06</v>
      </c>
    </row>
    <row r="1159" spans="2:10" s="44" customFormat="1" x14ac:dyDescent="0.35">
      <c r="B1159" s="9">
        <v>1502169</v>
      </c>
      <c r="C1159" s="5" t="s">
        <v>1934</v>
      </c>
      <c r="D1159" s="5" t="s">
        <v>3565</v>
      </c>
      <c r="E1159" s="5" t="s">
        <v>1935</v>
      </c>
      <c r="F1159" s="34" t="s">
        <v>3574</v>
      </c>
      <c r="G1159" s="26">
        <v>0.98699999999999999</v>
      </c>
      <c r="H1159" s="1" t="s">
        <v>774</v>
      </c>
      <c r="I1159" s="9">
        <v>100</v>
      </c>
      <c r="J1159" s="36">
        <v>0.06</v>
      </c>
    </row>
    <row r="1160" spans="2:10" s="44" customFormat="1" x14ac:dyDescent="0.35">
      <c r="B1160" s="9">
        <v>1502643</v>
      </c>
      <c r="C1160" s="5" t="s">
        <v>2637</v>
      </c>
      <c r="D1160" s="5" t="s">
        <v>3565</v>
      </c>
      <c r="E1160" s="5" t="s">
        <v>2638</v>
      </c>
      <c r="F1160" s="34" t="s">
        <v>3574</v>
      </c>
      <c r="G1160" s="26">
        <v>1.5449999999999999</v>
      </c>
      <c r="H1160" s="1" t="s">
        <v>774</v>
      </c>
      <c r="I1160" s="9">
        <v>1000</v>
      </c>
      <c r="J1160" s="36">
        <v>0.06</v>
      </c>
    </row>
    <row r="1161" spans="2:10" s="44" customFormat="1" x14ac:dyDescent="0.35">
      <c r="B1161" s="9">
        <v>1502715</v>
      </c>
      <c r="C1161" s="5" t="s">
        <v>3396</v>
      </c>
      <c r="D1161" s="5" t="s">
        <v>3565</v>
      </c>
      <c r="E1161" s="5" t="s">
        <v>3397</v>
      </c>
      <c r="F1161" s="34" t="s">
        <v>3574</v>
      </c>
      <c r="G1161" s="26">
        <v>0.65</v>
      </c>
      <c r="H1161" s="1" t="s">
        <v>774</v>
      </c>
      <c r="I1161" s="9">
        <v>100</v>
      </c>
      <c r="J1161" s="36">
        <v>0.06</v>
      </c>
    </row>
    <row r="1162" spans="2:10" s="44" customFormat="1" x14ac:dyDescent="0.35">
      <c r="B1162" s="9">
        <v>1504098</v>
      </c>
      <c r="C1162" s="5" t="s">
        <v>2926</v>
      </c>
      <c r="D1162" s="5" t="s">
        <v>3565</v>
      </c>
      <c r="E1162" s="11" t="s">
        <v>3573</v>
      </c>
      <c r="F1162" s="34" t="s">
        <v>3574</v>
      </c>
      <c r="G1162" s="26">
        <v>0.20600000000000002</v>
      </c>
      <c r="H1162" s="1" t="s">
        <v>774</v>
      </c>
      <c r="I1162" s="9">
        <v>100</v>
      </c>
      <c r="J1162" s="36">
        <v>0.06</v>
      </c>
    </row>
    <row r="1163" spans="2:10" s="44" customFormat="1" x14ac:dyDescent="0.35">
      <c r="B1163" s="9">
        <v>1504328</v>
      </c>
      <c r="C1163" s="5" t="s">
        <v>2561</v>
      </c>
      <c r="D1163" s="5" t="s">
        <v>3565</v>
      </c>
      <c r="E1163" s="5" t="s">
        <v>2562</v>
      </c>
      <c r="F1163" s="34" t="s">
        <v>3574</v>
      </c>
      <c r="G1163" s="26">
        <v>1.8540000000000001</v>
      </c>
      <c r="H1163" s="1" t="s">
        <v>774</v>
      </c>
      <c r="I1163" s="9">
        <v>500</v>
      </c>
      <c r="J1163" s="36">
        <v>0.06</v>
      </c>
    </row>
    <row r="1164" spans="2:10" s="44" customFormat="1" x14ac:dyDescent="0.35">
      <c r="B1164" s="9">
        <v>1580227</v>
      </c>
      <c r="C1164" s="5" t="s">
        <v>698</v>
      </c>
      <c r="D1164" s="1" t="s">
        <v>115</v>
      </c>
      <c r="E1164" s="5" t="s">
        <v>699</v>
      </c>
      <c r="F1164" s="34" t="s">
        <v>3574</v>
      </c>
      <c r="G1164" s="26">
        <v>1140.3</v>
      </c>
      <c r="H1164" s="1" t="s">
        <v>774</v>
      </c>
      <c r="I1164" s="9">
        <v>1</v>
      </c>
      <c r="J1164" s="36">
        <v>0.06</v>
      </c>
    </row>
    <row r="1165" spans="2:10" s="44" customFormat="1" x14ac:dyDescent="0.35">
      <c r="B1165" s="9">
        <v>1580449</v>
      </c>
      <c r="C1165" s="5" t="s">
        <v>78</v>
      </c>
      <c r="D1165" s="1" t="s">
        <v>115</v>
      </c>
      <c r="E1165" s="5" t="s">
        <v>79</v>
      </c>
      <c r="F1165" s="34" t="s">
        <v>3574</v>
      </c>
      <c r="G1165" s="26">
        <v>140</v>
      </c>
      <c r="H1165" s="1" t="s">
        <v>774</v>
      </c>
      <c r="I1165" s="9">
        <v>1</v>
      </c>
      <c r="J1165" s="36">
        <v>0.06</v>
      </c>
    </row>
    <row r="1166" spans="2:10" s="44" customFormat="1" x14ac:dyDescent="0.35">
      <c r="B1166" s="9">
        <v>1580642</v>
      </c>
      <c r="C1166" s="5" t="s">
        <v>3407</v>
      </c>
      <c r="D1166" s="1" t="s">
        <v>115</v>
      </c>
      <c r="E1166" s="5" t="s">
        <v>3421</v>
      </c>
      <c r="F1166" s="34" t="s">
        <v>3574</v>
      </c>
      <c r="G1166" s="26">
        <v>278.85000000000002</v>
      </c>
      <c r="H1166" s="1" t="s">
        <v>774</v>
      </c>
      <c r="I1166" s="9">
        <v>1</v>
      </c>
      <c r="J1166" s="36">
        <v>0.06</v>
      </c>
    </row>
    <row r="1167" spans="2:10" s="44" customFormat="1" x14ac:dyDescent="0.35">
      <c r="B1167" s="9">
        <v>1580691</v>
      </c>
      <c r="C1167" s="5" t="s">
        <v>3428</v>
      </c>
      <c r="D1167" s="1" t="s">
        <v>115</v>
      </c>
      <c r="E1167" s="5" t="s">
        <v>3429</v>
      </c>
      <c r="F1167" s="34" t="s">
        <v>3574</v>
      </c>
      <c r="G1167" s="26">
        <v>142.5</v>
      </c>
      <c r="H1167" s="1" t="s">
        <v>774</v>
      </c>
      <c r="I1167" s="9">
        <v>1</v>
      </c>
      <c r="J1167" s="36">
        <v>0.06</v>
      </c>
    </row>
    <row r="1168" spans="2:10" s="44" customFormat="1" x14ac:dyDescent="0.35">
      <c r="B1168" s="9">
        <v>1580726</v>
      </c>
      <c r="C1168" s="5" t="s">
        <v>3419</v>
      </c>
      <c r="D1168" s="1" t="s">
        <v>115</v>
      </c>
      <c r="E1168" s="5" t="s">
        <v>3420</v>
      </c>
      <c r="F1168" s="34" t="s">
        <v>3574</v>
      </c>
      <c r="G1168" s="26">
        <v>328.6</v>
      </c>
      <c r="H1168" s="1" t="s">
        <v>774</v>
      </c>
      <c r="I1168" s="9">
        <v>1</v>
      </c>
      <c r="J1168" s="36">
        <v>0.06</v>
      </c>
    </row>
    <row r="1169" spans="2:10" s="44" customFormat="1" x14ac:dyDescent="0.35">
      <c r="B1169" s="9">
        <v>1581097</v>
      </c>
      <c r="C1169" s="5" t="s">
        <v>798</v>
      </c>
      <c r="D1169" s="5" t="s">
        <v>3564</v>
      </c>
      <c r="E1169" s="5">
        <v>10140679</v>
      </c>
      <c r="F1169" s="34" t="s">
        <v>3552</v>
      </c>
      <c r="G1169" s="26">
        <v>926.64</v>
      </c>
      <c r="H1169" s="1" t="s">
        <v>774</v>
      </c>
      <c r="I1169" s="9">
        <v>1</v>
      </c>
      <c r="J1169" s="36">
        <v>0.1</v>
      </c>
    </row>
    <row r="1170" spans="2:10" s="44" customFormat="1" x14ac:dyDescent="0.35">
      <c r="B1170" s="9">
        <v>1581101</v>
      </c>
      <c r="C1170" s="5" t="s">
        <v>3433</v>
      </c>
      <c r="D1170" s="1" t="s">
        <v>115</v>
      </c>
      <c r="E1170" s="5" t="s">
        <v>3434</v>
      </c>
      <c r="F1170" s="34" t="s">
        <v>3574</v>
      </c>
      <c r="G1170" s="26">
        <v>183.57</v>
      </c>
      <c r="H1170" s="1" t="s">
        <v>774</v>
      </c>
      <c r="I1170" s="9">
        <v>1</v>
      </c>
      <c r="J1170" s="36">
        <v>0.06</v>
      </c>
    </row>
    <row r="1171" spans="2:10" s="44" customFormat="1" x14ac:dyDescent="0.35">
      <c r="B1171" s="9">
        <v>1581277</v>
      </c>
      <c r="C1171" s="5" t="s">
        <v>3465</v>
      </c>
      <c r="D1171" s="1" t="s">
        <v>115</v>
      </c>
      <c r="E1171" s="5" t="s">
        <v>3466</v>
      </c>
      <c r="F1171" s="34" t="s">
        <v>3574</v>
      </c>
      <c r="G1171" s="26">
        <v>233.1</v>
      </c>
      <c r="H1171" s="1" t="s">
        <v>774</v>
      </c>
      <c r="I1171" s="9">
        <v>1</v>
      </c>
      <c r="J1171" s="36">
        <v>0.06</v>
      </c>
    </row>
    <row r="1172" spans="2:10" s="44" customFormat="1" x14ac:dyDescent="0.35">
      <c r="B1172" s="9">
        <v>1581278</v>
      </c>
      <c r="C1172" s="5" t="s">
        <v>49</v>
      </c>
      <c r="D1172" s="1" t="s">
        <v>115</v>
      </c>
      <c r="E1172" s="5" t="s">
        <v>3471</v>
      </c>
      <c r="F1172" s="34" t="s">
        <v>3574</v>
      </c>
      <c r="G1172" s="26">
        <v>180.5</v>
      </c>
      <c r="H1172" s="1" t="s">
        <v>774</v>
      </c>
      <c r="I1172" s="9">
        <v>1</v>
      </c>
      <c r="J1172" s="36">
        <v>0.06</v>
      </c>
    </row>
    <row r="1173" spans="2:10" s="44" customFormat="1" x14ac:dyDescent="0.35">
      <c r="B1173" s="9">
        <v>1581537</v>
      </c>
      <c r="C1173" s="5" t="s">
        <v>3472</v>
      </c>
      <c r="D1173" s="1" t="s">
        <v>115</v>
      </c>
      <c r="E1173" s="5" t="s">
        <v>3473</v>
      </c>
      <c r="F1173" s="34" t="s">
        <v>3574</v>
      </c>
      <c r="G1173" s="26">
        <v>400</v>
      </c>
      <c r="H1173" s="1" t="s">
        <v>774</v>
      </c>
      <c r="I1173" s="9">
        <v>1</v>
      </c>
      <c r="J1173" s="36">
        <v>0.06</v>
      </c>
    </row>
    <row r="1174" spans="2:10" s="44" customFormat="1" x14ac:dyDescent="0.35">
      <c r="B1174" s="9">
        <v>1581542</v>
      </c>
      <c r="C1174" s="5" t="s">
        <v>3468</v>
      </c>
      <c r="D1174" s="1" t="s">
        <v>115</v>
      </c>
      <c r="E1174" s="5" t="s">
        <v>3469</v>
      </c>
      <c r="F1174" s="34" t="s">
        <v>3574</v>
      </c>
      <c r="G1174" s="26">
        <v>389</v>
      </c>
      <c r="H1174" s="1" t="s">
        <v>774</v>
      </c>
      <c r="I1174" s="9">
        <v>1</v>
      </c>
      <c r="J1174" s="36">
        <v>0.06</v>
      </c>
    </row>
    <row r="1175" spans="2:10" s="44" customFormat="1" x14ac:dyDescent="0.35">
      <c r="B1175" s="9">
        <v>1581605</v>
      </c>
      <c r="C1175" s="5" t="s">
        <v>790</v>
      </c>
      <c r="D1175" s="5" t="s">
        <v>3564</v>
      </c>
      <c r="E1175" s="5">
        <v>10123471</v>
      </c>
      <c r="F1175" s="34" t="s">
        <v>3552</v>
      </c>
      <c r="G1175" s="26">
        <v>55.34</v>
      </c>
      <c r="H1175" s="1" t="s">
        <v>774</v>
      </c>
      <c r="I1175" s="9">
        <v>1</v>
      </c>
      <c r="J1175" s="36">
        <v>0.1</v>
      </c>
    </row>
    <row r="1176" spans="2:10" s="44" customFormat="1" x14ac:dyDescent="0.35">
      <c r="B1176" s="9">
        <v>1581689</v>
      </c>
      <c r="C1176" s="5" t="s">
        <v>799</v>
      </c>
      <c r="D1176" s="5" t="s">
        <v>3564</v>
      </c>
      <c r="E1176" s="5">
        <v>10144020</v>
      </c>
      <c r="F1176" s="34" t="s">
        <v>3552</v>
      </c>
      <c r="G1176" s="26">
        <v>13.52</v>
      </c>
      <c r="H1176" s="1" t="s">
        <v>774</v>
      </c>
      <c r="I1176" s="9">
        <v>1</v>
      </c>
      <c r="J1176" s="36">
        <v>0.1</v>
      </c>
    </row>
    <row r="1177" spans="2:10" s="44" customFormat="1" x14ac:dyDescent="0.35">
      <c r="B1177" s="9">
        <v>1581690</v>
      </c>
      <c r="C1177" s="5" t="s">
        <v>74</v>
      </c>
      <c r="D1177" s="5" t="s">
        <v>3564</v>
      </c>
      <c r="E1177" s="5">
        <v>10144022</v>
      </c>
      <c r="F1177" s="34" t="s">
        <v>3552</v>
      </c>
      <c r="G1177" s="26">
        <v>13.52</v>
      </c>
      <c r="H1177" s="1" t="s">
        <v>774</v>
      </c>
      <c r="I1177" s="9">
        <v>1</v>
      </c>
      <c r="J1177" s="36">
        <v>0.1</v>
      </c>
    </row>
    <row r="1178" spans="2:10" s="44" customFormat="1" x14ac:dyDescent="0.35">
      <c r="B1178" s="9">
        <v>1581691</v>
      </c>
      <c r="C1178" s="5" t="s">
        <v>800</v>
      </c>
      <c r="D1178" s="5" t="s">
        <v>3564</v>
      </c>
      <c r="E1178" s="5">
        <v>10144448</v>
      </c>
      <c r="F1178" s="34" t="s">
        <v>3552</v>
      </c>
      <c r="G1178" s="26">
        <v>24.14</v>
      </c>
      <c r="H1178" s="1" t="s">
        <v>774</v>
      </c>
      <c r="I1178" s="9">
        <v>1</v>
      </c>
      <c r="J1178" s="36">
        <v>0.1</v>
      </c>
    </row>
    <row r="1179" spans="2:10" s="44" customFormat="1" x14ac:dyDescent="0.35">
      <c r="B1179" s="9">
        <v>1581837</v>
      </c>
      <c r="C1179" s="5" t="s">
        <v>45</v>
      </c>
      <c r="D1179" s="5" t="s">
        <v>3564</v>
      </c>
      <c r="E1179" s="5">
        <v>10147826</v>
      </c>
      <c r="F1179" s="34" t="s">
        <v>3552</v>
      </c>
      <c r="G1179" s="26">
        <v>45.91</v>
      </c>
      <c r="H1179" s="1" t="s">
        <v>774</v>
      </c>
      <c r="I1179" s="9">
        <v>1</v>
      </c>
      <c r="J1179" s="36">
        <v>0.1</v>
      </c>
    </row>
    <row r="1180" spans="2:10" s="44" customFormat="1" x14ac:dyDescent="0.35">
      <c r="B1180" s="9">
        <v>1581883</v>
      </c>
      <c r="C1180" s="5" t="s">
        <v>3443</v>
      </c>
      <c r="D1180" s="1" t="s">
        <v>115</v>
      </c>
      <c r="E1180" s="5" t="s">
        <v>3444</v>
      </c>
      <c r="F1180" s="34" t="s">
        <v>3574</v>
      </c>
      <c r="G1180" s="26">
        <v>345.6</v>
      </c>
      <c r="H1180" s="1" t="s">
        <v>774</v>
      </c>
      <c r="I1180" s="9">
        <v>1</v>
      </c>
      <c r="J1180" s="36">
        <v>0.06</v>
      </c>
    </row>
    <row r="1181" spans="2:10" s="44" customFormat="1" x14ac:dyDescent="0.35">
      <c r="B1181" s="9">
        <v>1581884</v>
      </c>
      <c r="C1181" s="5" t="s">
        <v>3438</v>
      </c>
      <c r="D1181" s="1" t="s">
        <v>115</v>
      </c>
      <c r="E1181" s="5" t="s">
        <v>3439</v>
      </c>
      <c r="F1181" s="34" t="s">
        <v>3574</v>
      </c>
      <c r="G1181" s="26">
        <v>315</v>
      </c>
      <c r="H1181" s="1" t="s">
        <v>774</v>
      </c>
      <c r="I1181" s="9">
        <v>1</v>
      </c>
      <c r="J1181" s="36">
        <v>0.06</v>
      </c>
    </row>
    <row r="1182" spans="2:10" s="44" customFormat="1" x14ac:dyDescent="0.35">
      <c r="B1182" s="9">
        <v>1581885</v>
      </c>
      <c r="C1182" s="5" t="s">
        <v>792</v>
      </c>
      <c r="D1182" s="5" t="s">
        <v>3564</v>
      </c>
      <c r="E1182" s="5">
        <v>10132110</v>
      </c>
      <c r="F1182" s="34" t="s">
        <v>3552</v>
      </c>
      <c r="G1182" s="26">
        <v>310.07</v>
      </c>
      <c r="H1182" s="1" t="s">
        <v>774</v>
      </c>
      <c r="I1182" s="9">
        <v>1</v>
      </c>
      <c r="J1182" s="36">
        <v>0.1</v>
      </c>
    </row>
    <row r="1183" spans="2:10" s="44" customFormat="1" x14ac:dyDescent="0.35">
      <c r="B1183" s="9">
        <v>1582053</v>
      </c>
      <c r="C1183" s="5" t="s">
        <v>794</v>
      </c>
      <c r="D1183" s="5" t="s">
        <v>3564</v>
      </c>
      <c r="E1183" s="5">
        <v>10136503</v>
      </c>
      <c r="F1183" s="34" t="s">
        <v>3552</v>
      </c>
      <c r="G1183" s="26">
        <v>285.22000000000003</v>
      </c>
      <c r="H1183" s="1" t="s">
        <v>774</v>
      </c>
      <c r="I1183" s="9">
        <v>1</v>
      </c>
      <c r="J1183" s="36">
        <v>0.1</v>
      </c>
    </row>
    <row r="1184" spans="2:10" s="44" customFormat="1" x14ac:dyDescent="0.35">
      <c r="B1184" s="9">
        <v>1582147</v>
      </c>
      <c r="C1184" s="5" t="s">
        <v>808</v>
      </c>
      <c r="D1184" s="5" t="s">
        <v>3564</v>
      </c>
      <c r="E1184" s="5">
        <v>10148791</v>
      </c>
      <c r="F1184" s="34" t="s">
        <v>3552</v>
      </c>
      <c r="G1184" s="26">
        <v>87.11</v>
      </c>
      <c r="H1184" s="1" t="s">
        <v>774</v>
      </c>
      <c r="I1184" s="9">
        <v>1</v>
      </c>
      <c r="J1184" s="36">
        <v>0.1</v>
      </c>
    </row>
    <row r="1185" spans="2:10" s="44" customFormat="1" x14ac:dyDescent="0.35">
      <c r="B1185" s="9">
        <v>1582211</v>
      </c>
      <c r="C1185" s="5" t="s">
        <v>828</v>
      </c>
      <c r="D1185" s="5" t="s">
        <v>3564</v>
      </c>
      <c r="E1185" s="5">
        <v>10114158</v>
      </c>
      <c r="F1185" s="34" t="s">
        <v>3552</v>
      </c>
      <c r="G1185" s="26">
        <v>8.1999999999999993</v>
      </c>
      <c r="H1185" s="1" t="s">
        <v>774</v>
      </c>
      <c r="I1185" s="9">
        <v>1</v>
      </c>
      <c r="J1185" s="36">
        <v>0.1</v>
      </c>
    </row>
    <row r="1186" spans="2:10" s="44" customFormat="1" x14ac:dyDescent="0.35">
      <c r="B1186" s="9">
        <v>1582260</v>
      </c>
      <c r="C1186" s="5" t="s">
        <v>811</v>
      </c>
      <c r="D1186" s="5" t="s">
        <v>3564</v>
      </c>
      <c r="E1186" s="5">
        <v>10155986</v>
      </c>
      <c r="F1186" s="34" t="s">
        <v>3552</v>
      </c>
      <c r="G1186" s="26">
        <v>117.61</v>
      </c>
      <c r="H1186" s="1" t="s">
        <v>774</v>
      </c>
      <c r="I1186" s="9">
        <v>1</v>
      </c>
      <c r="J1186" s="36">
        <v>0.1</v>
      </c>
    </row>
    <row r="1187" spans="2:10" s="44" customFormat="1" x14ac:dyDescent="0.35">
      <c r="B1187" s="9">
        <v>1582264</v>
      </c>
      <c r="C1187" s="5" t="s">
        <v>3560</v>
      </c>
      <c r="D1187" s="5" t="s">
        <v>3564</v>
      </c>
      <c r="E1187" s="5">
        <v>10140260</v>
      </c>
      <c r="F1187" s="34" t="s">
        <v>3552</v>
      </c>
      <c r="G1187" s="26">
        <v>8.77</v>
      </c>
      <c r="H1187" s="1" t="s">
        <v>774</v>
      </c>
      <c r="I1187" s="9">
        <v>1</v>
      </c>
      <c r="J1187" s="36">
        <v>0.1</v>
      </c>
    </row>
    <row r="1188" spans="2:10" s="44" customFormat="1" x14ac:dyDescent="0.35">
      <c r="B1188" s="9">
        <v>1582475</v>
      </c>
      <c r="C1188" s="5" t="s">
        <v>796</v>
      </c>
      <c r="D1188" s="5" t="s">
        <v>3564</v>
      </c>
      <c r="E1188" s="5">
        <v>10138763</v>
      </c>
      <c r="F1188" s="34" t="s">
        <v>3552</v>
      </c>
      <c r="G1188" s="26">
        <v>37.78</v>
      </c>
      <c r="H1188" s="1" t="s">
        <v>774</v>
      </c>
      <c r="I1188" s="9">
        <v>1</v>
      </c>
      <c r="J1188" s="36">
        <v>0.1</v>
      </c>
    </row>
    <row r="1189" spans="2:10" s="44" customFormat="1" x14ac:dyDescent="0.35">
      <c r="B1189" s="9">
        <v>1582883</v>
      </c>
      <c r="C1189" s="5" t="s">
        <v>757</v>
      </c>
      <c r="D1189" s="5" t="s">
        <v>3564</v>
      </c>
      <c r="E1189" s="5">
        <v>10150991</v>
      </c>
      <c r="F1189" s="34" t="s">
        <v>3552</v>
      </c>
      <c r="G1189" s="26">
        <v>17.82</v>
      </c>
      <c r="H1189" s="1" t="s">
        <v>774</v>
      </c>
      <c r="I1189" s="9">
        <v>1</v>
      </c>
      <c r="J1189" s="36">
        <v>0.1</v>
      </c>
    </row>
    <row r="1190" spans="2:10" s="44" customFormat="1" x14ac:dyDescent="0.35">
      <c r="B1190" s="9">
        <v>1582921</v>
      </c>
      <c r="C1190" s="5" t="s">
        <v>809</v>
      </c>
      <c r="D1190" s="5" t="s">
        <v>3564</v>
      </c>
      <c r="E1190" s="5">
        <v>10149512</v>
      </c>
      <c r="F1190" s="34" t="s">
        <v>3552</v>
      </c>
      <c r="G1190" s="26">
        <v>140.16</v>
      </c>
      <c r="H1190" s="1" t="s">
        <v>774</v>
      </c>
      <c r="I1190" s="9">
        <v>1</v>
      </c>
      <c r="J1190" s="36">
        <v>0.1</v>
      </c>
    </row>
    <row r="1191" spans="2:10" s="44" customFormat="1" x14ac:dyDescent="0.35">
      <c r="B1191" s="9">
        <v>1583019</v>
      </c>
      <c r="C1191" s="5" t="s">
        <v>68</v>
      </c>
      <c r="D1191" s="5" t="s">
        <v>3564</v>
      </c>
      <c r="E1191" s="5">
        <v>10144021</v>
      </c>
      <c r="F1191" s="34" t="s">
        <v>3552</v>
      </c>
      <c r="G1191" s="26">
        <v>15.82</v>
      </c>
      <c r="H1191" s="1" t="s">
        <v>774</v>
      </c>
      <c r="I1191" s="9">
        <v>1</v>
      </c>
      <c r="J1191" s="36">
        <v>0.1</v>
      </c>
    </row>
    <row r="1192" spans="2:10" s="44" customFormat="1" x14ac:dyDescent="0.35">
      <c r="B1192" s="9">
        <v>1583041</v>
      </c>
      <c r="C1192" s="5" t="s">
        <v>702</v>
      </c>
      <c r="D1192" s="5" t="s">
        <v>3564</v>
      </c>
      <c r="E1192" s="5">
        <v>10142377</v>
      </c>
      <c r="F1192" s="34" t="s">
        <v>3552</v>
      </c>
      <c r="G1192" s="26">
        <v>40.57</v>
      </c>
      <c r="H1192" s="1" t="s">
        <v>774</v>
      </c>
      <c r="I1192" s="9">
        <v>1</v>
      </c>
      <c r="J1192" s="36">
        <v>0.1</v>
      </c>
    </row>
    <row r="1193" spans="2:10" s="44" customFormat="1" x14ac:dyDescent="0.35">
      <c r="B1193" s="9">
        <v>1583273</v>
      </c>
      <c r="C1193" s="5" t="s">
        <v>770</v>
      </c>
      <c r="D1193" s="1" t="s">
        <v>115</v>
      </c>
      <c r="E1193" s="5" t="s">
        <v>3460</v>
      </c>
      <c r="F1193" s="34" t="s">
        <v>3574</v>
      </c>
      <c r="G1193" s="26">
        <v>392</v>
      </c>
      <c r="H1193" s="1" t="s">
        <v>774</v>
      </c>
      <c r="I1193" s="9">
        <v>1</v>
      </c>
      <c r="J1193" s="36">
        <v>0.06</v>
      </c>
    </row>
    <row r="1194" spans="2:10" s="44" customFormat="1" x14ac:dyDescent="0.35">
      <c r="B1194" s="9">
        <v>1583541</v>
      </c>
      <c r="C1194" s="5" t="s">
        <v>73</v>
      </c>
      <c r="D1194" s="5" t="s">
        <v>3564</v>
      </c>
      <c r="E1194" s="5">
        <v>10151381</v>
      </c>
      <c r="F1194" s="34" t="s">
        <v>3552</v>
      </c>
      <c r="G1194" s="26">
        <v>316.67</v>
      </c>
      <c r="H1194" s="1" t="s">
        <v>774</v>
      </c>
      <c r="I1194" s="9">
        <v>1</v>
      </c>
      <c r="J1194" s="36">
        <v>0.1</v>
      </c>
    </row>
    <row r="1195" spans="2:10" s="44" customFormat="1" x14ac:dyDescent="0.35">
      <c r="B1195" s="9">
        <v>1584178</v>
      </c>
      <c r="C1195" s="5" t="s">
        <v>3402</v>
      </c>
      <c r="D1195" s="1" t="s">
        <v>115</v>
      </c>
      <c r="E1195" s="5" t="s">
        <v>25</v>
      </c>
      <c r="F1195" s="34" t="s">
        <v>3574</v>
      </c>
      <c r="G1195" s="26">
        <v>340</v>
      </c>
      <c r="H1195" s="1" t="s">
        <v>774</v>
      </c>
      <c r="I1195" s="9">
        <v>1</v>
      </c>
      <c r="J1195" s="36">
        <v>0.06</v>
      </c>
    </row>
    <row r="1196" spans="2:10" s="44" customFormat="1" x14ac:dyDescent="0.35">
      <c r="B1196" s="9">
        <v>1584179</v>
      </c>
      <c r="C1196" s="5" t="s">
        <v>71</v>
      </c>
      <c r="D1196" s="1" t="s">
        <v>115</v>
      </c>
      <c r="E1196" s="5" t="s">
        <v>72</v>
      </c>
      <c r="F1196" s="34" t="s">
        <v>3574</v>
      </c>
      <c r="G1196" s="26">
        <v>50</v>
      </c>
      <c r="H1196" s="1" t="s">
        <v>774</v>
      </c>
      <c r="I1196" s="9">
        <v>1</v>
      </c>
      <c r="J1196" s="36">
        <v>0.06</v>
      </c>
    </row>
    <row r="1197" spans="2:10" s="44" customFormat="1" x14ac:dyDescent="0.35">
      <c r="B1197" s="9">
        <v>1584181</v>
      </c>
      <c r="C1197" s="5" t="s">
        <v>55</v>
      </c>
      <c r="D1197" s="5" t="s">
        <v>3564</v>
      </c>
      <c r="E1197" s="5">
        <v>10160406</v>
      </c>
      <c r="F1197" s="34" t="s">
        <v>3552</v>
      </c>
      <c r="G1197" s="26">
        <v>722.59</v>
      </c>
      <c r="H1197" s="1" t="s">
        <v>774</v>
      </c>
      <c r="I1197" s="9">
        <v>1</v>
      </c>
      <c r="J1197" s="36">
        <v>0.1</v>
      </c>
    </row>
    <row r="1198" spans="2:10" s="44" customFormat="1" x14ac:dyDescent="0.35">
      <c r="B1198" s="9">
        <v>1584220</v>
      </c>
      <c r="C1198" s="5" t="s">
        <v>26</v>
      </c>
      <c r="D1198" s="1" t="s">
        <v>115</v>
      </c>
      <c r="E1198" s="5" t="s">
        <v>27</v>
      </c>
      <c r="F1198" s="34" t="s">
        <v>3574</v>
      </c>
      <c r="G1198" s="26">
        <v>9</v>
      </c>
      <c r="H1198" s="1" t="s">
        <v>774</v>
      </c>
      <c r="I1198" s="9">
        <v>1</v>
      </c>
      <c r="J1198" s="36">
        <v>0.06</v>
      </c>
    </row>
    <row r="1199" spans="2:10" s="44" customFormat="1" x14ac:dyDescent="0.35">
      <c r="B1199" s="9">
        <v>1584744</v>
      </c>
      <c r="C1199" s="5" t="s">
        <v>56</v>
      </c>
      <c r="D1199" s="5" t="s">
        <v>3564</v>
      </c>
      <c r="E1199" s="5">
        <v>10140294</v>
      </c>
      <c r="F1199" s="34" t="s">
        <v>3552</v>
      </c>
      <c r="G1199" s="26">
        <v>103.95</v>
      </c>
      <c r="H1199" s="1" t="s">
        <v>774</v>
      </c>
      <c r="I1199" s="9">
        <v>1</v>
      </c>
      <c r="J1199" s="36">
        <v>0.1</v>
      </c>
    </row>
    <row r="1200" spans="2:10" s="44" customFormat="1" x14ac:dyDescent="0.35">
      <c r="B1200" s="9">
        <v>1584807</v>
      </c>
      <c r="C1200" s="5" t="s">
        <v>688</v>
      </c>
      <c r="D1200" s="1" t="s">
        <v>115</v>
      </c>
      <c r="E1200" s="5" t="s">
        <v>689</v>
      </c>
      <c r="F1200" s="34" t="s">
        <v>3574</v>
      </c>
      <c r="G1200" s="26">
        <v>1162</v>
      </c>
      <c r="H1200" s="1" t="s">
        <v>774</v>
      </c>
      <c r="I1200" s="9">
        <v>1</v>
      </c>
      <c r="J1200" s="36">
        <v>0.06</v>
      </c>
    </row>
    <row r="1201" spans="2:10" s="44" customFormat="1" x14ac:dyDescent="0.35">
      <c r="B1201" s="9">
        <v>1584838</v>
      </c>
      <c r="C1201" s="5" t="s">
        <v>3437</v>
      </c>
      <c r="D1201" s="1" t="s">
        <v>115</v>
      </c>
      <c r="E1201" s="5" t="s">
        <v>747</v>
      </c>
      <c r="F1201" s="34" t="s">
        <v>3574</v>
      </c>
      <c r="G1201" s="26">
        <v>210</v>
      </c>
      <c r="H1201" s="1" t="s">
        <v>774</v>
      </c>
      <c r="I1201" s="9">
        <v>1</v>
      </c>
      <c r="J1201" s="36">
        <v>0.06</v>
      </c>
    </row>
    <row r="1202" spans="2:10" s="44" customFormat="1" x14ac:dyDescent="0.35">
      <c r="B1202" s="9">
        <v>1584957</v>
      </c>
      <c r="C1202" s="5" t="s">
        <v>3431</v>
      </c>
      <c r="D1202" s="1" t="s">
        <v>115</v>
      </c>
      <c r="E1202" s="5" t="s">
        <v>3432</v>
      </c>
      <c r="F1202" s="34" t="s">
        <v>3574</v>
      </c>
      <c r="G1202" s="26">
        <v>1828</v>
      </c>
      <c r="H1202" s="1" t="s">
        <v>774</v>
      </c>
      <c r="I1202" s="9">
        <v>1</v>
      </c>
      <c r="J1202" s="36">
        <v>0.06</v>
      </c>
    </row>
    <row r="1203" spans="2:10" s="44" customFormat="1" x14ac:dyDescent="0.35">
      <c r="B1203" s="9">
        <v>1585119</v>
      </c>
      <c r="C1203" s="5" t="s">
        <v>815</v>
      </c>
      <c r="D1203" s="5" t="s">
        <v>3564</v>
      </c>
      <c r="E1203" s="5">
        <v>11001879</v>
      </c>
      <c r="F1203" s="34" t="s">
        <v>3552</v>
      </c>
      <c r="G1203" s="26">
        <v>4696.66</v>
      </c>
      <c r="H1203" s="1" t="s">
        <v>774</v>
      </c>
      <c r="I1203" s="9">
        <v>1</v>
      </c>
      <c r="J1203" s="36">
        <v>0.1</v>
      </c>
    </row>
    <row r="1204" spans="2:10" s="44" customFormat="1" x14ac:dyDescent="0.35">
      <c r="B1204" s="9">
        <v>1585159</v>
      </c>
      <c r="C1204" s="5" t="s">
        <v>3485</v>
      </c>
      <c r="D1204" s="1" t="s">
        <v>115</v>
      </c>
      <c r="E1204" s="5" t="s">
        <v>3486</v>
      </c>
      <c r="F1204" s="34" t="s">
        <v>3574</v>
      </c>
      <c r="G1204" s="26">
        <v>8.8000000000000007</v>
      </c>
      <c r="H1204" s="1" t="s">
        <v>774</v>
      </c>
      <c r="I1204" s="9">
        <v>1</v>
      </c>
      <c r="J1204" s="36">
        <v>0.06</v>
      </c>
    </row>
    <row r="1205" spans="2:10" s="44" customFormat="1" x14ac:dyDescent="0.35">
      <c r="B1205" s="9">
        <v>1585198</v>
      </c>
      <c r="C1205" s="5" t="s">
        <v>3447</v>
      </c>
      <c r="D1205" s="1" t="s">
        <v>115</v>
      </c>
      <c r="E1205" s="5" t="s">
        <v>3448</v>
      </c>
      <c r="F1205" s="34" t="s">
        <v>3574</v>
      </c>
      <c r="G1205" s="26">
        <v>500</v>
      </c>
      <c r="H1205" s="1" t="s">
        <v>774</v>
      </c>
      <c r="I1205" s="9">
        <v>1</v>
      </c>
      <c r="J1205" s="36">
        <v>0.06</v>
      </c>
    </row>
    <row r="1206" spans="2:10" s="44" customFormat="1" x14ac:dyDescent="0.35">
      <c r="B1206" s="9">
        <v>1585277</v>
      </c>
      <c r="C1206" s="5" t="s">
        <v>3410</v>
      </c>
      <c r="D1206" s="1" t="s">
        <v>115</v>
      </c>
      <c r="E1206" s="5" t="s">
        <v>3411</v>
      </c>
      <c r="F1206" s="34" t="s">
        <v>3574</v>
      </c>
      <c r="G1206" s="26">
        <v>1071</v>
      </c>
      <c r="H1206" s="1" t="s">
        <v>774</v>
      </c>
      <c r="I1206" s="9">
        <v>1</v>
      </c>
      <c r="J1206" s="36">
        <v>0.06</v>
      </c>
    </row>
    <row r="1207" spans="2:10" s="44" customFormat="1" x14ac:dyDescent="0.35">
      <c r="B1207" s="9">
        <v>1585278</v>
      </c>
      <c r="C1207" s="5" t="s">
        <v>3412</v>
      </c>
      <c r="D1207" s="1" t="s">
        <v>115</v>
      </c>
      <c r="E1207" s="5" t="s">
        <v>3413</v>
      </c>
      <c r="F1207" s="34" t="s">
        <v>3574</v>
      </c>
      <c r="G1207" s="26">
        <v>805</v>
      </c>
      <c r="H1207" s="1" t="s">
        <v>774</v>
      </c>
      <c r="I1207" s="9">
        <v>1</v>
      </c>
      <c r="J1207" s="36">
        <v>0.06</v>
      </c>
    </row>
    <row r="1208" spans="2:10" s="44" customFormat="1" x14ac:dyDescent="0.35">
      <c r="B1208" s="9">
        <v>1585279</v>
      </c>
      <c r="C1208" s="5" t="s">
        <v>3405</v>
      </c>
      <c r="D1208" s="1" t="s">
        <v>115</v>
      </c>
      <c r="E1208" s="5" t="s">
        <v>41</v>
      </c>
      <c r="F1208" s="34" t="s">
        <v>3574</v>
      </c>
      <c r="G1208" s="26">
        <v>305</v>
      </c>
      <c r="H1208" s="1" t="s">
        <v>774</v>
      </c>
      <c r="I1208" s="9">
        <v>1</v>
      </c>
      <c r="J1208" s="36">
        <v>0.06</v>
      </c>
    </row>
    <row r="1209" spans="2:10" s="44" customFormat="1" x14ac:dyDescent="0.35">
      <c r="B1209" s="9">
        <v>1585280</v>
      </c>
      <c r="C1209" s="5" t="s">
        <v>3403</v>
      </c>
      <c r="D1209" s="1" t="s">
        <v>115</v>
      </c>
      <c r="E1209" s="5" t="s">
        <v>3404</v>
      </c>
      <c r="F1209" s="34" t="s">
        <v>3574</v>
      </c>
      <c r="G1209" s="26">
        <v>315</v>
      </c>
      <c r="H1209" s="1" t="s">
        <v>774</v>
      </c>
      <c r="I1209" s="9">
        <v>1</v>
      </c>
      <c r="J1209" s="36">
        <v>0.06</v>
      </c>
    </row>
    <row r="1210" spans="2:10" s="44" customFormat="1" x14ac:dyDescent="0.35">
      <c r="B1210" s="9">
        <v>1585281</v>
      </c>
      <c r="C1210" s="5" t="s">
        <v>42</v>
      </c>
      <c r="D1210" s="1" t="s">
        <v>115</v>
      </c>
      <c r="E1210" s="5" t="s">
        <v>43</v>
      </c>
      <c r="F1210" s="34" t="s">
        <v>3574</v>
      </c>
      <c r="G1210" s="26">
        <v>14.45</v>
      </c>
      <c r="H1210" s="1" t="s">
        <v>774</v>
      </c>
      <c r="I1210" s="9">
        <v>1</v>
      </c>
      <c r="J1210" s="36">
        <v>0.06</v>
      </c>
    </row>
    <row r="1211" spans="2:10" s="44" customFormat="1" x14ac:dyDescent="0.35">
      <c r="B1211" s="9">
        <v>1585364</v>
      </c>
      <c r="C1211" s="5" t="s">
        <v>1611</v>
      </c>
      <c r="D1211" s="5" t="s">
        <v>3565</v>
      </c>
      <c r="E1211" s="5" t="s">
        <v>1612</v>
      </c>
      <c r="F1211" s="34" t="s">
        <v>3574</v>
      </c>
      <c r="G1211" s="26">
        <v>0.8889999999999999</v>
      </c>
      <c r="H1211" s="1" t="s">
        <v>774</v>
      </c>
      <c r="I1211" s="9">
        <v>100</v>
      </c>
      <c r="J1211" s="36">
        <v>0.06</v>
      </c>
    </row>
    <row r="1212" spans="2:10" s="44" customFormat="1" x14ac:dyDescent="0.35">
      <c r="B1212" s="9">
        <v>1585512</v>
      </c>
      <c r="C1212" s="5" t="s">
        <v>46</v>
      </c>
      <c r="D1212" s="5" t="s">
        <v>3564</v>
      </c>
      <c r="E1212" s="5">
        <v>11045445</v>
      </c>
      <c r="F1212" s="34" t="s">
        <v>3552</v>
      </c>
      <c r="G1212" s="26">
        <v>90.02</v>
      </c>
      <c r="H1212" s="1" t="s">
        <v>774</v>
      </c>
      <c r="I1212" s="9">
        <v>1</v>
      </c>
      <c r="J1212" s="36">
        <v>0.1</v>
      </c>
    </row>
    <row r="1213" spans="2:10" s="44" customFormat="1" x14ac:dyDescent="0.35">
      <c r="B1213" s="9">
        <v>1585578</v>
      </c>
      <c r="C1213" s="5" t="s">
        <v>3435</v>
      </c>
      <c r="D1213" s="1" t="s">
        <v>115</v>
      </c>
      <c r="E1213" s="5" t="s">
        <v>3436</v>
      </c>
      <c r="F1213" s="34" t="s">
        <v>3574</v>
      </c>
      <c r="G1213" s="26">
        <v>1400</v>
      </c>
      <c r="H1213" s="1" t="s">
        <v>774</v>
      </c>
      <c r="I1213" s="9">
        <v>1</v>
      </c>
      <c r="J1213" s="36">
        <v>0.06</v>
      </c>
    </row>
    <row r="1214" spans="2:10" s="44" customFormat="1" x14ac:dyDescent="0.35">
      <c r="B1214" s="9">
        <v>1585579</v>
      </c>
      <c r="C1214" s="5" t="s">
        <v>3451</v>
      </c>
      <c r="D1214" s="1" t="s">
        <v>115</v>
      </c>
      <c r="E1214" s="5" t="s">
        <v>3452</v>
      </c>
      <c r="F1214" s="34" t="s">
        <v>3574</v>
      </c>
      <c r="G1214" s="26">
        <v>1053</v>
      </c>
      <c r="H1214" s="1" t="s">
        <v>774</v>
      </c>
      <c r="I1214" s="9">
        <v>1</v>
      </c>
      <c r="J1214" s="36">
        <v>0.06</v>
      </c>
    </row>
    <row r="1215" spans="2:10" s="44" customFormat="1" x14ac:dyDescent="0.35">
      <c r="B1215" s="9">
        <v>1585584</v>
      </c>
      <c r="C1215" s="5" t="s">
        <v>82</v>
      </c>
      <c r="D1215" s="5" t="s">
        <v>3564</v>
      </c>
      <c r="E1215" s="5">
        <v>10136501</v>
      </c>
      <c r="F1215" s="34" t="s">
        <v>3552</v>
      </c>
      <c r="G1215" s="26">
        <v>307.54000000000002</v>
      </c>
      <c r="H1215" s="1" t="s">
        <v>774</v>
      </c>
      <c r="I1215" s="9">
        <v>1</v>
      </c>
      <c r="J1215" s="36">
        <v>0.1</v>
      </c>
    </row>
    <row r="1216" spans="2:10" s="44" customFormat="1" x14ac:dyDescent="0.35">
      <c r="B1216" s="9">
        <v>1585608</v>
      </c>
      <c r="C1216" s="5" t="s">
        <v>708</v>
      </c>
      <c r="D1216" s="5" t="s">
        <v>3564</v>
      </c>
      <c r="E1216" s="5">
        <v>11049577</v>
      </c>
      <c r="F1216" s="34" t="s">
        <v>3552</v>
      </c>
      <c r="G1216" s="26">
        <v>139.33000000000001</v>
      </c>
      <c r="H1216" s="1" t="s">
        <v>774</v>
      </c>
      <c r="I1216" s="9">
        <v>1</v>
      </c>
      <c r="J1216" s="36">
        <v>0.1</v>
      </c>
    </row>
    <row r="1217" spans="2:10" s="44" customFormat="1" x14ac:dyDescent="0.35">
      <c r="B1217" s="9">
        <v>1585643</v>
      </c>
      <c r="C1217" s="5" t="s">
        <v>3483</v>
      </c>
      <c r="D1217" s="1" t="s">
        <v>115</v>
      </c>
      <c r="E1217" s="5" t="s">
        <v>3484</v>
      </c>
      <c r="F1217" s="34" t="s">
        <v>3574</v>
      </c>
      <c r="G1217" s="26">
        <v>240</v>
      </c>
      <c r="H1217" s="1" t="s">
        <v>774</v>
      </c>
      <c r="I1217" s="9">
        <v>1</v>
      </c>
      <c r="J1217" s="36">
        <v>0.06</v>
      </c>
    </row>
    <row r="1218" spans="2:10" s="44" customFormat="1" x14ac:dyDescent="0.35">
      <c r="B1218" s="9">
        <v>1585757</v>
      </c>
      <c r="C1218" s="5" t="s">
        <v>3426</v>
      </c>
      <c r="D1218" s="1" t="s">
        <v>115</v>
      </c>
      <c r="E1218" s="5" t="s">
        <v>3427</v>
      </c>
      <c r="F1218" s="34" t="s">
        <v>3574</v>
      </c>
      <c r="G1218" s="26">
        <v>320</v>
      </c>
      <c r="H1218" s="1" t="s">
        <v>774</v>
      </c>
      <c r="I1218" s="9">
        <v>1</v>
      </c>
      <c r="J1218" s="36">
        <v>0.06</v>
      </c>
    </row>
    <row r="1219" spans="2:10" s="44" customFormat="1" x14ac:dyDescent="0.35">
      <c r="B1219" s="9">
        <v>1585876</v>
      </c>
      <c r="C1219" s="5" t="s">
        <v>3272</v>
      </c>
      <c r="D1219" s="5" t="s">
        <v>3565</v>
      </c>
      <c r="E1219" s="5" t="s">
        <v>3273</v>
      </c>
      <c r="F1219" s="34" t="s">
        <v>3574</v>
      </c>
      <c r="G1219" s="26">
        <v>1.3</v>
      </c>
      <c r="H1219" s="1" t="s">
        <v>774</v>
      </c>
      <c r="I1219" s="9">
        <v>1000</v>
      </c>
      <c r="J1219" s="36">
        <v>0.06</v>
      </c>
    </row>
    <row r="1220" spans="2:10" s="44" customFormat="1" x14ac:dyDescent="0.35">
      <c r="B1220" s="9">
        <v>1585891</v>
      </c>
      <c r="C1220" s="5" t="s">
        <v>2798</v>
      </c>
      <c r="D1220" s="5" t="s">
        <v>3565</v>
      </c>
      <c r="E1220" s="5" t="s">
        <v>2799</v>
      </c>
      <c r="F1220" s="34" t="s">
        <v>3574</v>
      </c>
      <c r="G1220" s="26">
        <v>0.22700000000000004</v>
      </c>
      <c r="H1220" s="1" t="s">
        <v>774</v>
      </c>
      <c r="I1220" s="9">
        <v>200</v>
      </c>
      <c r="J1220" s="36">
        <v>0.06</v>
      </c>
    </row>
    <row r="1221" spans="2:10" s="44" customFormat="1" x14ac:dyDescent="0.35">
      <c r="B1221" s="9">
        <v>1585895</v>
      </c>
      <c r="C1221" s="5" t="s">
        <v>2271</v>
      </c>
      <c r="D1221" s="5" t="s">
        <v>3565</v>
      </c>
      <c r="E1221" s="5" t="s">
        <v>2272</v>
      </c>
      <c r="F1221" s="34" t="s">
        <v>3574</v>
      </c>
      <c r="G1221" s="26">
        <v>0.26300000000000001</v>
      </c>
      <c r="H1221" s="1" t="s">
        <v>774</v>
      </c>
      <c r="I1221" s="9">
        <v>100</v>
      </c>
      <c r="J1221" s="36">
        <v>0.06</v>
      </c>
    </row>
    <row r="1222" spans="2:10" s="44" customFormat="1" x14ac:dyDescent="0.35">
      <c r="B1222" s="9">
        <v>1585898</v>
      </c>
      <c r="C1222" s="5" t="s">
        <v>3526</v>
      </c>
      <c r="D1222" s="5" t="s">
        <v>3567</v>
      </c>
      <c r="E1222" s="5" t="s">
        <v>649</v>
      </c>
      <c r="F1222" s="35" t="s">
        <v>3569</v>
      </c>
      <c r="G1222" s="26">
        <v>37.031914893617028</v>
      </c>
      <c r="H1222" s="1" t="s">
        <v>774</v>
      </c>
      <c r="I1222" s="9">
        <v>10</v>
      </c>
      <c r="J1222" s="36">
        <v>0.1</v>
      </c>
    </row>
    <row r="1223" spans="2:10" s="44" customFormat="1" x14ac:dyDescent="0.35">
      <c r="B1223" s="9">
        <v>1585908</v>
      </c>
      <c r="C1223" s="5" t="s">
        <v>1512</v>
      </c>
      <c r="D1223" s="5" t="s">
        <v>3565</v>
      </c>
      <c r="E1223" s="5" t="s">
        <v>1513</v>
      </c>
      <c r="F1223" s="34" t="s">
        <v>3574</v>
      </c>
      <c r="G1223" s="26">
        <v>0.629</v>
      </c>
      <c r="H1223" s="1" t="s">
        <v>774</v>
      </c>
      <c r="I1223" s="9">
        <v>100</v>
      </c>
      <c r="J1223" s="36">
        <v>0.06</v>
      </c>
    </row>
    <row r="1224" spans="2:10" s="44" customFormat="1" x14ac:dyDescent="0.35">
      <c r="B1224" s="9">
        <v>1585909</v>
      </c>
      <c r="C1224" s="5" t="s">
        <v>1514</v>
      </c>
      <c r="D1224" s="5" t="s">
        <v>3565</v>
      </c>
      <c r="E1224" s="5" t="s">
        <v>1515</v>
      </c>
      <c r="F1224" s="34" t="s">
        <v>3574</v>
      </c>
      <c r="G1224" s="26">
        <v>0.64899999999999991</v>
      </c>
      <c r="H1224" s="1" t="s">
        <v>774</v>
      </c>
      <c r="I1224" s="9">
        <v>100</v>
      </c>
      <c r="J1224" s="36">
        <v>0.06</v>
      </c>
    </row>
    <row r="1225" spans="2:10" s="44" customFormat="1" x14ac:dyDescent="0.35">
      <c r="B1225" s="9">
        <v>1585916</v>
      </c>
      <c r="C1225" s="5" t="s">
        <v>3275</v>
      </c>
      <c r="D1225" s="5" t="s">
        <v>3565</v>
      </c>
      <c r="E1225" s="5" t="s">
        <v>3276</v>
      </c>
      <c r="F1225" s="34" t="s">
        <v>3574</v>
      </c>
      <c r="G1225" s="26">
        <v>2.4500000000000002</v>
      </c>
      <c r="H1225" s="1" t="s">
        <v>774</v>
      </c>
      <c r="I1225" s="9">
        <v>100</v>
      </c>
      <c r="J1225" s="36">
        <v>0.06</v>
      </c>
    </row>
    <row r="1226" spans="2:10" s="44" customFormat="1" x14ac:dyDescent="0.35">
      <c r="B1226" s="9">
        <v>1585951</v>
      </c>
      <c r="C1226" s="5" t="s">
        <v>3317</v>
      </c>
      <c r="D1226" s="5" t="s">
        <v>3565</v>
      </c>
      <c r="E1226" s="5" t="s">
        <v>3318</v>
      </c>
      <c r="F1226" s="34" t="s">
        <v>3574</v>
      </c>
      <c r="G1226" s="26">
        <v>2.5299999999999998</v>
      </c>
      <c r="H1226" s="1" t="s">
        <v>774</v>
      </c>
      <c r="I1226" s="9">
        <v>100</v>
      </c>
      <c r="J1226" s="36">
        <v>0.06</v>
      </c>
    </row>
    <row r="1227" spans="2:10" s="44" customFormat="1" x14ac:dyDescent="0.35">
      <c r="B1227" s="9">
        <v>1585953</v>
      </c>
      <c r="C1227" s="5" t="s">
        <v>2157</v>
      </c>
      <c r="D1227" s="5" t="s">
        <v>3565</v>
      </c>
      <c r="E1227" s="5" t="s">
        <v>2158</v>
      </c>
      <c r="F1227" s="34" t="s">
        <v>3574</v>
      </c>
      <c r="G1227" s="26">
        <v>0.158</v>
      </c>
      <c r="H1227" s="1" t="s">
        <v>774</v>
      </c>
      <c r="I1227" s="9">
        <v>100</v>
      </c>
      <c r="J1227" s="36">
        <v>0.06</v>
      </c>
    </row>
    <row r="1228" spans="2:10" s="44" customFormat="1" x14ac:dyDescent="0.35">
      <c r="B1228" s="9">
        <v>1585960</v>
      </c>
      <c r="C1228" s="5" t="s">
        <v>919</v>
      </c>
      <c r="D1228" s="5" t="s">
        <v>3565</v>
      </c>
      <c r="E1228" s="5" t="s">
        <v>920</v>
      </c>
      <c r="F1228" s="34" t="s">
        <v>3574</v>
      </c>
      <c r="G1228" s="26">
        <v>0.379</v>
      </c>
      <c r="H1228" s="1" t="s">
        <v>774</v>
      </c>
      <c r="I1228" s="9">
        <v>200</v>
      </c>
      <c r="J1228" s="36">
        <v>0.06</v>
      </c>
    </row>
    <row r="1229" spans="2:10" s="44" customFormat="1" x14ac:dyDescent="0.35">
      <c r="B1229" s="9">
        <v>1586051</v>
      </c>
      <c r="C1229" s="5" t="s">
        <v>1484</v>
      </c>
      <c r="D1229" s="5" t="s">
        <v>3565</v>
      </c>
      <c r="E1229" s="5" t="s">
        <v>909</v>
      </c>
      <c r="F1229" s="34" t="s">
        <v>3574</v>
      </c>
      <c r="G1229" s="26">
        <v>0.70799999999999996</v>
      </c>
      <c r="H1229" s="1" t="s">
        <v>774</v>
      </c>
      <c r="I1229" s="9">
        <v>100</v>
      </c>
      <c r="J1229" s="36">
        <v>0.06</v>
      </c>
    </row>
    <row r="1230" spans="2:10" s="44" customFormat="1" x14ac:dyDescent="0.35">
      <c r="B1230" s="9">
        <v>1586111</v>
      </c>
      <c r="C1230" s="5" t="s">
        <v>1615</v>
      </c>
      <c r="D1230" s="5" t="s">
        <v>3565</v>
      </c>
      <c r="E1230" s="5" t="s">
        <v>1616</v>
      </c>
      <c r="F1230" s="34" t="s">
        <v>3574</v>
      </c>
      <c r="G1230" s="26">
        <v>5.8260000000000005</v>
      </c>
      <c r="H1230" s="1" t="s">
        <v>774</v>
      </c>
      <c r="I1230" s="9">
        <v>100</v>
      </c>
      <c r="J1230" s="36">
        <v>0.06</v>
      </c>
    </row>
    <row r="1231" spans="2:10" s="44" customFormat="1" x14ac:dyDescent="0.35">
      <c r="B1231" s="9">
        <v>1586135</v>
      </c>
      <c r="C1231" s="5" t="s">
        <v>1857</v>
      </c>
      <c r="D1231" s="5" t="s">
        <v>3565</v>
      </c>
      <c r="E1231" s="5" t="s">
        <v>1858</v>
      </c>
      <c r="F1231" s="34" t="s">
        <v>3574</v>
      </c>
      <c r="G1231" s="26">
        <v>3.36</v>
      </c>
      <c r="H1231" s="1" t="s">
        <v>774</v>
      </c>
      <c r="I1231" s="9">
        <v>100</v>
      </c>
      <c r="J1231" s="36">
        <v>0.06</v>
      </c>
    </row>
    <row r="1232" spans="2:10" s="44" customFormat="1" x14ac:dyDescent="0.35">
      <c r="B1232" s="9">
        <v>1586136</v>
      </c>
      <c r="C1232" s="5" t="s">
        <v>1859</v>
      </c>
      <c r="D1232" s="5" t="s">
        <v>3565</v>
      </c>
      <c r="E1232" s="5" t="s">
        <v>1860</v>
      </c>
      <c r="F1232" s="34" t="s">
        <v>3574</v>
      </c>
      <c r="G1232" s="26">
        <v>0.71400000000000008</v>
      </c>
      <c r="H1232" s="1" t="s">
        <v>774</v>
      </c>
      <c r="I1232" s="9">
        <v>100</v>
      </c>
      <c r="J1232" s="36">
        <v>0.06</v>
      </c>
    </row>
    <row r="1233" spans="2:10" s="44" customFormat="1" x14ac:dyDescent="0.35">
      <c r="B1233" s="9">
        <v>1586155</v>
      </c>
      <c r="C1233" s="5" t="s">
        <v>1905</v>
      </c>
      <c r="D1233" s="5" t="s">
        <v>3565</v>
      </c>
      <c r="E1233" s="5" t="s">
        <v>1906</v>
      </c>
      <c r="F1233" s="34" t="s">
        <v>3574</v>
      </c>
      <c r="G1233" s="26">
        <v>0.41</v>
      </c>
      <c r="H1233" s="1" t="s">
        <v>774</v>
      </c>
      <c r="I1233" s="9">
        <v>200</v>
      </c>
      <c r="J1233" s="36">
        <v>0.06</v>
      </c>
    </row>
    <row r="1234" spans="2:10" s="44" customFormat="1" x14ac:dyDescent="0.35">
      <c r="B1234" s="9">
        <v>1586156</v>
      </c>
      <c r="C1234" s="5" t="s">
        <v>2223</v>
      </c>
      <c r="D1234" s="5" t="s">
        <v>3565</v>
      </c>
      <c r="E1234" s="5" t="s">
        <v>2224</v>
      </c>
      <c r="F1234" s="34" t="s">
        <v>3574</v>
      </c>
      <c r="G1234" s="26">
        <v>2.5310000000000001</v>
      </c>
      <c r="H1234" s="1" t="s">
        <v>774</v>
      </c>
      <c r="I1234" s="9">
        <v>5000</v>
      </c>
      <c r="J1234" s="36">
        <v>0.06</v>
      </c>
    </row>
    <row r="1235" spans="2:10" s="44" customFormat="1" x14ac:dyDescent="0.35">
      <c r="B1235" s="9">
        <v>1586157</v>
      </c>
      <c r="C1235" s="5" t="s">
        <v>2225</v>
      </c>
      <c r="D1235" s="5" t="s">
        <v>3565</v>
      </c>
      <c r="E1235" s="5" t="s">
        <v>2224</v>
      </c>
      <c r="F1235" s="34" t="s">
        <v>3574</v>
      </c>
      <c r="G1235" s="26">
        <v>1.155</v>
      </c>
      <c r="H1235" s="1" t="s">
        <v>774</v>
      </c>
      <c r="I1235" s="9">
        <v>1000</v>
      </c>
      <c r="J1235" s="36">
        <v>0.06</v>
      </c>
    </row>
    <row r="1236" spans="2:10" s="44" customFormat="1" x14ac:dyDescent="0.35">
      <c r="B1236" s="9">
        <v>1586164</v>
      </c>
      <c r="C1236" s="5" t="s">
        <v>1886</v>
      </c>
      <c r="D1236" s="5" t="s">
        <v>3565</v>
      </c>
      <c r="E1236" s="5" t="s">
        <v>38</v>
      </c>
      <c r="F1236" s="34" t="s">
        <v>3574</v>
      </c>
      <c r="G1236" s="26">
        <v>0.71400000000000008</v>
      </c>
      <c r="H1236" s="1" t="s">
        <v>774</v>
      </c>
      <c r="I1236" s="9">
        <v>100</v>
      </c>
      <c r="J1236" s="36">
        <v>0.06</v>
      </c>
    </row>
    <row r="1237" spans="2:10" s="44" customFormat="1" x14ac:dyDescent="0.35">
      <c r="B1237" s="9">
        <v>1586182</v>
      </c>
      <c r="C1237" s="5" t="s">
        <v>3350</v>
      </c>
      <c r="D1237" s="5" t="s">
        <v>3565</v>
      </c>
      <c r="E1237" s="5" t="s">
        <v>3351</v>
      </c>
      <c r="F1237" s="34" t="s">
        <v>3574</v>
      </c>
      <c r="G1237" s="26">
        <v>2.2999999999999998</v>
      </c>
      <c r="H1237" s="1" t="s">
        <v>774</v>
      </c>
      <c r="I1237" s="9">
        <v>100</v>
      </c>
      <c r="J1237" s="36">
        <v>0.06</v>
      </c>
    </row>
    <row r="1238" spans="2:10" s="44" customFormat="1" x14ac:dyDescent="0.35">
      <c r="B1238" s="9">
        <v>1586183</v>
      </c>
      <c r="C1238" s="5" t="s">
        <v>1135</v>
      </c>
      <c r="D1238" s="5" t="s">
        <v>3565</v>
      </c>
      <c r="E1238" s="5" t="s">
        <v>1136</v>
      </c>
      <c r="F1238" s="34" t="s">
        <v>3574</v>
      </c>
      <c r="G1238" s="26">
        <v>0.11599999999999999</v>
      </c>
      <c r="H1238" s="1" t="s">
        <v>774</v>
      </c>
      <c r="I1238" s="9">
        <v>100</v>
      </c>
      <c r="J1238" s="36">
        <v>0.06</v>
      </c>
    </row>
    <row r="1239" spans="2:10" s="44" customFormat="1" x14ac:dyDescent="0.35">
      <c r="B1239" s="9">
        <v>1586184</v>
      </c>
      <c r="C1239" s="5" t="s">
        <v>2226</v>
      </c>
      <c r="D1239" s="5" t="s">
        <v>3565</v>
      </c>
      <c r="E1239" s="5" t="s">
        <v>2227</v>
      </c>
      <c r="F1239" s="34" t="s">
        <v>3574</v>
      </c>
      <c r="G1239" s="26">
        <v>1.208</v>
      </c>
      <c r="H1239" s="1" t="s">
        <v>774</v>
      </c>
      <c r="I1239" s="9">
        <v>4000</v>
      </c>
      <c r="J1239" s="36">
        <v>0.06</v>
      </c>
    </row>
    <row r="1240" spans="2:10" s="44" customFormat="1" x14ac:dyDescent="0.35">
      <c r="B1240" s="9">
        <v>1586185</v>
      </c>
      <c r="C1240" s="5" t="s">
        <v>1888</v>
      </c>
      <c r="D1240" s="5" t="s">
        <v>3565</v>
      </c>
      <c r="E1240" s="5" t="s">
        <v>1889</v>
      </c>
      <c r="F1240" s="34" t="s">
        <v>3574</v>
      </c>
      <c r="G1240" s="26">
        <v>0.47300000000000003</v>
      </c>
      <c r="H1240" s="1" t="s">
        <v>774</v>
      </c>
      <c r="I1240" s="9">
        <v>100</v>
      </c>
      <c r="J1240" s="36">
        <v>0.06</v>
      </c>
    </row>
    <row r="1241" spans="2:10" s="44" customFormat="1" x14ac:dyDescent="0.35">
      <c r="B1241" s="9">
        <v>1586193</v>
      </c>
      <c r="C1241" s="5" t="s">
        <v>2951</v>
      </c>
      <c r="D1241" s="5" t="s">
        <v>3565</v>
      </c>
      <c r="E1241" s="5" t="s">
        <v>2952</v>
      </c>
      <c r="F1241" s="34" t="s">
        <v>3574</v>
      </c>
      <c r="G1241" s="26">
        <v>0.82400000000000007</v>
      </c>
      <c r="H1241" s="1" t="s">
        <v>774</v>
      </c>
      <c r="I1241" s="9">
        <v>100</v>
      </c>
      <c r="J1241" s="36">
        <v>0.06</v>
      </c>
    </row>
    <row r="1242" spans="2:10" s="44" customFormat="1" x14ac:dyDescent="0.35">
      <c r="B1242" s="9">
        <v>1586218</v>
      </c>
      <c r="C1242" s="5" t="s">
        <v>2456</v>
      </c>
      <c r="D1242" s="5" t="s">
        <v>3565</v>
      </c>
      <c r="E1242" s="5" t="s">
        <v>2457</v>
      </c>
      <c r="F1242" s="34" t="s">
        <v>3574</v>
      </c>
      <c r="G1242" s="26">
        <v>0.21</v>
      </c>
      <c r="H1242" s="1" t="s">
        <v>774</v>
      </c>
      <c r="I1242" s="9">
        <v>100</v>
      </c>
      <c r="J1242" s="36">
        <v>0.06</v>
      </c>
    </row>
    <row r="1243" spans="2:10" s="44" customFormat="1" x14ac:dyDescent="0.35">
      <c r="B1243" s="9">
        <v>1586255</v>
      </c>
      <c r="C1243" s="5" t="s">
        <v>2032</v>
      </c>
      <c r="D1243" s="5" t="s">
        <v>3565</v>
      </c>
      <c r="E1243" s="5" t="s">
        <v>2044</v>
      </c>
      <c r="F1243" s="34" t="s">
        <v>3574</v>
      </c>
      <c r="G1243" s="26">
        <v>0.67200000000000004</v>
      </c>
      <c r="H1243" s="1" t="s">
        <v>774</v>
      </c>
      <c r="I1243" s="9">
        <v>100</v>
      </c>
      <c r="J1243" s="36">
        <v>0.06</v>
      </c>
    </row>
    <row r="1244" spans="2:10" s="44" customFormat="1" x14ac:dyDescent="0.35">
      <c r="B1244" s="9">
        <v>1586258</v>
      </c>
      <c r="C1244" s="5" t="s">
        <v>2970</v>
      </c>
      <c r="D1244" s="5" t="s">
        <v>3565</v>
      </c>
      <c r="E1244" s="5" t="s">
        <v>2971</v>
      </c>
      <c r="F1244" s="34" t="s">
        <v>3574</v>
      </c>
      <c r="G1244" s="26">
        <v>0.84499999999999997</v>
      </c>
      <c r="H1244" s="1" t="s">
        <v>774</v>
      </c>
      <c r="I1244" s="9">
        <v>1000</v>
      </c>
      <c r="J1244" s="36">
        <v>0.06</v>
      </c>
    </row>
    <row r="1245" spans="2:10" s="44" customFormat="1" x14ac:dyDescent="0.35">
      <c r="B1245" s="9">
        <v>1586260</v>
      </c>
      <c r="C1245" s="5" t="s">
        <v>2903</v>
      </c>
      <c r="D1245" s="5" t="s">
        <v>3565</v>
      </c>
      <c r="E1245" s="5" t="s">
        <v>2904</v>
      </c>
      <c r="F1245" s="34" t="s">
        <v>3574</v>
      </c>
      <c r="G1245" s="26">
        <v>0.82400000000000007</v>
      </c>
      <c r="H1245" s="1" t="s">
        <v>774</v>
      </c>
      <c r="I1245" s="9">
        <v>100</v>
      </c>
      <c r="J1245" s="36">
        <v>0.06</v>
      </c>
    </row>
    <row r="1246" spans="2:10" s="44" customFormat="1" x14ac:dyDescent="0.35">
      <c r="B1246" s="9">
        <v>1586293</v>
      </c>
      <c r="C1246" s="5" t="s">
        <v>3527</v>
      </c>
      <c r="D1246" s="5" t="s">
        <v>3567</v>
      </c>
      <c r="E1246" s="5" t="s">
        <v>3528</v>
      </c>
      <c r="F1246" s="35" t="s">
        <v>3569</v>
      </c>
      <c r="G1246" s="26">
        <v>24.478723404255323</v>
      </c>
      <c r="H1246" s="1" t="s">
        <v>774</v>
      </c>
      <c r="I1246" s="9">
        <v>10</v>
      </c>
      <c r="J1246" s="36">
        <v>0.1</v>
      </c>
    </row>
    <row r="1247" spans="2:10" s="44" customFormat="1" x14ac:dyDescent="0.35">
      <c r="B1247" s="9">
        <v>1586295</v>
      </c>
      <c r="C1247" s="5" t="s">
        <v>3529</v>
      </c>
      <c r="D1247" s="5" t="s">
        <v>3567</v>
      </c>
      <c r="E1247" s="5" t="s">
        <v>3530</v>
      </c>
      <c r="F1247" s="35" t="s">
        <v>3569</v>
      </c>
      <c r="G1247" s="26">
        <v>27.680851063829788</v>
      </c>
      <c r="H1247" s="1" t="s">
        <v>774</v>
      </c>
      <c r="I1247" s="9">
        <v>10</v>
      </c>
      <c r="J1247" s="36">
        <v>0.1</v>
      </c>
    </row>
    <row r="1248" spans="2:10" s="44" customFormat="1" x14ac:dyDescent="0.35">
      <c r="B1248" s="9">
        <v>1586298</v>
      </c>
      <c r="C1248" s="5" t="s">
        <v>3561</v>
      </c>
      <c r="D1248" s="5" t="s">
        <v>3564</v>
      </c>
      <c r="E1248" s="5">
        <v>11119422</v>
      </c>
      <c r="F1248" s="34" t="s">
        <v>3552</v>
      </c>
      <c r="G1248" s="26">
        <v>75.91</v>
      </c>
      <c r="H1248" s="1" t="s">
        <v>774</v>
      </c>
      <c r="I1248" s="9">
        <v>1</v>
      </c>
      <c r="J1248" s="36">
        <v>0.1</v>
      </c>
    </row>
    <row r="1249" spans="2:10" s="44" customFormat="1" x14ac:dyDescent="0.35">
      <c r="B1249" s="9">
        <v>1586299</v>
      </c>
      <c r="C1249" s="5" t="s">
        <v>3531</v>
      </c>
      <c r="D1249" s="5" t="s">
        <v>3567</v>
      </c>
      <c r="E1249" s="5" t="s">
        <v>3532</v>
      </c>
      <c r="F1249" s="35" t="s">
        <v>3569</v>
      </c>
      <c r="G1249" s="26">
        <v>18.478723404255323</v>
      </c>
      <c r="H1249" s="1" t="s">
        <v>774</v>
      </c>
      <c r="I1249" s="9">
        <v>10</v>
      </c>
      <c r="J1249" s="36">
        <v>0.1</v>
      </c>
    </row>
    <row r="1250" spans="2:10" s="44" customFormat="1" x14ac:dyDescent="0.35">
      <c r="B1250" s="9">
        <v>1586328</v>
      </c>
      <c r="C1250" s="5" t="s">
        <v>661</v>
      </c>
      <c r="D1250" s="5" t="s">
        <v>3565</v>
      </c>
      <c r="E1250" s="5" t="s">
        <v>2645</v>
      </c>
      <c r="F1250" s="34" t="s">
        <v>3574</v>
      </c>
      <c r="G1250" s="26">
        <v>2.266</v>
      </c>
      <c r="H1250" s="1" t="s">
        <v>774</v>
      </c>
      <c r="I1250" s="9">
        <v>100</v>
      </c>
      <c r="J1250" s="36">
        <v>0.06</v>
      </c>
    </row>
    <row r="1251" spans="2:10" s="44" customFormat="1" x14ac:dyDescent="0.35">
      <c r="B1251" s="9">
        <v>1586395</v>
      </c>
      <c r="C1251" s="5" t="s">
        <v>2008</v>
      </c>
      <c r="D1251" s="5" t="s">
        <v>3565</v>
      </c>
      <c r="E1251" s="5" t="s">
        <v>2009</v>
      </c>
      <c r="F1251" s="34" t="s">
        <v>3574</v>
      </c>
      <c r="G1251" s="26">
        <v>1.365</v>
      </c>
      <c r="H1251" s="1" t="s">
        <v>774</v>
      </c>
      <c r="I1251" s="9">
        <v>100</v>
      </c>
      <c r="J1251" s="36">
        <v>0.06</v>
      </c>
    </row>
    <row r="1252" spans="2:10" s="44" customFormat="1" x14ac:dyDescent="0.35">
      <c r="B1252" s="9">
        <v>1586423</v>
      </c>
      <c r="C1252" s="5" t="s">
        <v>2149</v>
      </c>
      <c r="D1252" s="5" t="s">
        <v>3565</v>
      </c>
      <c r="E1252" s="5" t="s">
        <v>2150</v>
      </c>
      <c r="F1252" s="34" t="s">
        <v>3574</v>
      </c>
      <c r="G1252" s="26">
        <v>49.35</v>
      </c>
      <c r="H1252" s="1" t="s">
        <v>774</v>
      </c>
      <c r="I1252" s="9">
        <v>100</v>
      </c>
      <c r="J1252" s="36">
        <v>0.06</v>
      </c>
    </row>
    <row r="1253" spans="2:10" s="44" customFormat="1" x14ac:dyDescent="0.35">
      <c r="B1253" s="9">
        <v>1586428</v>
      </c>
      <c r="C1253" s="5" t="s">
        <v>2059</v>
      </c>
      <c r="D1253" s="5" t="s">
        <v>3565</v>
      </c>
      <c r="E1253" s="5" t="s">
        <v>2060</v>
      </c>
      <c r="F1253" s="34" t="s">
        <v>3574</v>
      </c>
      <c r="G1253" s="26">
        <v>0.158</v>
      </c>
      <c r="H1253" s="1" t="s">
        <v>774</v>
      </c>
      <c r="I1253" s="9">
        <v>100</v>
      </c>
      <c r="J1253" s="36">
        <v>0.06</v>
      </c>
    </row>
    <row r="1254" spans="2:10" s="44" customFormat="1" x14ac:dyDescent="0.35">
      <c r="B1254" s="9">
        <v>1586429</v>
      </c>
      <c r="C1254" s="5" t="s">
        <v>2061</v>
      </c>
      <c r="D1254" s="5" t="s">
        <v>3565</v>
      </c>
      <c r="E1254" s="5" t="s">
        <v>2062</v>
      </c>
      <c r="F1254" s="34" t="s">
        <v>3574</v>
      </c>
      <c r="G1254" s="26">
        <v>0.126</v>
      </c>
      <c r="H1254" s="1" t="s">
        <v>774</v>
      </c>
      <c r="I1254" s="9">
        <v>100</v>
      </c>
      <c r="J1254" s="36">
        <v>0.06</v>
      </c>
    </row>
    <row r="1255" spans="2:10" s="44" customFormat="1" x14ac:dyDescent="0.35">
      <c r="B1255" s="9">
        <v>1586430</v>
      </c>
      <c r="C1255" s="5" t="s">
        <v>2098</v>
      </c>
      <c r="D1255" s="5" t="s">
        <v>3565</v>
      </c>
      <c r="E1255" s="5" t="s">
        <v>2125</v>
      </c>
      <c r="F1255" s="34" t="s">
        <v>3574</v>
      </c>
      <c r="G1255" s="26">
        <v>0.26300000000000001</v>
      </c>
      <c r="H1255" s="1" t="s">
        <v>774</v>
      </c>
      <c r="I1255" s="9">
        <v>100</v>
      </c>
      <c r="J1255" s="36">
        <v>0.06</v>
      </c>
    </row>
    <row r="1256" spans="2:10" s="44" customFormat="1" x14ac:dyDescent="0.35">
      <c r="B1256" s="9">
        <v>1586437</v>
      </c>
      <c r="C1256" s="5" t="s">
        <v>2222</v>
      </c>
      <c r="D1256" s="5" t="s">
        <v>3565</v>
      </c>
      <c r="E1256" s="5" t="s">
        <v>2219</v>
      </c>
      <c r="F1256" s="34" t="s">
        <v>3574</v>
      </c>
      <c r="G1256" s="26">
        <v>0.26300000000000001</v>
      </c>
      <c r="H1256" s="1" t="s">
        <v>774</v>
      </c>
      <c r="I1256" s="9">
        <v>2000</v>
      </c>
      <c r="J1256" s="36">
        <v>0.06</v>
      </c>
    </row>
    <row r="1257" spans="2:10" s="44" customFormat="1" x14ac:dyDescent="0.35">
      <c r="B1257" s="9">
        <v>1586439</v>
      </c>
      <c r="C1257" s="5" t="s">
        <v>2218</v>
      </c>
      <c r="D1257" s="5" t="s">
        <v>3565</v>
      </c>
      <c r="E1257" s="5" t="s">
        <v>2219</v>
      </c>
      <c r="F1257" s="34" t="s">
        <v>3574</v>
      </c>
      <c r="G1257" s="26">
        <v>0.18899999999999997</v>
      </c>
      <c r="H1257" s="1" t="s">
        <v>774</v>
      </c>
      <c r="I1257" s="9">
        <v>5000</v>
      </c>
      <c r="J1257" s="36">
        <v>0.06</v>
      </c>
    </row>
    <row r="1258" spans="2:10" s="44" customFormat="1" x14ac:dyDescent="0.35">
      <c r="B1258" s="9">
        <v>1586515</v>
      </c>
      <c r="C1258" s="5" t="s">
        <v>2025</v>
      </c>
      <c r="D1258" s="5" t="s">
        <v>3565</v>
      </c>
      <c r="E1258" s="5" t="s">
        <v>2118</v>
      </c>
      <c r="F1258" s="34" t="s">
        <v>3574</v>
      </c>
      <c r="G1258" s="26">
        <v>2.3359999999999999</v>
      </c>
      <c r="H1258" s="1" t="s">
        <v>774</v>
      </c>
      <c r="I1258" s="9">
        <v>100</v>
      </c>
      <c r="J1258" s="36">
        <v>0.06</v>
      </c>
    </row>
    <row r="1259" spans="2:10" s="44" customFormat="1" x14ac:dyDescent="0.35">
      <c r="B1259" s="9">
        <v>1586516</v>
      </c>
      <c r="C1259" s="5" t="s">
        <v>2025</v>
      </c>
      <c r="D1259" s="5" t="s">
        <v>3565</v>
      </c>
      <c r="E1259" s="5" t="s">
        <v>2119</v>
      </c>
      <c r="F1259" s="34" t="s">
        <v>3574</v>
      </c>
      <c r="G1259" s="26">
        <v>3.5010000000000003</v>
      </c>
      <c r="H1259" s="1" t="s">
        <v>774</v>
      </c>
      <c r="I1259" s="9">
        <v>100</v>
      </c>
      <c r="J1259" s="36">
        <v>0.06</v>
      </c>
    </row>
    <row r="1260" spans="2:10" s="44" customFormat="1" x14ac:dyDescent="0.35">
      <c r="B1260" s="9">
        <v>1586517</v>
      </c>
      <c r="C1260" s="5" t="s">
        <v>2073</v>
      </c>
      <c r="D1260" s="5" t="s">
        <v>3565</v>
      </c>
      <c r="E1260" s="5" t="s">
        <v>2074</v>
      </c>
      <c r="F1260" s="34" t="s">
        <v>3574</v>
      </c>
      <c r="G1260" s="26">
        <v>1.05</v>
      </c>
      <c r="H1260" s="1" t="s">
        <v>774</v>
      </c>
      <c r="I1260" s="9">
        <v>100</v>
      </c>
      <c r="J1260" s="36">
        <v>0.06</v>
      </c>
    </row>
    <row r="1261" spans="2:10" s="44" customFormat="1" x14ac:dyDescent="0.35">
      <c r="B1261" s="9">
        <v>1586528</v>
      </c>
      <c r="C1261" s="5" t="s">
        <v>3169</v>
      </c>
      <c r="D1261" s="5" t="s">
        <v>3565</v>
      </c>
      <c r="E1261" s="5" t="s">
        <v>3170</v>
      </c>
      <c r="F1261" s="34" t="s">
        <v>3574</v>
      </c>
      <c r="G1261" s="26">
        <v>0.17</v>
      </c>
      <c r="H1261" s="1" t="s">
        <v>774</v>
      </c>
      <c r="I1261" s="9">
        <v>200</v>
      </c>
      <c r="J1261" s="36">
        <v>0.06</v>
      </c>
    </row>
    <row r="1262" spans="2:10" s="44" customFormat="1" x14ac:dyDescent="0.35">
      <c r="B1262" s="9">
        <v>1586532</v>
      </c>
      <c r="C1262" s="5" t="s">
        <v>1917</v>
      </c>
      <c r="D1262" s="5" t="s">
        <v>3565</v>
      </c>
      <c r="E1262" s="5" t="s">
        <v>2072</v>
      </c>
      <c r="F1262" s="34" t="s">
        <v>3574</v>
      </c>
      <c r="G1262" s="26">
        <v>0.78799999999999992</v>
      </c>
      <c r="H1262" s="1" t="s">
        <v>774</v>
      </c>
      <c r="I1262" s="9">
        <v>100</v>
      </c>
      <c r="J1262" s="36">
        <v>0.06</v>
      </c>
    </row>
    <row r="1263" spans="2:10" s="44" customFormat="1" x14ac:dyDescent="0.35">
      <c r="B1263" s="9">
        <v>1586553</v>
      </c>
      <c r="C1263" s="5" t="s">
        <v>2426</v>
      </c>
      <c r="D1263" s="5" t="s">
        <v>3565</v>
      </c>
      <c r="E1263" s="5" t="s">
        <v>2427</v>
      </c>
      <c r="F1263" s="34" t="s">
        <v>3574</v>
      </c>
      <c r="G1263" s="26">
        <v>262.5</v>
      </c>
      <c r="H1263" s="1" t="s">
        <v>774</v>
      </c>
      <c r="I1263" s="9">
        <v>6</v>
      </c>
      <c r="J1263" s="36">
        <v>0.06</v>
      </c>
    </row>
    <row r="1264" spans="2:10" s="44" customFormat="1" x14ac:dyDescent="0.35">
      <c r="B1264" s="9">
        <v>1586571</v>
      </c>
      <c r="C1264" s="5" t="s">
        <v>2032</v>
      </c>
      <c r="D1264" s="5" t="s">
        <v>3565</v>
      </c>
      <c r="E1264" s="5" t="s">
        <v>2033</v>
      </c>
      <c r="F1264" s="34" t="s">
        <v>3574</v>
      </c>
      <c r="G1264" s="26">
        <v>0.377</v>
      </c>
      <c r="H1264" s="1" t="s">
        <v>774</v>
      </c>
      <c r="I1264" s="9">
        <v>100</v>
      </c>
      <c r="J1264" s="36">
        <v>0.06</v>
      </c>
    </row>
    <row r="1265" spans="2:10" s="44" customFormat="1" x14ac:dyDescent="0.35">
      <c r="B1265" s="9">
        <v>1586585</v>
      </c>
      <c r="C1265" s="5" t="s">
        <v>818</v>
      </c>
      <c r="D1265" s="5" t="s">
        <v>3564</v>
      </c>
      <c r="E1265" s="5">
        <v>11082448</v>
      </c>
      <c r="F1265" s="34" t="s">
        <v>3552</v>
      </c>
      <c r="G1265" s="26">
        <v>32.67</v>
      </c>
      <c r="H1265" s="1" t="s">
        <v>774</v>
      </c>
      <c r="I1265" s="9">
        <v>1</v>
      </c>
      <c r="J1265" s="36">
        <v>0.1</v>
      </c>
    </row>
    <row r="1266" spans="2:10" s="44" customFormat="1" x14ac:dyDescent="0.35">
      <c r="B1266" s="9">
        <v>1586617</v>
      </c>
      <c r="C1266" s="5" t="s">
        <v>1941</v>
      </c>
      <c r="D1266" s="5" t="s">
        <v>3565</v>
      </c>
      <c r="E1266" s="5" t="s">
        <v>1942</v>
      </c>
      <c r="F1266" s="34" t="s">
        <v>3574</v>
      </c>
      <c r="G1266" s="26">
        <v>0.158</v>
      </c>
      <c r="H1266" s="1" t="s">
        <v>774</v>
      </c>
      <c r="I1266" s="9">
        <v>100</v>
      </c>
      <c r="J1266" s="36">
        <v>0.06</v>
      </c>
    </row>
    <row r="1267" spans="2:10" s="44" customFormat="1" x14ac:dyDescent="0.35">
      <c r="B1267" s="9">
        <v>1586652</v>
      </c>
      <c r="C1267" s="5" t="s">
        <v>2168</v>
      </c>
      <c r="D1267" s="5" t="s">
        <v>3565</v>
      </c>
      <c r="E1267" s="5" t="s">
        <v>2169</v>
      </c>
      <c r="F1267" s="34" t="s">
        <v>3574</v>
      </c>
      <c r="G1267" s="26">
        <v>0.26300000000000001</v>
      </c>
      <c r="H1267" s="1" t="s">
        <v>774</v>
      </c>
      <c r="I1267" s="9">
        <v>100</v>
      </c>
      <c r="J1267" s="36">
        <v>0.06</v>
      </c>
    </row>
    <row r="1268" spans="2:10" s="44" customFormat="1" x14ac:dyDescent="0.35">
      <c r="B1268" s="9">
        <v>1586655</v>
      </c>
      <c r="C1268" s="5" t="s">
        <v>2170</v>
      </c>
      <c r="D1268" s="5" t="s">
        <v>3565</v>
      </c>
      <c r="E1268" s="5" t="s">
        <v>2171</v>
      </c>
      <c r="F1268" s="34" t="s">
        <v>3574</v>
      </c>
      <c r="G1268" s="26">
        <v>1.89</v>
      </c>
      <c r="H1268" s="1" t="s">
        <v>774</v>
      </c>
      <c r="I1268" s="9">
        <v>100</v>
      </c>
      <c r="J1268" s="36">
        <v>0.06</v>
      </c>
    </row>
    <row r="1269" spans="2:10" s="44" customFormat="1" x14ac:dyDescent="0.35">
      <c r="B1269" s="9">
        <v>1586656</v>
      </c>
      <c r="C1269" s="5" t="s">
        <v>2172</v>
      </c>
      <c r="D1269" s="5" t="s">
        <v>3565</v>
      </c>
      <c r="E1269" s="5" t="s">
        <v>2173</v>
      </c>
      <c r="F1269" s="34" t="s">
        <v>3574</v>
      </c>
      <c r="G1269" s="26">
        <v>1.05</v>
      </c>
      <c r="H1269" s="1" t="s">
        <v>774</v>
      </c>
      <c r="I1269" s="9">
        <v>100</v>
      </c>
      <c r="J1269" s="36">
        <v>0.06</v>
      </c>
    </row>
    <row r="1270" spans="2:10" s="44" customFormat="1" x14ac:dyDescent="0.35">
      <c r="B1270" s="9">
        <v>1586701</v>
      </c>
      <c r="C1270" s="5" t="s">
        <v>2174</v>
      </c>
      <c r="D1270" s="5" t="s">
        <v>3565</v>
      </c>
      <c r="E1270" s="5" t="s">
        <v>2175</v>
      </c>
      <c r="F1270" s="34" t="s">
        <v>3574</v>
      </c>
      <c r="G1270" s="26">
        <v>0.315</v>
      </c>
      <c r="H1270" s="1" t="s">
        <v>774</v>
      </c>
      <c r="I1270" s="9">
        <v>100</v>
      </c>
      <c r="J1270" s="36">
        <v>0.06</v>
      </c>
    </row>
    <row r="1271" spans="2:10" s="44" customFormat="1" x14ac:dyDescent="0.35">
      <c r="B1271" s="9">
        <v>1586730</v>
      </c>
      <c r="C1271" s="5" t="s">
        <v>783</v>
      </c>
      <c r="D1271" s="5" t="s">
        <v>3567</v>
      </c>
      <c r="E1271" s="5" t="s">
        <v>30</v>
      </c>
      <c r="F1271" s="35" t="s">
        <v>3569</v>
      </c>
      <c r="G1271" s="26">
        <v>160.76595744680853</v>
      </c>
      <c r="H1271" s="1" t="s">
        <v>774</v>
      </c>
      <c r="I1271" s="9">
        <v>2</v>
      </c>
      <c r="J1271" s="36">
        <v>0.1</v>
      </c>
    </row>
    <row r="1272" spans="2:10" s="44" customFormat="1" x14ac:dyDescent="0.35">
      <c r="B1272" s="9">
        <v>1586774</v>
      </c>
      <c r="C1272" s="5" t="s">
        <v>3533</v>
      </c>
      <c r="D1272" s="5" t="s">
        <v>3567</v>
      </c>
      <c r="E1272" s="5" t="s">
        <v>3534</v>
      </c>
      <c r="F1272" s="35" t="s">
        <v>3569</v>
      </c>
      <c r="G1272" s="26">
        <v>94.5</v>
      </c>
      <c r="H1272" s="1" t="s">
        <v>774</v>
      </c>
      <c r="I1272" s="9">
        <v>4</v>
      </c>
      <c r="J1272" s="36">
        <v>0.1</v>
      </c>
    </row>
    <row r="1273" spans="2:10" s="44" customFormat="1" x14ac:dyDescent="0.35">
      <c r="B1273" s="9">
        <v>1586775</v>
      </c>
      <c r="C1273" s="5" t="s">
        <v>3535</v>
      </c>
      <c r="D1273" s="5" t="s">
        <v>3567</v>
      </c>
      <c r="E1273" s="5" t="s">
        <v>3536</v>
      </c>
      <c r="F1273" s="35" t="s">
        <v>3569</v>
      </c>
      <c r="G1273" s="26">
        <v>216.11702127659575</v>
      </c>
      <c r="H1273" s="1" t="s">
        <v>774</v>
      </c>
      <c r="I1273" s="9">
        <v>2</v>
      </c>
      <c r="J1273" s="36">
        <v>0.1</v>
      </c>
    </row>
    <row r="1274" spans="2:10" s="44" customFormat="1" x14ac:dyDescent="0.35">
      <c r="B1274" s="9">
        <v>1586792</v>
      </c>
      <c r="C1274" s="5" t="s">
        <v>3537</v>
      </c>
      <c r="D1274" s="5" t="s">
        <v>3567</v>
      </c>
      <c r="E1274" s="5" t="s">
        <v>3538</v>
      </c>
      <c r="F1274" s="35" t="s">
        <v>3569</v>
      </c>
      <c r="G1274" s="26">
        <v>140.2340425531915</v>
      </c>
      <c r="H1274" s="1" t="s">
        <v>774</v>
      </c>
      <c r="I1274" s="9">
        <v>4</v>
      </c>
      <c r="J1274" s="36">
        <v>0.1</v>
      </c>
    </row>
    <row r="1275" spans="2:10" s="44" customFormat="1" x14ac:dyDescent="0.35">
      <c r="B1275" s="9">
        <v>1586858</v>
      </c>
      <c r="C1275" s="5" t="s">
        <v>2396</v>
      </c>
      <c r="D1275" s="5" t="s">
        <v>3565</v>
      </c>
      <c r="E1275" s="5" t="s">
        <v>2397</v>
      </c>
      <c r="F1275" s="34" t="s">
        <v>3574</v>
      </c>
      <c r="G1275" s="26">
        <v>0.73499999999999999</v>
      </c>
      <c r="H1275" s="1" t="s">
        <v>774</v>
      </c>
      <c r="I1275" s="9">
        <v>100</v>
      </c>
      <c r="J1275" s="36">
        <v>0.06</v>
      </c>
    </row>
    <row r="1276" spans="2:10" s="44" customFormat="1" x14ac:dyDescent="0.35">
      <c r="B1276" s="9">
        <v>1586955</v>
      </c>
      <c r="C1276" s="5" t="s">
        <v>3539</v>
      </c>
      <c r="D1276" s="5" t="s">
        <v>3567</v>
      </c>
      <c r="E1276" s="5" t="s">
        <v>3540</v>
      </c>
      <c r="F1276" s="35" t="s">
        <v>3569</v>
      </c>
      <c r="G1276" s="26">
        <v>79.819148936170222</v>
      </c>
      <c r="H1276" s="1" t="s">
        <v>774</v>
      </c>
      <c r="I1276" s="9">
        <v>4</v>
      </c>
      <c r="J1276" s="36">
        <v>0.1</v>
      </c>
    </row>
    <row r="1277" spans="2:10" s="44" customFormat="1" x14ac:dyDescent="0.35">
      <c r="B1277" s="9">
        <v>1586962</v>
      </c>
      <c r="C1277" s="5" t="s">
        <v>3541</v>
      </c>
      <c r="D1277" s="5" t="s">
        <v>3567</v>
      </c>
      <c r="E1277" s="5" t="s">
        <v>3542</v>
      </c>
      <c r="F1277" s="35" t="s">
        <v>3569</v>
      </c>
      <c r="G1277" s="26">
        <v>51.031914893617021</v>
      </c>
      <c r="H1277" s="1" t="s">
        <v>774</v>
      </c>
      <c r="I1277" s="9">
        <v>4</v>
      </c>
      <c r="J1277" s="36">
        <v>0.1</v>
      </c>
    </row>
    <row r="1278" spans="2:10" s="44" customFormat="1" x14ac:dyDescent="0.35">
      <c r="B1278" s="9">
        <v>1586966</v>
      </c>
      <c r="C1278" s="5" t="s">
        <v>1923</v>
      </c>
      <c r="D1278" s="5" t="s">
        <v>3565</v>
      </c>
      <c r="E1278" s="5" t="s">
        <v>2737</v>
      </c>
      <c r="F1278" s="34" t="s">
        <v>3574</v>
      </c>
      <c r="G1278" s="26">
        <v>1.7</v>
      </c>
      <c r="H1278" s="1" t="s">
        <v>774</v>
      </c>
      <c r="I1278" s="9">
        <v>100</v>
      </c>
      <c r="J1278" s="36">
        <v>0.06</v>
      </c>
    </row>
    <row r="1279" spans="2:10" s="44" customFormat="1" x14ac:dyDescent="0.35">
      <c r="B1279" s="9">
        <v>1586977</v>
      </c>
      <c r="C1279" s="5" t="s">
        <v>3269</v>
      </c>
      <c r="D1279" s="5" t="s">
        <v>3565</v>
      </c>
      <c r="E1279" s="5" t="s">
        <v>3270</v>
      </c>
      <c r="F1279" s="34" t="s">
        <v>3574</v>
      </c>
      <c r="G1279" s="26">
        <v>0.7</v>
      </c>
      <c r="H1279" s="1" t="s">
        <v>774</v>
      </c>
      <c r="I1279" s="9">
        <v>100</v>
      </c>
      <c r="J1279" s="36">
        <v>0.06</v>
      </c>
    </row>
    <row r="1280" spans="2:10" s="44" customFormat="1" x14ac:dyDescent="0.35">
      <c r="B1280" s="9">
        <v>1587003</v>
      </c>
      <c r="C1280" s="5" t="s">
        <v>2449</v>
      </c>
      <c r="D1280" s="5" t="s">
        <v>3565</v>
      </c>
      <c r="E1280" s="5" t="s">
        <v>2448</v>
      </c>
      <c r="F1280" s="34" t="s">
        <v>3574</v>
      </c>
      <c r="G1280" s="26">
        <v>0.315</v>
      </c>
      <c r="H1280" s="1" t="s">
        <v>774</v>
      </c>
      <c r="I1280" s="9">
        <v>100</v>
      </c>
      <c r="J1280" s="36">
        <v>0.06</v>
      </c>
    </row>
    <row r="1281" spans="2:10" s="44" customFormat="1" x14ac:dyDescent="0.35">
      <c r="B1281" s="9">
        <v>1587011</v>
      </c>
      <c r="C1281" s="5" t="s">
        <v>2447</v>
      </c>
      <c r="D1281" s="5" t="s">
        <v>3565</v>
      </c>
      <c r="E1281" s="5" t="s">
        <v>2448</v>
      </c>
      <c r="F1281" s="34" t="s">
        <v>3574</v>
      </c>
      <c r="G1281" s="26">
        <v>0.46200000000000002</v>
      </c>
      <c r="H1281" s="1" t="s">
        <v>774</v>
      </c>
      <c r="I1281" s="9">
        <v>100</v>
      </c>
      <c r="J1281" s="36">
        <v>0.06</v>
      </c>
    </row>
    <row r="1282" spans="2:10" s="44" customFormat="1" x14ac:dyDescent="0.35">
      <c r="B1282" s="9">
        <v>1587124</v>
      </c>
      <c r="C1282" s="5" t="s">
        <v>820</v>
      </c>
      <c r="D1282" s="5" t="s">
        <v>3564</v>
      </c>
      <c r="E1282" s="5">
        <v>11148757</v>
      </c>
      <c r="F1282" s="34" t="s">
        <v>3552</v>
      </c>
      <c r="G1282" s="26">
        <v>82.8</v>
      </c>
      <c r="H1282" s="1" t="s">
        <v>774</v>
      </c>
      <c r="I1282" s="9">
        <v>1</v>
      </c>
      <c r="J1282" s="36">
        <v>0.1</v>
      </c>
    </row>
    <row r="1283" spans="2:10" s="44" customFormat="1" x14ac:dyDescent="0.35">
      <c r="B1283" s="9">
        <v>1587131</v>
      </c>
      <c r="C1283" s="5" t="s">
        <v>663</v>
      </c>
      <c r="D1283" s="5" t="s">
        <v>3565</v>
      </c>
      <c r="E1283" s="5" t="s">
        <v>2646</v>
      </c>
      <c r="F1283" s="34" t="s">
        <v>3574</v>
      </c>
      <c r="G1283" s="26">
        <v>2.7810000000000001</v>
      </c>
      <c r="H1283" s="1" t="s">
        <v>774</v>
      </c>
      <c r="I1283" s="9">
        <v>100</v>
      </c>
      <c r="J1283" s="36">
        <v>0.06</v>
      </c>
    </row>
    <row r="1284" spans="2:10" s="44" customFormat="1" x14ac:dyDescent="0.35">
      <c r="B1284" s="9">
        <v>1587157</v>
      </c>
      <c r="C1284" s="5" t="s">
        <v>2893</v>
      </c>
      <c r="D1284" s="5" t="s">
        <v>3565</v>
      </c>
      <c r="E1284" s="5" t="s">
        <v>2894</v>
      </c>
      <c r="F1284" s="34" t="s">
        <v>3574</v>
      </c>
      <c r="G1284" s="26">
        <v>0.46399999999999997</v>
      </c>
      <c r="H1284" s="1" t="s">
        <v>774</v>
      </c>
      <c r="I1284" s="9">
        <v>100</v>
      </c>
      <c r="J1284" s="36">
        <v>0.06</v>
      </c>
    </row>
    <row r="1285" spans="2:10" s="44" customFormat="1" x14ac:dyDescent="0.35">
      <c r="B1285" s="9">
        <v>1587170</v>
      </c>
      <c r="C1285" s="5" t="s">
        <v>2663</v>
      </c>
      <c r="D1285" s="5" t="s">
        <v>3565</v>
      </c>
      <c r="E1285" s="5" t="s">
        <v>651</v>
      </c>
      <c r="F1285" s="34" t="s">
        <v>3574</v>
      </c>
      <c r="G1285" s="26">
        <v>0.41200000000000003</v>
      </c>
      <c r="H1285" s="1" t="s">
        <v>774</v>
      </c>
      <c r="I1285" s="9">
        <v>100</v>
      </c>
      <c r="J1285" s="36">
        <v>0.06</v>
      </c>
    </row>
    <row r="1286" spans="2:10" s="44" customFormat="1" x14ac:dyDescent="0.35">
      <c r="B1286" s="9">
        <v>1700394</v>
      </c>
      <c r="C1286" s="5" t="s">
        <v>1786</v>
      </c>
      <c r="D1286" s="5" t="s">
        <v>3565</v>
      </c>
      <c r="E1286" s="5" t="s">
        <v>1787</v>
      </c>
      <c r="F1286" s="34" t="s">
        <v>3574</v>
      </c>
      <c r="G1286" s="26">
        <v>2.4</v>
      </c>
      <c r="H1286" s="1" t="s">
        <v>774</v>
      </c>
      <c r="I1286" s="9">
        <v>100</v>
      </c>
      <c r="J1286" s="36">
        <v>0.06</v>
      </c>
    </row>
    <row r="1287" spans="2:10" s="44" customFormat="1" x14ac:dyDescent="0.35">
      <c r="B1287" s="9">
        <v>1701019</v>
      </c>
      <c r="C1287" s="5" t="s">
        <v>2567</v>
      </c>
      <c r="D1287" s="5" t="s">
        <v>3565</v>
      </c>
      <c r="E1287" s="5" t="s">
        <v>2568</v>
      </c>
      <c r="F1287" s="34" t="s">
        <v>3574</v>
      </c>
      <c r="G1287" s="26">
        <v>35.020000000000003</v>
      </c>
      <c r="H1287" s="1" t="s">
        <v>774</v>
      </c>
      <c r="I1287" s="9">
        <v>100</v>
      </c>
      <c r="J1287" s="36">
        <v>0.06</v>
      </c>
    </row>
    <row r="1288" spans="2:10" s="44" customFormat="1" x14ac:dyDescent="0.35">
      <c r="B1288" s="9">
        <v>1701063</v>
      </c>
      <c r="C1288" s="5" t="s">
        <v>2160</v>
      </c>
      <c r="D1288" s="5" t="s">
        <v>3565</v>
      </c>
      <c r="E1288" s="11" t="s">
        <v>3573</v>
      </c>
      <c r="F1288" s="34" t="s">
        <v>3574</v>
      </c>
      <c r="G1288" s="26">
        <v>0.105</v>
      </c>
      <c r="H1288" s="1" t="s">
        <v>774</v>
      </c>
      <c r="I1288" s="9">
        <v>200</v>
      </c>
      <c r="J1288" s="36">
        <v>0.06</v>
      </c>
    </row>
    <row r="1289" spans="2:10" s="44" customFormat="1" x14ac:dyDescent="0.35">
      <c r="B1289" s="9">
        <v>1701148</v>
      </c>
      <c r="C1289" s="5" t="s">
        <v>2410</v>
      </c>
      <c r="D1289" s="5" t="s">
        <v>3565</v>
      </c>
      <c r="E1289" s="5" t="s">
        <v>2411</v>
      </c>
      <c r="F1289" s="34" t="s">
        <v>3574</v>
      </c>
      <c r="G1289" s="26">
        <v>0.14699999999999999</v>
      </c>
      <c r="H1289" s="1" t="s">
        <v>774</v>
      </c>
      <c r="I1289" s="9">
        <v>100</v>
      </c>
      <c r="J1289" s="36">
        <v>0.06</v>
      </c>
    </row>
    <row r="1290" spans="2:10" s="44" customFormat="1" x14ac:dyDescent="0.35">
      <c r="B1290" s="9">
        <v>1701168</v>
      </c>
      <c r="C1290" s="5" t="s">
        <v>1740</v>
      </c>
      <c r="D1290" s="5" t="s">
        <v>3565</v>
      </c>
      <c r="E1290" s="5" t="s">
        <v>1741</v>
      </c>
      <c r="F1290" s="34" t="s">
        <v>3574</v>
      </c>
      <c r="G1290" s="26">
        <v>0.111</v>
      </c>
      <c r="H1290" s="1" t="s">
        <v>774</v>
      </c>
      <c r="I1290" s="9">
        <v>100</v>
      </c>
      <c r="J1290" s="36">
        <v>0.06</v>
      </c>
    </row>
    <row r="1291" spans="2:10" s="44" customFormat="1" x14ac:dyDescent="0.35">
      <c r="B1291" s="9">
        <v>1701207</v>
      </c>
      <c r="C1291" s="5" t="s">
        <v>1784</v>
      </c>
      <c r="D1291" s="5" t="s">
        <v>3565</v>
      </c>
      <c r="E1291" s="5" t="s">
        <v>1785</v>
      </c>
      <c r="F1291" s="34" t="s">
        <v>3574</v>
      </c>
      <c r="G1291" s="26">
        <v>0.8919999999999999</v>
      </c>
      <c r="H1291" s="1" t="s">
        <v>774</v>
      </c>
      <c r="I1291" s="9">
        <v>100</v>
      </c>
      <c r="J1291" s="36">
        <v>0.06</v>
      </c>
    </row>
    <row r="1292" spans="2:10" s="44" customFormat="1" x14ac:dyDescent="0.35">
      <c r="B1292" s="9">
        <v>1701353</v>
      </c>
      <c r="C1292" s="5" t="s">
        <v>1762</v>
      </c>
      <c r="D1292" s="5" t="s">
        <v>3565</v>
      </c>
      <c r="E1292" s="5" t="s">
        <v>1763</v>
      </c>
      <c r="F1292" s="34" t="s">
        <v>3574</v>
      </c>
      <c r="G1292" s="26">
        <v>0.71299999999999997</v>
      </c>
      <c r="H1292" s="1" t="s">
        <v>774</v>
      </c>
      <c r="I1292" s="9">
        <v>100</v>
      </c>
      <c r="J1292" s="36">
        <v>0.06</v>
      </c>
    </row>
    <row r="1293" spans="2:10" s="44" customFormat="1" x14ac:dyDescent="0.35">
      <c r="B1293" s="9">
        <v>1701354</v>
      </c>
      <c r="C1293" s="5" t="s">
        <v>767</v>
      </c>
      <c r="D1293" s="5" t="s">
        <v>3565</v>
      </c>
      <c r="E1293" s="5" t="s">
        <v>2716</v>
      </c>
      <c r="F1293" s="34" t="s">
        <v>3574</v>
      </c>
      <c r="G1293" s="26">
        <v>0.17600000000000002</v>
      </c>
      <c r="H1293" s="1" t="s">
        <v>774</v>
      </c>
      <c r="I1293" s="9">
        <v>100</v>
      </c>
      <c r="J1293" s="36">
        <v>0.06</v>
      </c>
    </row>
    <row r="1294" spans="2:10" s="44" customFormat="1" x14ac:dyDescent="0.35">
      <c r="B1294" s="9">
        <v>1701410</v>
      </c>
      <c r="C1294" s="5" t="s">
        <v>1055</v>
      </c>
      <c r="D1294" s="5" t="s">
        <v>3565</v>
      </c>
      <c r="E1294" s="5" t="s">
        <v>1056</v>
      </c>
      <c r="F1294" s="34" t="s">
        <v>3574</v>
      </c>
      <c r="G1294" s="26">
        <v>0.191</v>
      </c>
      <c r="H1294" s="1" t="s">
        <v>774</v>
      </c>
      <c r="I1294" s="9">
        <v>100</v>
      </c>
      <c r="J1294" s="36">
        <v>0.06</v>
      </c>
    </row>
    <row r="1295" spans="2:10" s="44" customFormat="1" x14ac:dyDescent="0.35">
      <c r="B1295" s="9">
        <v>1701477</v>
      </c>
      <c r="C1295" s="5" t="s">
        <v>2912</v>
      </c>
      <c r="D1295" s="5" t="s">
        <v>3565</v>
      </c>
      <c r="E1295" s="5" t="s">
        <v>2913</v>
      </c>
      <c r="F1295" s="34" t="s">
        <v>3574</v>
      </c>
      <c r="G1295" s="26">
        <v>2.1000000000000001E-2</v>
      </c>
      <c r="H1295" s="1" t="s">
        <v>774</v>
      </c>
      <c r="I1295" s="9">
        <v>200</v>
      </c>
      <c r="J1295" s="36">
        <v>0.06</v>
      </c>
    </row>
    <row r="1296" spans="2:10" s="44" customFormat="1" x14ac:dyDescent="0.35">
      <c r="B1296" s="9">
        <v>1701680</v>
      </c>
      <c r="C1296" s="5" t="s">
        <v>2935</v>
      </c>
      <c r="D1296" s="5" t="s">
        <v>3565</v>
      </c>
      <c r="E1296" s="11" t="s">
        <v>3573</v>
      </c>
      <c r="F1296" s="34" t="s">
        <v>3574</v>
      </c>
      <c r="G1296" s="26">
        <v>0.46399999999999997</v>
      </c>
      <c r="H1296" s="1" t="s">
        <v>774</v>
      </c>
      <c r="I1296" s="9">
        <v>500</v>
      </c>
      <c r="J1296" s="36">
        <v>0.06</v>
      </c>
    </row>
    <row r="1297" spans="2:10" s="44" customFormat="1" x14ac:dyDescent="0.35">
      <c r="B1297" s="9">
        <v>1701681</v>
      </c>
      <c r="C1297" s="5" t="s">
        <v>2934</v>
      </c>
      <c r="D1297" s="5" t="s">
        <v>3565</v>
      </c>
      <c r="E1297" s="11" t="s">
        <v>3573</v>
      </c>
      <c r="F1297" s="34" t="s">
        <v>3574</v>
      </c>
      <c r="G1297" s="26">
        <v>0.67</v>
      </c>
      <c r="H1297" s="1" t="s">
        <v>774</v>
      </c>
      <c r="I1297" s="9">
        <v>500</v>
      </c>
      <c r="J1297" s="36">
        <v>0.06</v>
      </c>
    </row>
    <row r="1298" spans="2:10" s="44" customFormat="1" x14ac:dyDescent="0.35">
      <c r="B1298" s="9">
        <v>1701704</v>
      </c>
      <c r="C1298" s="5" t="s">
        <v>1194</v>
      </c>
      <c r="D1298" s="5" t="s">
        <v>3565</v>
      </c>
      <c r="E1298" s="5" t="s">
        <v>1195</v>
      </c>
      <c r="F1298" s="34" t="s">
        <v>3574</v>
      </c>
      <c r="G1298" s="26">
        <v>0.27500000000000002</v>
      </c>
      <c r="H1298" s="1" t="s">
        <v>774</v>
      </c>
      <c r="I1298" s="9">
        <v>100</v>
      </c>
      <c r="J1298" s="36">
        <v>0.06</v>
      </c>
    </row>
    <row r="1299" spans="2:10" s="44" customFormat="1" x14ac:dyDescent="0.35">
      <c r="B1299" s="9">
        <v>1701797</v>
      </c>
      <c r="C1299" s="5" t="s">
        <v>1192</v>
      </c>
      <c r="D1299" s="5" t="s">
        <v>3565</v>
      </c>
      <c r="E1299" s="5" t="s">
        <v>1193</v>
      </c>
      <c r="F1299" s="34" t="s">
        <v>3574</v>
      </c>
      <c r="G1299" s="26">
        <v>0.43</v>
      </c>
      <c r="H1299" s="1" t="s">
        <v>774</v>
      </c>
      <c r="I1299" s="9">
        <v>100</v>
      </c>
      <c r="J1299" s="36">
        <v>0.06</v>
      </c>
    </row>
    <row r="1300" spans="2:10" s="44" customFormat="1" x14ac:dyDescent="0.35">
      <c r="B1300" s="9">
        <v>1701842</v>
      </c>
      <c r="C1300" s="5" t="s">
        <v>1727</v>
      </c>
      <c r="D1300" s="5" t="s">
        <v>3565</v>
      </c>
      <c r="E1300" s="5" t="s">
        <v>1728</v>
      </c>
      <c r="F1300" s="34" t="s">
        <v>3574</v>
      </c>
      <c r="G1300" s="26">
        <v>0.55000000000000004</v>
      </c>
      <c r="H1300" s="1" t="s">
        <v>774</v>
      </c>
      <c r="I1300" s="9">
        <v>200</v>
      </c>
      <c r="J1300" s="36">
        <v>0.06</v>
      </c>
    </row>
    <row r="1301" spans="2:10" s="44" customFormat="1" x14ac:dyDescent="0.35">
      <c r="B1301" s="9">
        <v>1702011</v>
      </c>
      <c r="C1301" s="5" t="s">
        <v>1788</v>
      </c>
      <c r="D1301" s="5" t="s">
        <v>3565</v>
      </c>
      <c r="E1301" s="5" t="s">
        <v>1789</v>
      </c>
      <c r="F1301" s="34" t="s">
        <v>3574</v>
      </c>
      <c r="G1301" s="26">
        <v>0.99199999999999988</v>
      </c>
      <c r="H1301" s="1" t="s">
        <v>774</v>
      </c>
      <c r="I1301" s="9">
        <v>100</v>
      </c>
      <c r="J1301" s="36">
        <v>0.06</v>
      </c>
    </row>
    <row r="1302" spans="2:10" s="44" customFormat="1" x14ac:dyDescent="0.35">
      <c r="B1302" s="9">
        <v>1702012</v>
      </c>
      <c r="C1302" s="5" t="s">
        <v>1790</v>
      </c>
      <c r="D1302" s="5" t="s">
        <v>3565</v>
      </c>
      <c r="E1302" s="5">
        <v>6173580</v>
      </c>
      <c r="F1302" s="34" t="s">
        <v>3574</v>
      </c>
      <c r="G1302" s="26">
        <v>0.504</v>
      </c>
      <c r="H1302" s="1" t="s">
        <v>774</v>
      </c>
      <c r="I1302" s="9">
        <v>100</v>
      </c>
      <c r="J1302" s="36">
        <v>0.06</v>
      </c>
    </row>
    <row r="1303" spans="2:10" s="44" customFormat="1" x14ac:dyDescent="0.35">
      <c r="B1303" s="9">
        <v>1702182</v>
      </c>
      <c r="C1303" s="5" t="s">
        <v>2931</v>
      </c>
      <c r="D1303" s="5" t="s">
        <v>3565</v>
      </c>
      <c r="E1303" s="11" t="s">
        <v>3573</v>
      </c>
      <c r="F1303" s="34" t="s">
        <v>3574</v>
      </c>
      <c r="G1303" s="26">
        <v>0.67</v>
      </c>
      <c r="H1303" s="1" t="s">
        <v>774</v>
      </c>
      <c r="I1303" s="9">
        <v>100</v>
      </c>
      <c r="J1303" s="36">
        <v>0.06</v>
      </c>
    </row>
    <row r="1304" spans="2:10" s="44" customFormat="1" x14ac:dyDescent="0.35">
      <c r="B1304" s="9">
        <v>1702191</v>
      </c>
      <c r="C1304" s="5" t="s">
        <v>2246</v>
      </c>
      <c r="D1304" s="5" t="s">
        <v>3565</v>
      </c>
      <c r="E1304" s="11" t="s">
        <v>3573</v>
      </c>
      <c r="F1304" s="34" t="s">
        <v>3574</v>
      </c>
      <c r="G1304" s="26">
        <v>0.158</v>
      </c>
      <c r="H1304" s="1" t="s">
        <v>774</v>
      </c>
      <c r="I1304" s="9">
        <v>100</v>
      </c>
      <c r="J1304" s="36">
        <v>0.06</v>
      </c>
    </row>
    <row r="1305" spans="2:10" s="44" customFormat="1" x14ac:dyDescent="0.35">
      <c r="B1305" s="9">
        <v>1702276</v>
      </c>
      <c r="C1305" s="5" t="s">
        <v>1791</v>
      </c>
      <c r="D1305" s="5" t="s">
        <v>3565</v>
      </c>
      <c r="E1305" s="5" t="s">
        <v>1792</v>
      </c>
      <c r="F1305" s="34" t="s">
        <v>3574</v>
      </c>
      <c r="G1305" s="26">
        <v>36.006999999999998</v>
      </c>
      <c r="H1305" s="1" t="s">
        <v>774</v>
      </c>
      <c r="I1305" s="9">
        <v>10</v>
      </c>
      <c r="J1305" s="36">
        <v>0.06</v>
      </c>
    </row>
    <row r="1306" spans="2:10" s="44" customFormat="1" x14ac:dyDescent="0.35">
      <c r="B1306" s="9">
        <v>1702283</v>
      </c>
      <c r="C1306" s="5" t="s">
        <v>1965</v>
      </c>
      <c r="D1306" s="5" t="s">
        <v>3565</v>
      </c>
      <c r="E1306" s="11" t="s">
        <v>3573</v>
      </c>
      <c r="F1306" s="34" t="s">
        <v>3574</v>
      </c>
      <c r="G1306" s="26">
        <v>2.2050000000000001</v>
      </c>
      <c r="H1306" s="1" t="s">
        <v>774</v>
      </c>
      <c r="I1306" s="9">
        <v>100</v>
      </c>
      <c r="J1306" s="36">
        <v>0.06</v>
      </c>
    </row>
    <row r="1307" spans="2:10" s="44" customFormat="1" x14ac:dyDescent="0.35">
      <c r="B1307" s="9">
        <v>1702404</v>
      </c>
      <c r="C1307" s="5" t="s">
        <v>125</v>
      </c>
      <c r="D1307" s="5" t="s">
        <v>3565</v>
      </c>
      <c r="E1307" s="11" t="s">
        <v>3573</v>
      </c>
      <c r="F1307" s="34" t="s">
        <v>3574</v>
      </c>
      <c r="G1307" s="26">
        <v>0.19900000000000001</v>
      </c>
      <c r="H1307" s="1" t="s">
        <v>774</v>
      </c>
      <c r="I1307" s="9">
        <v>100</v>
      </c>
      <c r="J1307" s="36">
        <v>0.06</v>
      </c>
    </row>
    <row r="1308" spans="2:10" s="44" customFormat="1" x14ac:dyDescent="0.35">
      <c r="B1308" s="9">
        <v>1702478</v>
      </c>
      <c r="C1308" s="5" t="s">
        <v>2161</v>
      </c>
      <c r="D1308" s="5" t="s">
        <v>3565</v>
      </c>
      <c r="E1308" s="5" t="s">
        <v>2162</v>
      </c>
      <c r="F1308" s="34" t="s">
        <v>3574</v>
      </c>
      <c r="G1308" s="26">
        <v>0.53500000000000003</v>
      </c>
      <c r="H1308" s="1" t="s">
        <v>774</v>
      </c>
      <c r="I1308" s="9">
        <v>100</v>
      </c>
      <c r="J1308" s="36">
        <v>0.06</v>
      </c>
    </row>
    <row r="1309" spans="2:10" s="44" customFormat="1" x14ac:dyDescent="0.35">
      <c r="B1309" s="9">
        <v>1702486</v>
      </c>
      <c r="C1309" s="5" t="s">
        <v>2589</v>
      </c>
      <c r="D1309" s="5" t="s">
        <v>3565</v>
      </c>
      <c r="E1309" s="5" t="s">
        <v>2590</v>
      </c>
      <c r="F1309" s="34" t="s">
        <v>3574</v>
      </c>
      <c r="G1309" s="26">
        <v>0.94799999999999995</v>
      </c>
      <c r="H1309" s="1" t="s">
        <v>774</v>
      </c>
      <c r="I1309" s="9">
        <v>100</v>
      </c>
      <c r="J1309" s="36">
        <v>0.06</v>
      </c>
    </row>
    <row r="1310" spans="2:10" s="44" customFormat="1" x14ac:dyDescent="0.35">
      <c r="B1310" s="9">
        <v>1702487</v>
      </c>
      <c r="C1310" s="5" t="s">
        <v>2591</v>
      </c>
      <c r="D1310" s="5" t="s">
        <v>3565</v>
      </c>
      <c r="E1310" s="5" t="s">
        <v>2592</v>
      </c>
      <c r="F1310" s="34" t="s">
        <v>3574</v>
      </c>
      <c r="G1310" s="26">
        <v>1.133</v>
      </c>
      <c r="H1310" s="1" t="s">
        <v>774</v>
      </c>
      <c r="I1310" s="9">
        <v>100</v>
      </c>
      <c r="J1310" s="36">
        <v>0.06</v>
      </c>
    </row>
    <row r="1311" spans="2:10" s="44" customFormat="1" x14ac:dyDescent="0.35">
      <c r="B1311" s="9">
        <v>1702511</v>
      </c>
      <c r="C1311" s="5" t="s">
        <v>1585</v>
      </c>
      <c r="D1311" s="5" t="s">
        <v>3565</v>
      </c>
      <c r="E1311" s="5" t="s">
        <v>1586</v>
      </c>
      <c r="F1311" s="34" t="s">
        <v>3574</v>
      </c>
      <c r="G1311" s="26">
        <v>0.04</v>
      </c>
      <c r="H1311" s="1" t="s">
        <v>774</v>
      </c>
      <c r="I1311" s="9">
        <v>200</v>
      </c>
      <c r="J1311" s="36">
        <v>0.06</v>
      </c>
    </row>
    <row r="1312" spans="2:10" s="44" customFormat="1" x14ac:dyDescent="0.35">
      <c r="B1312" s="9">
        <v>1702512</v>
      </c>
      <c r="C1312" s="5" t="s">
        <v>1587</v>
      </c>
      <c r="D1312" s="5" t="s">
        <v>3565</v>
      </c>
      <c r="E1312" s="5" t="s">
        <v>1586</v>
      </c>
      <c r="F1312" s="34" t="s">
        <v>3574</v>
      </c>
      <c r="G1312" s="26">
        <v>5.0999999999999997E-2</v>
      </c>
      <c r="H1312" s="1" t="s">
        <v>774</v>
      </c>
      <c r="I1312" s="9">
        <v>200</v>
      </c>
      <c r="J1312" s="36">
        <v>0.06</v>
      </c>
    </row>
    <row r="1313" spans="2:10" s="44" customFormat="1" x14ac:dyDescent="0.35">
      <c r="B1313" s="9">
        <v>1702545</v>
      </c>
      <c r="C1313" s="5" t="s">
        <v>953</v>
      </c>
      <c r="D1313" s="5" t="s">
        <v>3565</v>
      </c>
      <c r="E1313" s="5" t="s">
        <v>950</v>
      </c>
      <c r="F1313" s="34" t="s">
        <v>3574</v>
      </c>
      <c r="G1313" s="26">
        <v>0.155</v>
      </c>
      <c r="H1313" s="1" t="s">
        <v>774</v>
      </c>
      <c r="I1313" s="9">
        <v>100</v>
      </c>
      <c r="J1313" s="36">
        <v>0.06</v>
      </c>
    </row>
    <row r="1314" spans="2:10" s="44" customFormat="1" x14ac:dyDescent="0.35">
      <c r="B1314" s="9">
        <v>1702679</v>
      </c>
      <c r="C1314" s="5" t="s">
        <v>2940</v>
      </c>
      <c r="D1314" s="5" t="s">
        <v>3565</v>
      </c>
      <c r="E1314" s="5" t="s">
        <v>2941</v>
      </c>
      <c r="F1314" s="34" t="s">
        <v>3574</v>
      </c>
      <c r="G1314" s="26">
        <v>0.20600000000000002</v>
      </c>
      <c r="H1314" s="1" t="s">
        <v>774</v>
      </c>
      <c r="I1314" s="9">
        <v>100</v>
      </c>
      <c r="J1314" s="36">
        <v>0.06</v>
      </c>
    </row>
    <row r="1315" spans="2:10" s="44" customFormat="1" x14ac:dyDescent="0.35">
      <c r="B1315" s="9">
        <v>1702738</v>
      </c>
      <c r="C1315" s="5" t="s">
        <v>1555</v>
      </c>
      <c r="D1315" s="5" t="s">
        <v>3565</v>
      </c>
      <c r="E1315" s="5" t="s">
        <v>1556</v>
      </c>
      <c r="F1315" s="34" t="s">
        <v>3574</v>
      </c>
      <c r="G1315" s="26">
        <v>6.9230000000000009</v>
      </c>
      <c r="H1315" s="1" t="s">
        <v>774</v>
      </c>
      <c r="I1315" s="9">
        <v>50</v>
      </c>
      <c r="J1315" s="36">
        <v>0.06</v>
      </c>
    </row>
    <row r="1316" spans="2:10" s="44" customFormat="1" x14ac:dyDescent="0.35">
      <c r="B1316" s="9">
        <v>1702743</v>
      </c>
      <c r="C1316" s="5" t="s">
        <v>2394</v>
      </c>
      <c r="D1316" s="5" t="s">
        <v>3565</v>
      </c>
      <c r="E1316" s="5" t="s">
        <v>2395</v>
      </c>
      <c r="F1316" s="34" t="s">
        <v>3574</v>
      </c>
      <c r="G1316" s="26">
        <v>0.158</v>
      </c>
      <c r="H1316" s="1" t="s">
        <v>774</v>
      </c>
      <c r="I1316" s="9">
        <v>100</v>
      </c>
      <c r="J1316" s="36">
        <v>0.06</v>
      </c>
    </row>
    <row r="1317" spans="2:10" s="44" customFormat="1" x14ac:dyDescent="0.35">
      <c r="B1317" s="9">
        <v>1702744</v>
      </c>
      <c r="C1317" s="5" t="s">
        <v>2392</v>
      </c>
      <c r="D1317" s="5" t="s">
        <v>3565</v>
      </c>
      <c r="E1317" s="5" t="s">
        <v>2393</v>
      </c>
      <c r="F1317" s="34" t="s">
        <v>3574</v>
      </c>
      <c r="G1317" s="26">
        <v>0.158</v>
      </c>
      <c r="H1317" s="1" t="s">
        <v>774</v>
      </c>
      <c r="I1317" s="9">
        <v>100</v>
      </c>
      <c r="J1317" s="36">
        <v>0.06</v>
      </c>
    </row>
    <row r="1318" spans="2:10" s="44" customFormat="1" x14ac:dyDescent="0.35">
      <c r="B1318" s="9">
        <v>1702803</v>
      </c>
      <c r="C1318" s="5" t="s">
        <v>2927</v>
      </c>
      <c r="D1318" s="5" t="s">
        <v>3565</v>
      </c>
      <c r="E1318" s="11" t="s">
        <v>3573</v>
      </c>
      <c r="F1318" s="34" t="s">
        <v>3574</v>
      </c>
      <c r="G1318" s="26">
        <v>8.299999999999999E-2</v>
      </c>
      <c r="H1318" s="1" t="s">
        <v>774</v>
      </c>
      <c r="I1318" s="9">
        <v>100</v>
      </c>
      <c r="J1318" s="36">
        <v>0.06</v>
      </c>
    </row>
    <row r="1319" spans="2:10" s="44" customFormat="1" x14ac:dyDescent="0.35">
      <c r="B1319" s="9">
        <v>1702925</v>
      </c>
      <c r="C1319" s="5" t="s">
        <v>901</v>
      </c>
      <c r="D1319" s="5" t="s">
        <v>3565</v>
      </c>
      <c r="E1319" s="5" t="s">
        <v>745</v>
      </c>
      <c r="F1319" s="34" t="s">
        <v>3574</v>
      </c>
      <c r="G1319" s="26">
        <v>3.4920000000000004</v>
      </c>
      <c r="H1319" s="1" t="s">
        <v>774</v>
      </c>
      <c r="I1319" s="9">
        <v>100</v>
      </c>
      <c r="J1319" s="36">
        <v>0.06</v>
      </c>
    </row>
    <row r="1320" spans="2:10" s="44" customFormat="1" x14ac:dyDescent="0.35">
      <c r="B1320" s="9">
        <v>1702935</v>
      </c>
      <c r="C1320" s="5" t="s">
        <v>1216</v>
      </c>
      <c r="D1320" s="5" t="s">
        <v>3565</v>
      </c>
      <c r="E1320" s="5" t="s">
        <v>1211</v>
      </c>
      <c r="F1320" s="34" t="s">
        <v>3574</v>
      </c>
      <c r="G1320" s="26">
        <v>1.0119999999999998</v>
      </c>
      <c r="H1320" s="1" t="s">
        <v>774</v>
      </c>
      <c r="I1320" s="9">
        <v>100</v>
      </c>
      <c r="J1320" s="36">
        <v>0.06</v>
      </c>
    </row>
    <row r="1321" spans="2:10" s="44" customFormat="1" x14ac:dyDescent="0.35">
      <c r="B1321" s="9">
        <v>1702942</v>
      </c>
      <c r="C1321" s="5" t="s">
        <v>1793</v>
      </c>
      <c r="D1321" s="5" t="s">
        <v>3565</v>
      </c>
      <c r="E1321" s="5" t="s">
        <v>1794</v>
      </c>
      <c r="F1321" s="34" t="s">
        <v>3574</v>
      </c>
      <c r="G1321" s="26">
        <v>2.5449999999999999</v>
      </c>
      <c r="H1321" s="1" t="s">
        <v>774</v>
      </c>
      <c r="I1321" s="9">
        <v>100</v>
      </c>
      <c r="J1321" s="36">
        <v>0.06</v>
      </c>
    </row>
    <row r="1322" spans="2:10" s="44" customFormat="1" x14ac:dyDescent="0.35">
      <c r="B1322" s="9">
        <v>1702962</v>
      </c>
      <c r="C1322" s="5" t="s">
        <v>2342</v>
      </c>
      <c r="D1322" s="5" t="s">
        <v>3565</v>
      </c>
      <c r="E1322" s="5" t="s">
        <v>2343</v>
      </c>
      <c r="F1322" s="34" t="s">
        <v>3574</v>
      </c>
      <c r="G1322" s="26">
        <v>2.1</v>
      </c>
      <c r="H1322" s="1" t="s">
        <v>774</v>
      </c>
      <c r="I1322" s="9">
        <v>200</v>
      </c>
      <c r="J1322" s="36">
        <v>0.06</v>
      </c>
    </row>
    <row r="1323" spans="2:10" s="44" customFormat="1" x14ac:dyDescent="0.35">
      <c r="B1323" s="9">
        <v>1703013</v>
      </c>
      <c r="C1323" s="5" t="s">
        <v>2018</v>
      </c>
      <c r="D1323" s="5" t="s">
        <v>3565</v>
      </c>
      <c r="E1323" s="5" t="s">
        <v>2019</v>
      </c>
      <c r="F1323" s="34" t="s">
        <v>3574</v>
      </c>
      <c r="G1323" s="26">
        <v>7.3999999999999996E-2</v>
      </c>
      <c r="H1323" s="1" t="s">
        <v>774</v>
      </c>
      <c r="I1323" s="9">
        <v>100</v>
      </c>
      <c r="J1323" s="36">
        <v>0.06</v>
      </c>
    </row>
    <row r="1324" spans="2:10" s="44" customFormat="1" x14ac:dyDescent="0.35">
      <c r="B1324" s="9">
        <v>1703100</v>
      </c>
      <c r="C1324" s="5" t="s">
        <v>2163</v>
      </c>
      <c r="D1324" s="5" t="s">
        <v>3565</v>
      </c>
      <c r="E1324" s="11" t="s">
        <v>3573</v>
      </c>
      <c r="F1324" s="34" t="s">
        <v>3574</v>
      </c>
      <c r="G1324" s="26">
        <v>0.441</v>
      </c>
      <c r="H1324" s="1" t="s">
        <v>774</v>
      </c>
      <c r="I1324" s="9">
        <v>100</v>
      </c>
      <c r="J1324" s="36">
        <v>0.06</v>
      </c>
    </row>
    <row r="1325" spans="2:10" s="44" customFormat="1" x14ac:dyDescent="0.35">
      <c r="B1325" s="9">
        <v>1703130</v>
      </c>
      <c r="C1325" s="5" t="s">
        <v>2240</v>
      </c>
      <c r="D1325" s="5" t="s">
        <v>3565</v>
      </c>
      <c r="E1325" s="11" t="s">
        <v>3573</v>
      </c>
      <c r="F1325" s="34" t="s">
        <v>3574</v>
      </c>
      <c r="G1325" s="26">
        <v>0.24200000000000002</v>
      </c>
      <c r="H1325" s="1" t="s">
        <v>774</v>
      </c>
      <c r="I1325" s="9">
        <v>100</v>
      </c>
      <c r="J1325" s="36">
        <v>0.06</v>
      </c>
    </row>
    <row r="1326" spans="2:10" s="44" customFormat="1" x14ac:dyDescent="0.35">
      <c r="B1326" s="9">
        <v>1703176</v>
      </c>
      <c r="C1326" s="5" t="s">
        <v>2796</v>
      </c>
      <c r="D1326" s="5" t="s">
        <v>3565</v>
      </c>
      <c r="E1326" s="5" t="s">
        <v>2921</v>
      </c>
      <c r="F1326" s="34" t="s">
        <v>3574</v>
      </c>
      <c r="G1326" s="26">
        <v>0.34</v>
      </c>
      <c r="H1326" s="1" t="s">
        <v>774</v>
      </c>
      <c r="I1326" s="9">
        <v>100</v>
      </c>
      <c r="J1326" s="36">
        <v>0.06</v>
      </c>
    </row>
    <row r="1327" spans="2:10" s="44" customFormat="1" x14ac:dyDescent="0.35">
      <c r="B1327" s="9">
        <v>1703263</v>
      </c>
      <c r="C1327" s="5" t="s">
        <v>1826</v>
      </c>
      <c r="D1327" s="5" t="s">
        <v>3565</v>
      </c>
      <c r="E1327" s="5" t="s">
        <v>2406</v>
      </c>
      <c r="F1327" s="34" t="s">
        <v>3574</v>
      </c>
      <c r="G1327" s="26">
        <v>1.7849999999999999</v>
      </c>
      <c r="H1327" s="1" t="s">
        <v>774</v>
      </c>
      <c r="I1327" s="9">
        <v>100</v>
      </c>
      <c r="J1327" s="36">
        <v>0.06</v>
      </c>
    </row>
    <row r="1328" spans="2:10" s="44" customFormat="1" x14ac:dyDescent="0.35">
      <c r="B1328" s="9">
        <v>1703313</v>
      </c>
      <c r="C1328" s="5" t="s">
        <v>2396</v>
      </c>
      <c r="D1328" s="5" t="s">
        <v>3565</v>
      </c>
      <c r="E1328" s="5" t="s">
        <v>2407</v>
      </c>
      <c r="F1328" s="34" t="s">
        <v>3574</v>
      </c>
      <c r="G1328" s="26">
        <v>0.94499999999999995</v>
      </c>
      <c r="H1328" s="1" t="s">
        <v>774</v>
      </c>
      <c r="I1328" s="9">
        <v>100</v>
      </c>
      <c r="J1328" s="36">
        <v>0.06</v>
      </c>
    </row>
    <row r="1329" spans="2:10" s="44" customFormat="1" x14ac:dyDescent="0.35">
      <c r="B1329" s="9">
        <v>1703314</v>
      </c>
      <c r="C1329" s="5" t="s">
        <v>2691</v>
      </c>
      <c r="D1329" s="5" t="s">
        <v>3565</v>
      </c>
      <c r="E1329" s="5" t="s">
        <v>2692</v>
      </c>
      <c r="F1329" s="34" t="s">
        <v>3574</v>
      </c>
      <c r="G1329" s="26">
        <v>0.61799999999999999</v>
      </c>
      <c r="H1329" s="1" t="s">
        <v>774</v>
      </c>
      <c r="I1329" s="9">
        <v>100</v>
      </c>
      <c r="J1329" s="36">
        <v>0.06</v>
      </c>
    </row>
    <row r="1330" spans="2:10" s="44" customFormat="1" x14ac:dyDescent="0.35">
      <c r="B1330" s="9">
        <v>2371115</v>
      </c>
      <c r="C1330" s="5" t="s">
        <v>3547</v>
      </c>
      <c r="D1330" s="5" t="s">
        <v>3567</v>
      </c>
      <c r="E1330" s="5" t="s">
        <v>3548</v>
      </c>
      <c r="F1330" s="35" t="s">
        <v>3569</v>
      </c>
      <c r="G1330" s="26">
        <v>245.74468085106383</v>
      </c>
      <c r="H1330" s="1" t="s">
        <v>774</v>
      </c>
      <c r="I1330" s="9">
        <v>4</v>
      </c>
      <c r="J1330" s="36">
        <v>0.1</v>
      </c>
    </row>
    <row r="1331" spans="2:10" s="44" customFormat="1" x14ac:dyDescent="0.35">
      <c r="B1331" s="9">
        <v>2375659</v>
      </c>
      <c r="C1331" s="5" t="s">
        <v>1995</v>
      </c>
      <c r="D1331" s="5" t="s">
        <v>3565</v>
      </c>
      <c r="E1331" s="11" t="s">
        <v>3573</v>
      </c>
      <c r="F1331" s="34" t="s">
        <v>3574</v>
      </c>
      <c r="G1331" s="26">
        <v>1.05</v>
      </c>
      <c r="H1331" s="1" t="s">
        <v>774</v>
      </c>
      <c r="I1331" s="9">
        <v>100</v>
      </c>
      <c r="J1331" s="36">
        <v>0.06</v>
      </c>
    </row>
    <row r="1332" spans="2:10" s="44" customFormat="1" x14ac:dyDescent="0.35">
      <c r="B1332" s="9">
        <v>2400308</v>
      </c>
      <c r="C1332" s="5" t="s">
        <v>2020</v>
      </c>
      <c r="D1332" s="5" t="s">
        <v>3565</v>
      </c>
      <c r="E1332" s="5" t="s">
        <v>2020</v>
      </c>
      <c r="F1332" s="34" t="s">
        <v>3574</v>
      </c>
      <c r="G1332" s="26">
        <v>0.26800000000000002</v>
      </c>
      <c r="H1332" s="1" t="s">
        <v>774</v>
      </c>
      <c r="I1332" s="9">
        <v>2500</v>
      </c>
      <c r="J1332" s="36">
        <v>0.06</v>
      </c>
    </row>
    <row r="1333" spans="2:10" s="44" customFormat="1" x14ac:dyDescent="0.35">
      <c r="B1333" s="9">
        <v>3010022</v>
      </c>
      <c r="C1333" s="5" t="s">
        <v>3474</v>
      </c>
      <c r="D1333" s="1" t="s">
        <v>115</v>
      </c>
      <c r="E1333" s="5" t="s">
        <v>3475</v>
      </c>
      <c r="F1333" s="34" t="s">
        <v>3574</v>
      </c>
      <c r="G1333" s="26">
        <v>273.75</v>
      </c>
      <c r="H1333" s="1" t="s">
        <v>774</v>
      </c>
      <c r="I1333" s="9">
        <v>1</v>
      </c>
      <c r="J1333" s="36">
        <v>0.06</v>
      </c>
    </row>
    <row r="1334" spans="2:10" s="44" customFormat="1" x14ac:dyDescent="0.35">
      <c r="B1334" s="9">
        <v>3010031</v>
      </c>
      <c r="C1334" s="5" t="s">
        <v>3445</v>
      </c>
      <c r="D1334" s="1" t="s">
        <v>115</v>
      </c>
      <c r="E1334" s="5" t="s">
        <v>3493</v>
      </c>
      <c r="F1334" s="34" t="s">
        <v>3574</v>
      </c>
      <c r="G1334" s="26">
        <v>186.6</v>
      </c>
      <c r="H1334" s="1" t="s">
        <v>774</v>
      </c>
      <c r="I1334" s="9">
        <v>1</v>
      </c>
      <c r="J1334" s="36">
        <v>0.06</v>
      </c>
    </row>
    <row r="1335" spans="2:10" s="44" customFormat="1" x14ac:dyDescent="0.35">
      <c r="B1335" s="9">
        <v>3010063</v>
      </c>
      <c r="C1335" s="5" t="s">
        <v>1711</v>
      </c>
      <c r="D1335" s="5" t="s">
        <v>3565</v>
      </c>
      <c r="E1335" s="5" t="s">
        <v>1708</v>
      </c>
      <c r="F1335" s="34" t="s">
        <v>3574</v>
      </c>
      <c r="G1335" s="26">
        <v>0.19900000000000001</v>
      </c>
      <c r="H1335" s="1" t="s">
        <v>774</v>
      </c>
      <c r="I1335" s="9">
        <v>100</v>
      </c>
      <c r="J1335" s="36">
        <v>0.06</v>
      </c>
    </row>
    <row r="1336" spans="2:10" s="44" customFormat="1" x14ac:dyDescent="0.35">
      <c r="B1336" s="9">
        <v>3010135</v>
      </c>
      <c r="C1336" s="5" t="s">
        <v>3467</v>
      </c>
      <c r="D1336" s="1" t="s">
        <v>115</v>
      </c>
      <c r="E1336" s="11" t="s">
        <v>3573</v>
      </c>
      <c r="F1336" s="34" t="s">
        <v>3574</v>
      </c>
      <c r="G1336" s="26">
        <v>233.1</v>
      </c>
      <c r="H1336" s="1" t="s">
        <v>774</v>
      </c>
      <c r="I1336" s="9">
        <v>1</v>
      </c>
      <c r="J1336" s="36">
        <v>0.06</v>
      </c>
    </row>
    <row r="1337" spans="2:10" s="44" customFormat="1" x14ac:dyDescent="0.35">
      <c r="B1337" s="9">
        <v>3010159</v>
      </c>
      <c r="C1337" s="5" t="s">
        <v>1502</v>
      </c>
      <c r="D1337" s="5" t="s">
        <v>3565</v>
      </c>
      <c r="E1337" s="5" t="s">
        <v>1503</v>
      </c>
      <c r="F1337" s="34" t="s">
        <v>3574</v>
      </c>
      <c r="G1337" s="26">
        <v>0.65899999999999992</v>
      </c>
      <c r="H1337" s="1" t="s">
        <v>774</v>
      </c>
      <c r="I1337" s="9">
        <v>100</v>
      </c>
      <c r="J1337" s="36">
        <v>0.06</v>
      </c>
    </row>
    <row r="1338" spans="2:10" s="44" customFormat="1" x14ac:dyDescent="0.35">
      <c r="B1338" s="9">
        <v>3010223</v>
      </c>
      <c r="C1338" s="5" t="s">
        <v>2260</v>
      </c>
      <c r="D1338" s="5" t="s">
        <v>3565</v>
      </c>
      <c r="E1338" s="5" t="s">
        <v>2261</v>
      </c>
      <c r="F1338" s="34" t="s">
        <v>3574</v>
      </c>
      <c r="G1338" s="26">
        <v>0.315</v>
      </c>
      <c r="H1338" s="1" t="s">
        <v>774</v>
      </c>
      <c r="I1338" s="9">
        <v>100</v>
      </c>
      <c r="J1338" s="36">
        <v>0.06</v>
      </c>
    </row>
    <row r="1339" spans="2:10" s="44" customFormat="1" x14ac:dyDescent="0.35">
      <c r="B1339" s="9">
        <v>3146459</v>
      </c>
      <c r="C1339" s="5" t="s">
        <v>2683</v>
      </c>
      <c r="D1339" s="5" t="s">
        <v>3565</v>
      </c>
      <c r="E1339" s="5" t="s">
        <v>2684</v>
      </c>
      <c r="F1339" s="34" t="s">
        <v>3574</v>
      </c>
      <c r="G1339" s="26">
        <v>0.40200000000000002</v>
      </c>
      <c r="H1339" s="1" t="s">
        <v>774</v>
      </c>
      <c r="I1339" s="9">
        <v>100</v>
      </c>
      <c r="J1339" s="36">
        <v>0.06</v>
      </c>
    </row>
    <row r="1340" spans="2:10" s="44" customFormat="1" x14ac:dyDescent="0.35">
      <c r="B1340" s="9">
        <v>3602600</v>
      </c>
      <c r="C1340" s="5" t="s">
        <v>712</v>
      </c>
      <c r="D1340" s="5" t="s">
        <v>3565</v>
      </c>
      <c r="E1340" s="5" t="s">
        <v>713</v>
      </c>
      <c r="F1340" s="34" t="s">
        <v>3574</v>
      </c>
      <c r="G1340" s="26">
        <v>1.0609999999999999</v>
      </c>
      <c r="H1340" s="1" t="s">
        <v>774</v>
      </c>
      <c r="I1340" s="9">
        <v>100</v>
      </c>
      <c r="J1340" s="36">
        <v>0.06</v>
      </c>
    </row>
    <row r="1341" spans="2:10" s="44" customFormat="1" x14ac:dyDescent="0.35">
      <c r="B1341" s="9">
        <v>3602627</v>
      </c>
      <c r="C1341" s="5" t="s">
        <v>826</v>
      </c>
      <c r="D1341" s="5" t="s">
        <v>3564</v>
      </c>
      <c r="E1341" s="5">
        <v>10142863</v>
      </c>
      <c r="F1341" s="34" t="s">
        <v>3552</v>
      </c>
      <c r="G1341" s="26">
        <v>59.4</v>
      </c>
      <c r="H1341" s="1" t="s">
        <v>774</v>
      </c>
      <c r="I1341" s="9">
        <v>1</v>
      </c>
      <c r="J1341" s="36">
        <v>0.1</v>
      </c>
    </row>
    <row r="1342" spans="2:10" s="44" customFormat="1" x14ac:dyDescent="0.35">
      <c r="B1342" s="9">
        <v>3603018</v>
      </c>
      <c r="C1342" s="5" t="s">
        <v>2626</v>
      </c>
      <c r="D1342" s="5" t="s">
        <v>3565</v>
      </c>
      <c r="E1342" s="5" t="s">
        <v>2627</v>
      </c>
      <c r="F1342" s="34" t="s">
        <v>3574</v>
      </c>
      <c r="G1342" s="26">
        <v>0.82400000000000007</v>
      </c>
      <c r="H1342" s="1" t="s">
        <v>774</v>
      </c>
      <c r="I1342" s="9">
        <v>1000</v>
      </c>
      <c r="J1342" s="36">
        <v>0.06</v>
      </c>
    </row>
    <row r="1343" spans="2:10" s="44" customFormat="1" x14ac:dyDescent="0.35">
      <c r="B1343" s="9">
        <v>4000005</v>
      </c>
      <c r="C1343" s="5" t="s">
        <v>1540</v>
      </c>
      <c r="D1343" s="5" t="s">
        <v>3565</v>
      </c>
      <c r="E1343" s="5" t="s">
        <v>1097</v>
      </c>
      <c r="F1343" s="34" t="s">
        <v>3574</v>
      </c>
      <c r="G1343" s="26">
        <v>0.33200000000000002</v>
      </c>
      <c r="H1343" s="1" t="s">
        <v>774</v>
      </c>
      <c r="I1343" s="9">
        <v>100</v>
      </c>
      <c r="J1343" s="36">
        <v>0.06</v>
      </c>
    </row>
    <row r="1344" spans="2:10" s="44" customFormat="1" x14ac:dyDescent="0.35">
      <c r="B1344" s="9">
        <v>4000012</v>
      </c>
      <c r="C1344" s="5" t="s">
        <v>2452</v>
      </c>
      <c r="D1344" s="5" t="s">
        <v>3565</v>
      </c>
      <c r="E1344" s="5" t="s">
        <v>2453</v>
      </c>
      <c r="F1344" s="34" t="s">
        <v>3574</v>
      </c>
      <c r="G1344" s="26">
        <v>1.1399999999999999</v>
      </c>
      <c r="H1344" s="1" t="s">
        <v>774</v>
      </c>
      <c r="I1344" s="9">
        <v>100</v>
      </c>
      <c r="J1344" s="36">
        <v>0.06</v>
      </c>
    </row>
    <row r="1345" spans="2:10" s="44" customFormat="1" x14ac:dyDescent="0.35">
      <c r="B1345" s="9">
        <v>4000017</v>
      </c>
      <c r="C1345" s="5" t="s">
        <v>987</v>
      </c>
      <c r="D1345" s="5" t="s">
        <v>3565</v>
      </c>
      <c r="E1345" s="5" t="s">
        <v>900</v>
      </c>
      <c r="F1345" s="34" t="s">
        <v>3574</v>
      </c>
      <c r="G1345" s="26">
        <v>0.41499999999999998</v>
      </c>
      <c r="H1345" s="1" t="s">
        <v>774</v>
      </c>
      <c r="I1345" s="9">
        <v>100</v>
      </c>
      <c r="J1345" s="36">
        <v>0.06</v>
      </c>
    </row>
    <row r="1346" spans="2:10" s="44" customFormat="1" x14ac:dyDescent="0.35">
      <c r="B1346" s="9">
        <v>4000025</v>
      </c>
      <c r="C1346" s="5" t="s">
        <v>1547</v>
      </c>
      <c r="D1346" s="5" t="s">
        <v>3565</v>
      </c>
      <c r="E1346" s="5" t="s">
        <v>959</v>
      </c>
      <c r="F1346" s="34" t="s">
        <v>3574</v>
      </c>
      <c r="G1346" s="26">
        <v>0.74399999999999988</v>
      </c>
      <c r="H1346" s="1" t="s">
        <v>774</v>
      </c>
      <c r="I1346" s="9">
        <v>100</v>
      </c>
      <c r="J1346" s="36">
        <v>0.06</v>
      </c>
    </row>
    <row r="1347" spans="2:10" s="44" customFormat="1" x14ac:dyDescent="0.35">
      <c r="B1347" s="9">
        <v>4000026</v>
      </c>
      <c r="C1347" s="5" t="s">
        <v>2653</v>
      </c>
      <c r="D1347" s="5" t="s">
        <v>3565</v>
      </c>
      <c r="E1347" s="5" t="s">
        <v>2654</v>
      </c>
      <c r="F1347" s="34" t="s">
        <v>3574</v>
      </c>
      <c r="G1347" s="26">
        <v>1.133</v>
      </c>
      <c r="H1347" s="1" t="s">
        <v>774</v>
      </c>
      <c r="I1347" s="9">
        <v>100</v>
      </c>
      <c r="J1347" s="36">
        <v>0.06</v>
      </c>
    </row>
    <row r="1348" spans="2:10" s="44" customFormat="1" x14ac:dyDescent="0.35">
      <c r="B1348" s="9">
        <v>4000031</v>
      </c>
      <c r="C1348" s="5" t="s">
        <v>2450</v>
      </c>
      <c r="D1348" s="5" t="s">
        <v>3565</v>
      </c>
      <c r="E1348" s="5" t="s">
        <v>2451</v>
      </c>
      <c r="F1348" s="34" t="s">
        <v>3574</v>
      </c>
      <c r="G1348" s="26">
        <v>1.6879999999999997</v>
      </c>
      <c r="H1348" s="1" t="s">
        <v>774</v>
      </c>
      <c r="I1348" s="9">
        <v>100</v>
      </c>
      <c r="J1348" s="36">
        <v>0.06</v>
      </c>
    </row>
    <row r="1349" spans="2:10" s="44" customFormat="1" x14ac:dyDescent="0.35">
      <c r="B1349" s="9">
        <v>4000032</v>
      </c>
      <c r="C1349" s="5" t="s">
        <v>1117</v>
      </c>
      <c r="D1349" s="5" t="s">
        <v>3565</v>
      </c>
      <c r="E1349" s="5" t="s">
        <v>900</v>
      </c>
      <c r="F1349" s="34" t="s">
        <v>3574</v>
      </c>
      <c r="G1349" s="26">
        <v>0.72499999999999998</v>
      </c>
      <c r="H1349" s="1" t="s">
        <v>774</v>
      </c>
      <c r="I1349" s="9">
        <v>100</v>
      </c>
      <c r="J1349" s="36">
        <v>0.06</v>
      </c>
    </row>
    <row r="1350" spans="2:10" s="44" customFormat="1" x14ac:dyDescent="0.35">
      <c r="B1350" s="9">
        <v>4000044</v>
      </c>
      <c r="C1350" s="5" t="s">
        <v>2034</v>
      </c>
      <c r="D1350" s="5" t="s">
        <v>3565</v>
      </c>
      <c r="E1350" s="5" t="s">
        <v>959</v>
      </c>
      <c r="F1350" s="34" t="s">
        <v>3574</v>
      </c>
      <c r="G1350" s="26">
        <v>1.974</v>
      </c>
      <c r="H1350" s="1" t="s">
        <v>774</v>
      </c>
      <c r="I1350" s="9">
        <v>50</v>
      </c>
      <c r="J1350" s="36">
        <v>0.06</v>
      </c>
    </row>
    <row r="1351" spans="2:10" s="44" customFormat="1" x14ac:dyDescent="0.35">
      <c r="B1351" s="9">
        <v>4000048</v>
      </c>
      <c r="C1351" s="5" t="s">
        <v>1844</v>
      </c>
      <c r="D1351" s="5" t="s">
        <v>3565</v>
      </c>
      <c r="E1351" s="5" t="s">
        <v>2236</v>
      </c>
      <c r="F1351" s="34" t="s">
        <v>3574</v>
      </c>
      <c r="G1351" s="26">
        <v>0.14699999999999999</v>
      </c>
      <c r="H1351" s="1" t="s">
        <v>774</v>
      </c>
      <c r="I1351" s="9">
        <v>100</v>
      </c>
      <c r="J1351" s="36">
        <v>0.06</v>
      </c>
    </row>
    <row r="1352" spans="2:10" s="44" customFormat="1" x14ac:dyDescent="0.35">
      <c r="B1352" s="9">
        <v>4000049</v>
      </c>
      <c r="C1352" s="5" t="s">
        <v>1154</v>
      </c>
      <c r="D1352" s="5" t="s">
        <v>3565</v>
      </c>
      <c r="E1352" s="5" t="s">
        <v>1146</v>
      </c>
      <c r="F1352" s="34" t="s">
        <v>3574</v>
      </c>
      <c r="G1352" s="26">
        <v>0.26</v>
      </c>
      <c r="H1352" s="1" t="s">
        <v>774</v>
      </c>
      <c r="I1352" s="9">
        <v>100</v>
      </c>
      <c r="J1352" s="36">
        <v>0.06</v>
      </c>
    </row>
    <row r="1353" spans="2:10" s="44" customFormat="1" x14ac:dyDescent="0.35">
      <c r="B1353" s="9">
        <v>4000053</v>
      </c>
      <c r="C1353" s="5" t="s">
        <v>3155</v>
      </c>
      <c r="D1353" s="5" t="s">
        <v>3565</v>
      </c>
      <c r="E1353" s="5" t="s">
        <v>3156</v>
      </c>
      <c r="F1353" s="34" t="s">
        <v>3574</v>
      </c>
      <c r="G1353" s="26">
        <v>0.3</v>
      </c>
      <c r="H1353" s="1" t="s">
        <v>774</v>
      </c>
      <c r="I1353" s="9">
        <v>100</v>
      </c>
      <c r="J1353" s="36">
        <v>0.06</v>
      </c>
    </row>
    <row r="1354" spans="2:10" s="44" customFormat="1" x14ac:dyDescent="0.35">
      <c r="B1354" s="9">
        <v>4000059</v>
      </c>
      <c r="C1354" s="5" t="s">
        <v>1189</v>
      </c>
      <c r="D1354" s="5" t="s">
        <v>3565</v>
      </c>
      <c r="E1354" s="5" t="s">
        <v>1186</v>
      </c>
      <c r="F1354" s="34" t="s">
        <v>3574</v>
      </c>
      <c r="G1354" s="26">
        <v>0.19400000000000003</v>
      </c>
      <c r="H1354" s="1" t="s">
        <v>774</v>
      </c>
      <c r="I1354" s="9">
        <v>100</v>
      </c>
      <c r="J1354" s="36">
        <v>0.06</v>
      </c>
    </row>
    <row r="1355" spans="2:10" s="44" customFormat="1" x14ac:dyDescent="0.35">
      <c r="B1355" s="9">
        <v>4000065</v>
      </c>
      <c r="C1355" s="5" t="s">
        <v>1124</v>
      </c>
      <c r="D1355" s="5" t="s">
        <v>3565</v>
      </c>
      <c r="E1355" s="5" t="s">
        <v>1123</v>
      </c>
      <c r="F1355" s="34" t="s">
        <v>3574</v>
      </c>
      <c r="G1355" s="26">
        <v>0.74899999999999989</v>
      </c>
      <c r="H1355" s="1" t="s">
        <v>774</v>
      </c>
      <c r="I1355" s="9">
        <v>100</v>
      </c>
      <c r="J1355" s="36">
        <v>0.06</v>
      </c>
    </row>
    <row r="1356" spans="2:10" s="44" customFormat="1" x14ac:dyDescent="0.35">
      <c r="B1356" s="9">
        <v>4000066</v>
      </c>
      <c r="C1356" s="5" t="s">
        <v>1122</v>
      </c>
      <c r="D1356" s="5" t="s">
        <v>3565</v>
      </c>
      <c r="E1356" s="5" t="s">
        <v>1123</v>
      </c>
      <c r="F1356" s="34" t="s">
        <v>3574</v>
      </c>
      <c r="G1356" s="26">
        <v>2.528</v>
      </c>
      <c r="H1356" s="1" t="s">
        <v>774</v>
      </c>
      <c r="I1356" s="9">
        <v>100</v>
      </c>
      <c r="J1356" s="36">
        <v>0.06</v>
      </c>
    </row>
    <row r="1357" spans="2:10" s="44" customFormat="1" x14ac:dyDescent="0.35">
      <c r="B1357" s="9">
        <v>4000070</v>
      </c>
      <c r="C1357" s="5" t="s">
        <v>721</v>
      </c>
      <c r="D1357" s="5" t="s">
        <v>3565</v>
      </c>
      <c r="E1357" s="5">
        <v>1253131</v>
      </c>
      <c r="F1357" s="34" t="s">
        <v>3574</v>
      </c>
      <c r="G1357" s="26">
        <v>1.4999999999999999E-2</v>
      </c>
      <c r="H1357" s="1" t="s">
        <v>774</v>
      </c>
      <c r="I1357" s="9">
        <v>200</v>
      </c>
      <c r="J1357" s="36">
        <v>0.06</v>
      </c>
    </row>
    <row r="1358" spans="2:10" s="44" customFormat="1" x14ac:dyDescent="0.35">
      <c r="B1358" s="9">
        <v>4000077</v>
      </c>
      <c r="C1358" s="5" t="s">
        <v>1231</v>
      </c>
      <c r="D1358" s="5" t="s">
        <v>3565</v>
      </c>
      <c r="E1358" s="5" t="s">
        <v>1232</v>
      </c>
      <c r="F1358" s="34" t="s">
        <v>3574</v>
      </c>
      <c r="G1358" s="26">
        <v>5.7999999999999996E-2</v>
      </c>
      <c r="H1358" s="1" t="s">
        <v>774</v>
      </c>
      <c r="I1358" s="9">
        <v>100</v>
      </c>
      <c r="J1358" s="36">
        <v>0.06</v>
      </c>
    </row>
    <row r="1359" spans="2:10" s="44" customFormat="1" x14ac:dyDescent="0.35">
      <c r="B1359" s="9">
        <v>4000089</v>
      </c>
      <c r="C1359" s="5" t="s">
        <v>1171</v>
      </c>
      <c r="D1359" s="5" t="s">
        <v>3565</v>
      </c>
      <c r="E1359" s="5" t="s">
        <v>1172</v>
      </c>
      <c r="F1359" s="34" t="s">
        <v>3574</v>
      </c>
      <c r="G1359" s="26">
        <v>0.47899999999999998</v>
      </c>
      <c r="H1359" s="1" t="s">
        <v>774</v>
      </c>
      <c r="I1359" s="9">
        <v>100</v>
      </c>
      <c r="J1359" s="36">
        <v>0.06</v>
      </c>
    </row>
    <row r="1360" spans="2:10" s="44" customFormat="1" x14ac:dyDescent="0.35">
      <c r="B1360" s="9">
        <v>4000096</v>
      </c>
      <c r="C1360" s="5" t="s">
        <v>1203</v>
      </c>
      <c r="D1360" s="5" t="s">
        <v>3565</v>
      </c>
      <c r="E1360" s="5" t="s">
        <v>1202</v>
      </c>
      <c r="F1360" s="34" t="s">
        <v>3574</v>
      </c>
      <c r="G1360" s="26">
        <v>6.1999999999999993E-2</v>
      </c>
      <c r="H1360" s="1" t="s">
        <v>774</v>
      </c>
      <c r="I1360" s="9">
        <v>200</v>
      </c>
      <c r="J1360" s="36">
        <v>0.06</v>
      </c>
    </row>
    <row r="1361" spans="2:10" s="44" customFormat="1" x14ac:dyDescent="0.35">
      <c r="B1361" s="9">
        <v>4000104</v>
      </c>
      <c r="C1361" s="5" t="s">
        <v>3371</v>
      </c>
      <c r="D1361" s="5" t="s">
        <v>3565</v>
      </c>
      <c r="E1361" s="11" t="s">
        <v>3573</v>
      </c>
      <c r="F1361" s="34" t="s">
        <v>3574</v>
      </c>
      <c r="G1361" s="26">
        <v>1.2</v>
      </c>
      <c r="H1361" s="1" t="s">
        <v>774</v>
      </c>
      <c r="I1361" s="9">
        <v>100</v>
      </c>
      <c r="J1361" s="36">
        <v>0.06</v>
      </c>
    </row>
    <row r="1362" spans="2:10" s="44" customFormat="1" x14ac:dyDescent="0.35">
      <c r="B1362" s="9">
        <v>4000107</v>
      </c>
      <c r="C1362" s="5" t="s">
        <v>1723</v>
      </c>
      <c r="D1362" s="5" t="s">
        <v>3565</v>
      </c>
      <c r="E1362" s="5" t="s">
        <v>1724</v>
      </c>
      <c r="F1362" s="34" t="s">
        <v>3574</v>
      </c>
      <c r="G1362" s="26">
        <v>1.8000000000000002E-2</v>
      </c>
      <c r="H1362" s="1" t="s">
        <v>774</v>
      </c>
      <c r="I1362" s="9">
        <v>200</v>
      </c>
      <c r="J1362" s="36">
        <v>0.06</v>
      </c>
    </row>
    <row r="1363" spans="2:10" s="44" customFormat="1" x14ac:dyDescent="0.35">
      <c r="B1363" s="9">
        <v>4000112</v>
      </c>
      <c r="C1363" s="5" t="s">
        <v>1516</v>
      </c>
      <c r="D1363" s="5" t="s">
        <v>3565</v>
      </c>
      <c r="E1363" s="5" t="s">
        <v>1517</v>
      </c>
      <c r="F1363" s="34" t="s">
        <v>3574</v>
      </c>
      <c r="G1363" s="26">
        <v>0.23700000000000002</v>
      </c>
      <c r="H1363" s="1" t="s">
        <v>774</v>
      </c>
      <c r="I1363" s="9">
        <v>100</v>
      </c>
      <c r="J1363" s="36">
        <v>0.06</v>
      </c>
    </row>
    <row r="1364" spans="2:10" s="44" customFormat="1" x14ac:dyDescent="0.35">
      <c r="B1364" s="9">
        <v>4000115</v>
      </c>
      <c r="C1364" s="5" t="s">
        <v>1198</v>
      </c>
      <c r="D1364" s="5" t="s">
        <v>3565</v>
      </c>
      <c r="E1364" s="5" t="s">
        <v>871</v>
      </c>
      <c r="F1364" s="34" t="s">
        <v>3574</v>
      </c>
      <c r="G1364" s="26">
        <v>0.10099999999999999</v>
      </c>
      <c r="H1364" s="1" t="s">
        <v>774</v>
      </c>
      <c r="I1364" s="9">
        <v>100</v>
      </c>
      <c r="J1364" s="36">
        <v>0.06</v>
      </c>
    </row>
    <row r="1365" spans="2:10" s="44" customFormat="1" x14ac:dyDescent="0.35">
      <c r="B1365" s="9">
        <v>4000118</v>
      </c>
      <c r="C1365" s="5" t="s">
        <v>1217</v>
      </c>
      <c r="D1365" s="5" t="s">
        <v>3565</v>
      </c>
      <c r="E1365" s="5" t="s">
        <v>1218</v>
      </c>
      <c r="F1365" s="34" t="s">
        <v>3574</v>
      </c>
      <c r="G1365" s="26">
        <v>1.4000000000000002E-2</v>
      </c>
      <c r="H1365" s="1" t="s">
        <v>774</v>
      </c>
      <c r="I1365" s="9">
        <v>200</v>
      </c>
      <c r="J1365" s="36">
        <v>0.06</v>
      </c>
    </row>
    <row r="1366" spans="2:10" s="44" customFormat="1" x14ac:dyDescent="0.35">
      <c r="B1366" s="9">
        <v>4000120</v>
      </c>
      <c r="C1366" s="5" t="s">
        <v>1222</v>
      </c>
      <c r="D1366" s="5" t="s">
        <v>3565</v>
      </c>
      <c r="E1366" s="5" t="s">
        <v>1218</v>
      </c>
      <c r="F1366" s="34" t="s">
        <v>3574</v>
      </c>
      <c r="G1366" s="26">
        <v>3.1E-2</v>
      </c>
      <c r="H1366" s="1" t="s">
        <v>774</v>
      </c>
      <c r="I1366" s="9">
        <v>200</v>
      </c>
      <c r="J1366" s="36">
        <v>0.06</v>
      </c>
    </row>
    <row r="1367" spans="2:10" s="44" customFormat="1" x14ac:dyDescent="0.35">
      <c r="B1367" s="9">
        <v>4000121</v>
      </c>
      <c r="C1367" s="5" t="s">
        <v>1223</v>
      </c>
      <c r="D1367" s="5" t="s">
        <v>3565</v>
      </c>
      <c r="E1367" s="5" t="s">
        <v>1218</v>
      </c>
      <c r="F1367" s="34" t="s">
        <v>3574</v>
      </c>
      <c r="G1367" s="26">
        <v>0.114</v>
      </c>
      <c r="H1367" s="1" t="s">
        <v>774</v>
      </c>
      <c r="I1367" s="9">
        <v>100</v>
      </c>
      <c r="J1367" s="36">
        <v>0.06</v>
      </c>
    </row>
    <row r="1368" spans="2:10" s="44" customFormat="1" x14ac:dyDescent="0.35">
      <c r="B1368" s="9">
        <v>4000122</v>
      </c>
      <c r="C1368" s="5" t="s">
        <v>1224</v>
      </c>
      <c r="D1368" s="5" t="s">
        <v>3565</v>
      </c>
      <c r="E1368" s="5" t="s">
        <v>1218</v>
      </c>
      <c r="F1368" s="34" t="s">
        <v>3574</v>
      </c>
      <c r="G1368" s="26">
        <v>0.14899999999999999</v>
      </c>
      <c r="H1368" s="1" t="s">
        <v>774</v>
      </c>
      <c r="I1368" s="9">
        <v>100</v>
      </c>
      <c r="J1368" s="36">
        <v>0.06</v>
      </c>
    </row>
    <row r="1369" spans="2:10" s="44" customFormat="1" x14ac:dyDescent="0.35">
      <c r="B1369" s="9">
        <v>4000134</v>
      </c>
      <c r="C1369" s="5" t="s">
        <v>2804</v>
      </c>
      <c r="D1369" s="5" t="s">
        <v>3565</v>
      </c>
      <c r="E1369" s="5" t="s">
        <v>2805</v>
      </c>
      <c r="F1369" s="34" t="s">
        <v>3574</v>
      </c>
      <c r="G1369" s="26">
        <v>0.22700000000000004</v>
      </c>
      <c r="H1369" s="1" t="s">
        <v>774</v>
      </c>
      <c r="I1369" s="9">
        <v>100</v>
      </c>
      <c r="J1369" s="36">
        <v>0.06</v>
      </c>
    </row>
    <row r="1370" spans="2:10" s="44" customFormat="1" x14ac:dyDescent="0.35">
      <c r="B1370" s="9">
        <v>4000137</v>
      </c>
      <c r="C1370" s="5" t="s">
        <v>1490</v>
      </c>
      <c r="D1370" s="5" t="s">
        <v>3565</v>
      </c>
      <c r="E1370" s="5" t="s">
        <v>1491</v>
      </c>
      <c r="F1370" s="34" t="s">
        <v>3574</v>
      </c>
      <c r="G1370" s="26">
        <v>0.53300000000000003</v>
      </c>
      <c r="H1370" s="1" t="s">
        <v>774</v>
      </c>
      <c r="I1370" s="9">
        <v>100</v>
      </c>
      <c r="J1370" s="36">
        <v>0.06</v>
      </c>
    </row>
    <row r="1371" spans="2:10" s="44" customFormat="1" x14ac:dyDescent="0.35">
      <c r="B1371" s="9">
        <v>4000144</v>
      </c>
      <c r="C1371" s="5" t="s">
        <v>975</v>
      </c>
      <c r="D1371" s="5" t="s">
        <v>3565</v>
      </c>
      <c r="E1371" s="5" t="s">
        <v>976</v>
      </c>
      <c r="F1371" s="34" t="s">
        <v>3574</v>
      </c>
      <c r="G1371" s="26">
        <v>1.9000000000000003E-2</v>
      </c>
      <c r="H1371" s="1" t="s">
        <v>774</v>
      </c>
      <c r="I1371" s="9">
        <v>200</v>
      </c>
      <c r="J1371" s="36">
        <v>0.06</v>
      </c>
    </row>
    <row r="1372" spans="2:10" s="44" customFormat="1" x14ac:dyDescent="0.35">
      <c r="B1372" s="9">
        <v>4000145</v>
      </c>
      <c r="C1372" s="5" t="s">
        <v>977</v>
      </c>
      <c r="D1372" s="5" t="s">
        <v>3565</v>
      </c>
      <c r="E1372" s="5" t="s">
        <v>976</v>
      </c>
      <c r="F1372" s="34" t="s">
        <v>3574</v>
      </c>
      <c r="G1372" s="26">
        <v>3.1E-2</v>
      </c>
      <c r="H1372" s="1" t="s">
        <v>774</v>
      </c>
      <c r="I1372" s="9">
        <v>200</v>
      </c>
      <c r="J1372" s="36">
        <v>0.06</v>
      </c>
    </row>
    <row r="1373" spans="2:10" s="44" customFormat="1" x14ac:dyDescent="0.35">
      <c r="B1373" s="9">
        <v>4000147</v>
      </c>
      <c r="C1373" s="5" t="s">
        <v>1699</v>
      </c>
      <c r="D1373" s="5" t="s">
        <v>3565</v>
      </c>
      <c r="E1373" s="5" t="s">
        <v>976</v>
      </c>
      <c r="F1373" s="34" t="s">
        <v>3574</v>
      </c>
      <c r="G1373" s="26">
        <v>8.6999999999999994E-2</v>
      </c>
      <c r="H1373" s="1" t="s">
        <v>774</v>
      </c>
      <c r="I1373" s="9">
        <v>200</v>
      </c>
      <c r="J1373" s="36">
        <v>0.06</v>
      </c>
    </row>
    <row r="1374" spans="2:10" s="44" customFormat="1" x14ac:dyDescent="0.35">
      <c r="B1374" s="9">
        <v>4000155</v>
      </c>
      <c r="C1374" s="5" t="s">
        <v>2789</v>
      </c>
      <c r="D1374" s="5" t="s">
        <v>3565</v>
      </c>
      <c r="E1374" s="5" t="s">
        <v>2790</v>
      </c>
      <c r="F1374" s="34" t="s">
        <v>3574</v>
      </c>
      <c r="G1374" s="26">
        <v>0.21600000000000003</v>
      </c>
      <c r="H1374" s="1" t="s">
        <v>774</v>
      </c>
      <c r="I1374" s="9">
        <v>100</v>
      </c>
      <c r="J1374" s="36">
        <v>0.06</v>
      </c>
    </row>
    <row r="1375" spans="2:10" s="44" customFormat="1" x14ac:dyDescent="0.35">
      <c r="B1375" s="9">
        <v>4000157</v>
      </c>
      <c r="C1375" s="5" t="s">
        <v>1196</v>
      </c>
      <c r="D1375" s="5" t="s">
        <v>3565</v>
      </c>
      <c r="E1375" s="5" t="s">
        <v>1197</v>
      </c>
      <c r="F1375" s="34" t="s">
        <v>3574</v>
      </c>
      <c r="G1375" s="26">
        <v>4.6999999999999993E-2</v>
      </c>
      <c r="H1375" s="1" t="s">
        <v>774</v>
      </c>
      <c r="I1375" s="9">
        <v>100</v>
      </c>
      <c r="J1375" s="36">
        <v>0.06</v>
      </c>
    </row>
    <row r="1376" spans="2:10" s="44" customFormat="1" x14ac:dyDescent="0.35">
      <c r="B1376" s="9">
        <v>4000175</v>
      </c>
      <c r="C1376" s="5" t="s">
        <v>2701</v>
      </c>
      <c r="D1376" s="5" t="s">
        <v>3565</v>
      </c>
      <c r="E1376" s="5" t="s">
        <v>2702</v>
      </c>
      <c r="F1376" s="34" t="s">
        <v>3574</v>
      </c>
      <c r="G1376" s="26">
        <v>0.19800000000000001</v>
      </c>
      <c r="H1376" s="1" t="s">
        <v>774</v>
      </c>
      <c r="I1376" s="9">
        <v>100</v>
      </c>
      <c r="J1376" s="36">
        <v>0.06</v>
      </c>
    </row>
    <row r="1377" spans="2:10" s="44" customFormat="1" x14ac:dyDescent="0.35">
      <c r="B1377" s="9">
        <v>4000186</v>
      </c>
      <c r="C1377" s="5" t="s">
        <v>668</v>
      </c>
      <c r="D1377" s="5" t="s">
        <v>3565</v>
      </c>
      <c r="E1377" s="5" t="s">
        <v>2655</v>
      </c>
      <c r="F1377" s="34" t="s">
        <v>3574</v>
      </c>
      <c r="G1377" s="26">
        <v>0.155</v>
      </c>
      <c r="H1377" s="1" t="s">
        <v>774</v>
      </c>
      <c r="I1377" s="9">
        <v>100</v>
      </c>
      <c r="J1377" s="36">
        <v>0.06</v>
      </c>
    </row>
    <row r="1378" spans="2:10" s="44" customFormat="1" x14ac:dyDescent="0.35">
      <c r="B1378" s="9">
        <v>4000187</v>
      </c>
      <c r="C1378" s="5" t="s">
        <v>870</v>
      </c>
      <c r="D1378" s="5" t="s">
        <v>3565</v>
      </c>
      <c r="E1378" s="5" t="s">
        <v>871</v>
      </c>
      <c r="F1378" s="34" t="s">
        <v>3574</v>
      </c>
      <c r="G1378" s="26">
        <v>6.6000000000000003E-2</v>
      </c>
      <c r="H1378" s="1" t="s">
        <v>774</v>
      </c>
      <c r="I1378" s="9">
        <v>100</v>
      </c>
      <c r="J1378" s="36">
        <v>0.06</v>
      </c>
    </row>
    <row r="1379" spans="2:10" s="44" customFormat="1" x14ac:dyDescent="0.35">
      <c r="B1379" s="9">
        <v>4000189</v>
      </c>
      <c r="C1379" s="5" t="s">
        <v>2922</v>
      </c>
      <c r="D1379" s="5" t="s">
        <v>3565</v>
      </c>
      <c r="E1379" s="5" t="s">
        <v>2923</v>
      </c>
      <c r="F1379" s="34" t="s">
        <v>3574</v>
      </c>
      <c r="G1379" s="26">
        <v>0.10300000000000001</v>
      </c>
      <c r="H1379" s="1" t="s">
        <v>774</v>
      </c>
      <c r="I1379" s="9">
        <v>100</v>
      </c>
      <c r="J1379" s="36">
        <v>0.06</v>
      </c>
    </row>
    <row r="1380" spans="2:10" s="44" customFormat="1" x14ac:dyDescent="0.35">
      <c r="B1380" s="9">
        <v>4000194</v>
      </c>
      <c r="C1380" s="5" t="s">
        <v>1469</v>
      </c>
      <c r="D1380" s="5" t="s">
        <v>3565</v>
      </c>
      <c r="E1380" s="5" t="s">
        <v>1470</v>
      </c>
      <c r="F1380" s="34" t="s">
        <v>3574</v>
      </c>
      <c r="G1380" s="26">
        <v>0.16200000000000003</v>
      </c>
      <c r="H1380" s="1" t="s">
        <v>774</v>
      </c>
      <c r="I1380" s="9">
        <v>100</v>
      </c>
      <c r="J1380" s="36">
        <v>0.06</v>
      </c>
    </row>
    <row r="1381" spans="2:10" s="44" customFormat="1" x14ac:dyDescent="0.35">
      <c r="B1381" s="9">
        <v>4000202</v>
      </c>
      <c r="C1381" s="5" t="s">
        <v>1035</v>
      </c>
      <c r="D1381" s="5" t="s">
        <v>3565</v>
      </c>
      <c r="E1381" s="5" t="s">
        <v>1036</v>
      </c>
      <c r="F1381" s="34" t="s">
        <v>3574</v>
      </c>
      <c r="G1381" s="26">
        <v>1.1000000000000001E-2</v>
      </c>
      <c r="H1381" s="1" t="s">
        <v>774</v>
      </c>
      <c r="I1381" s="9">
        <v>200</v>
      </c>
      <c r="J1381" s="36">
        <v>0.06</v>
      </c>
    </row>
    <row r="1382" spans="2:10" s="44" customFormat="1" x14ac:dyDescent="0.35">
      <c r="B1382" s="9">
        <v>4000204</v>
      </c>
      <c r="C1382" s="5" t="s">
        <v>1608</v>
      </c>
      <c r="D1382" s="5" t="s">
        <v>3565</v>
      </c>
      <c r="E1382" s="5" t="s">
        <v>909</v>
      </c>
      <c r="F1382" s="34" t="s">
        <v>3574</v>
      </c>
      <c r="G1382" s="26">
        <v>1.357</v>
      </c>
      <c r="H1382" s="1" t="s">
        <v>774</v>
      </c>
      <c r="I1382" s="9">
        <v>100</v>
      </c>
      <c r="J1382" s="36">
        <v>0.06</v>
      </c>
    </row>
    <row r="1383" spans="2:10" s="44" customFormat="1" x14ac:dyDescent="0.35">
      <c r="B1383" s="9">
        <v>4000206</v>
      </c>
      <c r="C1383" s="5" t="s">
        <v>2073</v>
      </c>
      <c r="D1383" s="5" t="s">
        <v>3565</v>
      </c>
      <c r="E1383" s="5" t="s">
        <v>2197</v>
      </c>
      <c r="F1383" s="34" t="s">
        <v>3574</v>
      </c>
      <c r="G1383" s="26">
        <v>0.63</v>
      </c>
      <c r="H1383" s="1" t="s">
        <v>774</v>
      </c>
      <c r="I1383" s="9">
        <v>100</v>
      </c>
      <c r="J1383" s="36">
        <v>0.06</v>
      </c>
    </row>
    <row r="1384" spans="2:10" s="44" customFormat="1" x14ac:dyDescent="0.35">
      <c r="B1384" s="9">
        <v>4000207</v>
      </c>
      <c r="C1384" s="5" t="s">
        <v>951</v>
      </c>
      <c r="D1384" s="5" t="s">
        <v>3565</v>
      </c>
      <c r="E1384" s="5" t="s">
        <v>952</v>
      </c>
      <c r="F1384" s="34" t="s">
        <v>3574</v>
      </c>
      <c r="G1384" s="26">
        <v>0.39899999999999997</v>
      </c>
      <c r="H1384" s="1" t="s">
        <v>774</v>
      </c>
      <c r="I1384" s="9">
        <v>100</v>
      </c>
      <c r="J1384" s="36">
        <v>0.06</v>
      </c>
    </row>
    <row r="1385" spans="2:10" s="44" customFormat="1" x14ac:dyDescent="0.35">
      <c r="B1385" s="9">
        <v>4000209</v>
      </c>
      <c r="C1385" s="5" t="s">
        <v>2025</v>
      </c>
      <c r="D1385" s="5" t="s">
        <v>3565</v>
      </c>
      <c r="E1385" s="5" t="s">
        <v>2026</v>
      </c>
      <c r="F1385" s="34" t="s">
        <v>3574</v>
      </c>
      <c r="G1385" s="26">
        <v>0.52500000000000002</v>
      </c>
      <c r="H1385" s="1" t="s">
        <v>774</v>
      </c>
      <c r="I1385" s="9">
        <v>100</v>
      </c>
      <c r="J1385" s="36">
        <v>0.06</v>
      </c>
    </row>
    <row r="1386" spans="2:10" s="44" customFormat="1" x14ac:dyDescent="0.35">
      <c r="B1386" s="9">
        <v>4000210</v>
      </c>
      <c r="C1386" s="5" t="s">
        <v>1199</v>
      </c>
      <c r="D1386" s="5" t="s">
        <v>3565</v>
      </c>
      <c r="E1386" s="5" t="s">
        <v>1200</v>
      </c>
      <c r="F1386" s="34" t="s">
        <v>3574</v>
      </c>
      <c r="G1386" s="26">
        <v>2.1000000000000001E-2</v>
      </c>
      <c r="H1386" s="1" t="s">
        <v>774</v>
      </c>
      <c r="I1386" s="9">
        <v>200</v>
      </c>
      <c r="J1386" s="36">
        <v>0.06</v>
      </c>
    </row>
    <row r="1387" spans="2:10" s="44" customFormat="1" x14ac:dyDescent="0.35">
      <c r="B1387" s="9">
        <v>4000213</v>
      </c>
      <c r="C1387" s="5" t="s">
        <v>2237</v>
      </c>
      <c r="D1387" s="5" t="s">
        <v>3565</v>
      </c>
      <c r="E1387" s="5" t="s">
        <v>2298</v>
      </c>
      <c r="F1387" s="34" t="s">
        <v>3574</v>
      </c>
      <c r="G1387" s="26">
        <v>6.699999999999999E-2</v>
      </c>
      <c r="H1387" s="1" t="s">
        <v>774</v>
      </c>
      <c r="I1387" s="9">
        <v>100</v>
      </c>
      <c r="J1387" s="36">
        <v>0.06</v>
      </c>
    </row>
    <row r="1388" spans="2:10" s="44" customFormat="1" x14ac:dyDescent="0.35">
      <c r="B1388" s="9">
        <v>4000214</v>
      </c>
      <c r="C1388" s="5" t="s">
        <v>1037</v>
      </c>
      <c r="D1388" s="5" t="s">
        <v>3565</v>
      </c>
      <c r="E1388" s="5">
        <v>1170198</v>
      </c>
      <c r="F1388" s="34" t="s">
        <v>3574</v>
      </c>
      <c r="G1388" s="26">
        <v>2.4E-2</v>
      </c>
      <c r="H1388" s="1" t="s">
        <v>774</v>
      </c>
      <c r="I1388" s="9">
        <v>200</v>
      </c>
      <c r="J1388" s="36">
        <v>0.06</v>
      </c>
    </row>
    <row r="1389" spans="2:10" s="44" customFormat="1" x14ac:dyDescent="0.35">
      <c r="B1389" s="9">
        <v>4000242</v>
      </c>
      <c r="C1389" s="5" t="s">
        <v>1600</v>
      </c>
      <c r="D1389" s="5" t="s">
        <v>3565</v>
      </c>
      <c r="E1389" s="5" t="s">
        <v>1601</v>
      </c>
      <c r="F1389" s="34" t="s">
        <v>3574</v>
      </c>
      <c r="G1389" s="26">
        <v>0.35300000000000004</v>
      </c>
      <c r="H1389" s="1" t="s">
        <v>774</v>
      </c>
      <c r="I1389" s="9">
        <v>100</v>
      </c>
      <c r="J1389" s="36">
        <v>0.06</v>
      </c>
    </row>
    <row r="1390" spans="2:10" s="44" customFormat="1" x14ac:dyDescent="0.35">
      <c r="B1390" s="9">
        <v>4000243</v>
      </c>
      <c r="C1390" s="5" t="s">
        <v>1609</v>
      </c>
      <c r="D1390" s="5" t="s">
        <v>3565</v>
      </c>
      <c r="E1390" s="5" t="s">
        <v>909</v>
      </c>
      <c r="F1390" s="34" t="s">
        <v>3574</v>
      </c>
      <c r="G1390" s="26">
        <v>1.8379999999999999</v>
      </c>
      <c r="H1390" s="1" t="s">
        <v>774</v>
      </c>
      <c r="I1390" s="9">
        <v>100</v>
      </c>
      <c r="J1390" s="36">
        <v>0.06</v>
      </c>
    </row>
    <row r="1391" spans="2:10" s="44" customFormat="1" x14ac:dyDescent="0.35">
      <c r="B1391" s="9">
        <v>4000257</v>
      </c>
      <c r="C1391" s="5" t="s">
        <v>2709</v>
      </c>
      <c r="D1391" s="5" t="s">
        <v>3565</v>
      </c>
      <c r="E1391" s="5" t="s">
        <v>2710</v>
      </c>
      <c r="F1391" s="34" t="s">
        <v>3574</v>
      </c>
      <c r="G1391" s="26">
        <v>0.28400000000000003</v>
      </c>
      <c r="H1391" s="1" t="s">
        <v>774</v>
      </c>
      <c r="I1391" s="9">
        <v>100</v>
      </c>
      <c r="J1391" s="36">
        <v>0.06</v>
      </c>
    </row>
    <row r="1392" spans="2:10" s="44" customFormat="1" x14ac:dyDescent="0.35">
      <c r="B1392" s="9">
        <v>4000267</v>
      </c>
      <c r="C1392" s="5" t="s">
        <v>896</v>
      </c>
      <c r="D1392" s="5" t="s">
        <v>3565</v>
      </c>
      <c r="E1392" s="5" t="s">
        <v>871</v>
      </c>
      <c r="F1392" s="34" t="s">
        <v>3574</v>
      </c>
      <c r="G1392" s="26">
        <v>5.6999999999999995E-2</v>
      </c>
      <c r="H1392" s="1" t="s">
        <v>774</v>
      </c>
      <c r="I1392" s="9">
        <v>100</v>
      </c>
      <c r="J1392" s="36">
        <v>0.06</v>
      </c>
    </row>
    <row r="1393" spans="2:10" s="44" customFormat="1" x14ac:dyDescent="0.35">
      <c r="B1393" s="9">
        <v>4000282</v>
      </c>
      <c r="C1393" s="5" t="s">
        <v>1820</v>
      </c>
      <c r="D1393" s="5" t="s">
        <v>3565</v>
      </c>
      <c r="E1393" s="5" t="s">
        <v>1821</v>
      </c>
      <c r="F1393" s="34" t="s">
        <v>3574</v>
      </c>
      <c r="G1393" s="26">
        <v>8.5999999999999993E-2</v>
      </c>
      <c r="H1393" s="1" t="s">
        <v>774</v>
      </c>
      <c r="I1393" s="9">
        <v>100</v>
      </c>
      <c r="J1393" s="36">
        <v>0.06</v>
      </c>
    </row>
    <row r="1394" spans="2:10" s="44" customFormat="1" x14ac:dyDescent="0.35">
      <c r="B1394" s="9">
        <v>4000283</v>
      </c>
      <c r="C1394" s="5" t="s">
        <v>2040</v>
      </c>
      <c r="D1394" s="5" t="s">
        <v>3565</v>
      </c>
      <c r="E1394" s="5" t="s">
        <v>2041</v>
      </c>
      <c r="F1394" s="34" t="s">
        <v>3574</v>
      </c>
      <c r="G1394" s="26">
        <v>0.29399999999999998</v>
      </c>
      <c r="H1394" s="1" t="s">
        <v>774</v>
      </c>
      <c r="I1394" s="9">
        <v>100</v>
      </c>
      <c r="J1394" s="36">
        <v>0.06</v>
      </c>
    </row>
    <row r="1395" spans="2:10" s="44" customFormat="1" x14ac:dyDescent="0.35">
      <c r="B1395" s="9">
        <v>4000287</v>
      </c>
      <c r="C1395" s="5" t="s">
        <v>2023</v>
      </c>
      <c r="D1395" s="5" t="s">
        <v>3565</v>
      </c>
      <c r="E1395" s="5" t="s">
        <v>2024</v>
      </c>
      <c r="F1395" s="34" t="s">
        <v>3574</v>
      </c>
      <c r="G1395" s="26">
        <v>1.26</v>
      </c>
      <c r="H1395" s="1" t="s">
        <v>774</v>
      </c>
      <c r="I1395" s="9">
        <v>100</v>
      </c>
      <c r="J1395" s="36">
        <v>0.06</v>
      </c>
    </row>
    <row r="1396" spans="2:10" s="44" customFormat="1" x14ac:dyDescent="0.35">
      <c r="B1396" s="9">
        <v>4000294</v>
      </c>
      <c r="C1396" s="5" t="s">
        <v>1688</v>
      </c>
      <c r="D1396" s="5" t="s">
        <v>3565</v>
      </c>
      <c r="E1396" s="5" t="s">
        <v>1689</v>
      </c>
      <c r="F1396" s="34" t="s">
        <v>3574</v>
      </c>
      <c r="G1396" s="26">
        <v>0.44800000000000006</v>
      </c>
      <c r="H1396" s="1" t="s">
        <v>774</v>
      </c>
      <c r="I1396" s="9">
        <v>100</v>
      </c>
      <c r="J1396" s="36">
        <v>0.06</v>
      </c>
    </row>
    <row r="1397" spans="2:10" s="44" customFormat="1" x14ac:dyDescent="0.35">
      <c r="B1397" s="9">
        <v>4000295</v>
      </c>
      <c r="C1397" s="5" t="s">
        <v>1225</v>
      </c>
      <c r="D1397" s="5" t="s">
        <v>3565</v>
      </c>
      <c r="E1397" s="5" t="s">
        <v>1226</v>
      </c>
      <c r="F1397" s="34" t="s">
        <v>3574</v>
      </c>
      <c r="G1397" s="26">
        <v>5.5999999999999994E-2</v>
      </c>
      <c r="H1397" s="1" t="s">
        <v>774</v>
      </c>
      <c r="I1397" s="9">
        <v>200</v>
      </c>
      <c r="J1397" s="36">
        <v>0.06</v>
      </c>
    </row>
    <row r="1398" spans="2:10" s="44" customFormat="1" x14ac:dyDescent="0.35">
      <c r="B1398" s="9">
        <v>4000297</v>
      </c>
      <c r="C1398" s="5" t="s">
        <v>2794</v>
      </c>
      <c r="D1398" s="5" t="s">
        <v>3565</v>
      </c>
      <c r="E1398" s="5" t="s">
        <v>2795</v>
      </c>
      <c r="F1398" s="34" t="s">
        <v>3574</v>
      </c>
      <c r="G1398" s="26">
        <v>0.39700000000000002</v>
      </c>
      <c r="H1398" s="1" t="s">
        <v>774</v>
      </c>
      <c r="I1398" s="9">
        <v>100</v>
      </c>
      <c r="J1398" s="36">
        <v>0.06</v>
      </c>
    </row>
    <row r="1399" spans="2:10" s="44" customFormat="1" x14ac:dyDescent="0.35">
      <c r="B1399" s="9">
        <v>4000299</v>
      </c>
      <c r="C1399" s="5" t="s">
        <v>2113</v>
      </c>
      <c r="D1399" s="5" t="s">
        <v>3565</v>
      </c>
      <c r="E1399" s="5" t="s">
        <v>2114</v>
      </c>
      <c r="F1399" s="34" t="s">
        <v>3574</v>
      </c>
      <c r="G1399" s="26">
        <v>0.57800000000000007</v>
      </c>
      <c r="H1399" s="1" t="s">
        <v>774</v>
      </c>
      <c r="I1399" s="9">
        <v>100</v>
      </c>
      <c r="J1399" s="36">
        <v>0.06</v>
      </c>
    </row>
    <row r="1400" spans="2:10" s="44" customFormat="1" x14ac:dyDescent="0.35">
      <c r="B1400" s="9">
        <v>4000304</v>
      </c>
      <c r="C1400" s="5" t="s">
        <v>2711</v>
      </c>
      <c r="D1400" s="5" t="s">
        <v>3565</v>
      </c>
      <c r="E1400" s="5" t="s">
        <v>2712</v>
      </c>
      <c r="F1400" s="34" t="s">
        <v>3574</v>
      </c>
      <c r="G1400" s="26">
        <v>0.20600000000000002</v>
      </c>
      <c r="H1400" s="1" t="s">
        <v>774</v>
      </c>
      <c r="I1400" s="9">
        <v>100</v>
      </c>
      <c r="J1400" s="36">
        <v>0.06</v>
      </c>
    </row>
    <row r="1401" spans="2:10" s="44" customFormat="1" x14ac:dyDescent="0.35">
      <c r="B1401" s="9">
        <v>4000352</v>
      </c>
      <c r="C1401" s="5" t="s">
        <v>1822</v>
      </c>
      <c r="D1401" s="5" t="s">
        <v>3565</v>
      </c>
      <c r="E1401" s="5" t="s">
        <v>1823</v>
      </c>
      <c r="F1401" s="34" t="s">
        <v>3574</v>
      </c>
      <c r="G1401" s="26">
        <v>3.3000000000000002E-2</v>
      </c>
      <c r="H1401" s="1" t="s">
        <v>774</v>
      </c>
      <c r="I1401" s="9">
        <v>100</v>
      </c>
      <c r="J1401" s="36">
        <v>0.06</v>
      </c>
    </row>
    <row r="1402" spans="2:10" s="44" customFormat="1" x14ac:dyDescent="0.35">
      <c r="B1402" s="9">
        <v>4000373</v>
      </c>
      <c r="C1402" s="5" t="s">
        <v>1527</v>
      </c>
      <c r="D1402" s="5" t="s">
        <v>3565</v>
      </c>
      <c r="E1402" s="5" t="s">
        <v>1528</v>
      </c>
      <c r="F1402" s="34" t="s">
        <v>3574</v>
      </c>
      <c r="G1402" s="26">
        <v>0.33</v>
      </c>
      <c r="H1402" s="1" t="s">
        <v>774</v>
      </c>
      <c r="I1402" s="9">
        <v>100</v>
      </c>
      <c r="J1402" s="36">
        <v>0.06</v>
      </c>
    </row>
    <row r="1403" spans="2:10" s="44" customFormat="1" x14ac:dyDescent="0.35">
      <c r="B1403" s="9">
        <v>4000497</v>
      </c>
      <c r="C1403" s="5" t="s">
        <v>3422</v>
      </c>
      <c r="D1403" s="1" t="s">
        <v>115</v>
      </c>
      <c r="E1403" s="5" t="s">
        <v>3423</v>
      </c>
      <c r="F1403" s="34" t="s">
        <v>3574</v>
      </c>
      <c r="G1403" s="26">
        <v>346.45</v>
      </c>
      <c r="H1403" s="1" t="s">
        <v>774</v>
      </c>
      <c r="I1403" s="9">
        <v>1</v>
      </c>
      <c r="J1403" s="36">
        <v>0.06</v>
      </c>
    </row>
    <row r="1404" spans="2:10" s="44" customFormat="1" x14ac:dyDescent="0.35">
      <c r="B1404" s="9">
        <v>4000498</v>
      </c>
      <c r="C1404" s="5" t="s">
        <v>3400</v>
      </c>
      <c r="D1404" s="1" t="s">
        <v>115</v>
      </c>
      <c r="E1404" s="5" t="s">
        <v>3401</v>
      </c>
      <c r="F1404" s="34" t="s">
        <v>3574</v>
      </c>
      <c r="G1404" s="26">
        <v>3000</v>
      </c>
      <c r="H1404" s="1" t="s">
        <v>774</v>
      </c>
      <c r="I1404" s="9">
        <v>1</v>
      </c>
      <c r="J1404" s="36">
        <v>0.06</v>
      </c>
    </row>
    <row r="1405" spans="2:10" s="44" customFormat="1" x14ac:dyDescent="0.35">
      <c r="B1405" s="9">
        <v>4000672</v>
      </c>
      <c r="C1405" s="5" t="s">
        <v>2021</v>
      </c>
      <c r="D1405" s="5" t="s">
        <v>3565</v>
      </c>
      <c r="E1405" s="5" t="s">
        <v>2022</v>
      </c>
      <c r="F1405" s="34" t="s">
        <v>3574</v>
      </c>
      <c r="G1405" s="26">
        <v>1.47</v>
      </c>
      <c r="H1405" s="1" t="s">
        <v>774</v>
      </c>
      <c r="I1405" s="9">
        <v>100</v>
      </c>
      <c r="J1405" s="36">
        <v>0.06</v>
      </c>
    </row>
    <row r="1406" spans="2:10" s="44" customFormat="1" x14ac:dyDescent="0.35">
      <c r="B1406" s="9">
        <v>4000685</v>
      </c>
      <c r="C1406" s="5" t="s">
        <v>1840</v>
      </c>
      <c r="D1406" s="5" t="s">
        <v>3565</v>
      </c>
      <c r="E1406" s="5" t="s">
        <v>1841</v>
      </c>
      <c r="F1406" s="34" t="s">
        <v>3574</v>
      </c>
      <c r="G1406" s="26">
        <v>1.575</v>
      </c>
      <c r="H1406" s="1" t="s">
        <v>774</v>
      </c>
      <c r="I1406" s="9">
        <v>100</v>
      </c>
      <c r="J1406" s="36">
        <v>0.06</v>
      </c>
    </row>
    <row r="1407" spans="2:10" s="44" customFormat="1" x14ac:dyDescent="0.35">
      <c r="B1407" s="9">
        <v>4000731</v>
      </c>
      <c r="C1407" s="5" t="s">
        <v>3477</v>
      </c>
      <c r="D1407" s="1" t="s">
        <v>115</v>
      </c>
      <c r="E1407" s="5" t="s">
        <v>3478</v>
      </c>
      <c r="F1407" s="34" t="s">
        <v>3574</v>
      </c>
      <c r="G1407" s="26">
        <v>315</v>
      </c>
      <c r="H1407" s="1" t="s">
        <v>774</v>
      </c>
      <c r="I1407" s="9">
        <v>1</v>
      </c>
      <c r="J1407" s="36">
        <v>0.06</v>
      </c>
    </row>
    <row r="1408" spans="2:10" s="44" customFormat="1" x14ac:dyDescent="0.35">
      <c r="B1408" s="9">
        <v>4000735</v>
      </c>
      <c r="C1408" s="5" t="s">
        <v>23</v>
      </c>
      <c r="D1408" s="1" t="s">
        <v>115</v>
      </c>
      <c r="E1408" s="5" t="s">
        <v>24</v>
      </c>
      <c r="F1408" s="34" t="s">
        <v>3574</v>
      </c>
      <c r="G1408" s="26">
        <v>230</v>
      </c>
      <c r="H1408" s="1" t="s">
        <v>774</v>
      </c>
      <c r="I1408" s="9">
        <v>1</v>
      </c>
      <c r="J1408" s="36">
        <v>0.06</v>
      </c>
    </row>
    <row r="1409" spans="2:10" s="44" customFormat="1" x14ac:dyDescent="0.35">
      <c r="B1409" s="9">
        <v>4000847</v>
      </c>
      <c r="C1409" s="5" t="s">
        <v>3417</v>
      </c>
      <c r="D1409" s="1" t="s">
        <v>115</v>
      </c>
      <c r="E1409" s="5" t="s">
        <v>3418</v>
      </c>
      <c r="F1409" s="34" t="s">
        <v>3574</v>
      </c>
      <c r="G1409" s="26">
        <v>315</v>
      </c>
      <c r="H1409" s="1" t="s">
        <v>774</v>
      </c>
      <c r="I1409" s="9">
        <v>1</v>
      </c>
      <c r="J1409" s="36">
        <v>0.06</v>
      </c>
    </row>
    <row r="1410" spans="2:10" s="44" customFormat="1" x14ac:dyDescent="0.35">
      <c r="B1410" s="9">
        <v>4001009</v>
      </c>
      <c r="C1410" s="5" t="s">
        <v>3449</v>
      </c>
      <c r="D1410" s="1" t="s">
        <v>115</v>
      </c>
      <c r="E1410" s="5" t="s">
        <v>3450</v>
      </c>
      <c r="F1410" s="34" t="s">
        <v>3574</v>
      </c>
      <c r="G1410" s="26">
        <v>7350</v>
      </c>
      <c r="H1410" s="1" t="s">
        <v>774</v>
      </c>
      <c r="I1410" s="9">
        <v>1</v>
      </c>
      <c r="J1410" s="36">
        <v>0.06</v>
      </c>
    </row>
    <row r="1411" spans="2:10" s="44" customFormat="1" x14ac:dyDescent="0.35">
      <c r="B1411" s="9">
        <v>4001010</v>
      </c>
      <c r="C1411" s="5" t="s">
        <v>3461</v>
      </c>
      <c r="D1411" s="1" t="s">
        <v>115</v>
      </c>
      <c r="E1411" s="5" t="s">
        <v>3462</v>
      </c>
      <c r="F1411" s="34" t="s">
        <v>3574</v>
      </c>
      <c r="G1411" s="26">
        <v>3650</v>
      </c>
      <c r="H1411" s="1" t="s">
        <v>774</v>
      </c>
      <c r="I1411" s="9">
        <v>1</v>
      </c>
      <c r="J1411" s="36">
        <v>0.06</v>
      </c>
    </row>
    <row r="1412" spans="2:10" s="44" customFormat="1" x14ac:dyDescent="0.35">
      <c r="B1412" s="9">
        <v>4001011</v>
      </c>
      <c r="C1412" s="5" t="s">
        <v>3488</v>
      </c>
      <c r="D1412" s="1" t="s">
        <v>115</v>
      </c>
      <c r="E1412" s="5" t="s">
        <v>3489</v>
      </c>
      <c r="F1412" s="34" t="s">
        <v>3574</v>
      </c>
      <c r="G1412" s="26">
        <v>279</v>
      </c>
      <c r="H1412" s="1" t="s">
        <v>774</v>
      </c>
      <c r="I1412" s="9">
        <v>1</v>
      </c>
      <c r="J1412" s="36">
        <v>0.06</v>
      </c>
    </row>
    <row r="1413" spans="2:10" s="44" customFormat="1" x14ac:dyDescent="0.35">
      <c r="B1413" s="9">
        <v>4001020</v>
      </c>
      <c r="C1413" s="5" t="s">
        <v>793</v>
      </c>
      <c r="D1413" s="5" t="s">
        <v>3564</v>
      </c>
      <c r="E1413" s="5">
        <v>10133827</v>
      </c>
      <c r="F1413" s="34" t="s">
        <v>3552</v>
      </c>
      <c r="G1413" s="26">
        <v>19.64</v>
      </c>
      <c r="H1413" s="1" t="s">
        <v>774</v>
      </c>
      <c r="I1413" s="9">
        <v>1</v>
      </c>
      <c r="J1413" s="36">
        <v>0.1</v>
      </c>
    </row>
    <row r="1414" spans="2:10" s="44" customFormat="1" x14ac:dyDescent="0.35">
      <c r="B1414" s="9">
        <v>4001077</v>
      </c>
      <c r="C1414" s="5" t="s">
        <v>3445</v>
      </c>
      <c r="D1414" s="1" t="s">
        <v>115</v>
      </c>
      <c r="E1414" s="5" t="s">
        <v>3446</v>
      </c>
      <c r="F1414" s="34" t="s">
        <v>3574</v>
      </c>
      <c r="G1414" s="26">
        <v>188</v>
      </c>
      <c r="H1414" s="1" t="s">
        <v>774</v>
      </c>
      <c r="I1414" s="9">
        <v>1</v>
      </c>
      <c r="J1414" s="36">
        <v>0.06</v>
      </c>
    </row>
    <row r="1415" spans="2:10" s="44" customFormat="1" x14ac:dyDescent="0.35">
      <c r="B1415" s="9">
        <v>4001092</v>
      </c>
      <c r="C1415" s="5" t="s">
        <v>3481</v>
      </c>
      <c r="D1415" s="1" t="s">
        <v>115</v>
      </c>
      <c r="E1415" s="5" t="s">
        <v>3482</v>
      </c>
      <c r="F1415" s="34" t="s">
        <v>3574</v>
      </c>
      <c r="G1415" s="26">
        <v>120</v>
      </c>
      <c r="H1415" s="1" t="s">
        <v>774</v>
      </c>
      <c r="I1415" s="9">
        <v>1</v>
      </c>
      <c r="J1415" s="36">
        <v>0.06</v>
      </c>
    </row>
    <row r="1416" spans="2:10" s="44" customFormat="1" x14ac:dyDescent="0.35">
      <c r="B1416" s="9">
        <v>4001106</v>
      </c>
      <c r="C1416" s="5" t="s">
        <v>3490</v>
      </c>
      <c r="D1416" s="1" t="s">
        <v>115</v>
      </c>
      <c r="E1416" s="5" t="s">
        <v>655</v>
      </c>
      <c r="F1416" s="34" t="s">
        <v>3574</v>
      </c>
      <c r="G1416" s="26">
        <v>11</v>
      </c>
      <c r="H1416" s="1" t="s">
        <v>774</v>
      </c>
      <c r="I1416" s="9">
        <v>1</v>
      </c>
      <c r="J1416" s="36">
        <v>0.06</v>
      </c>
    </row>
    <row r="1417" spans="2:10" s="44" customFormat="1" x14ac:dyDescent="0.35">
      <c r="B1417" s="9">
        <v>4001189</v>
      </c>
      <c r="C1417" s="5" t="s">
        <v>3415</v>
      </c>
      <c r="D1417" s="1" t="s">
        <v>115</v>
      </c>
      <c r="E1417" s="5" t="s">
        <v>3416</v>
      </c>
      <c r="F1417" s="34" t="s">
        <v>3574</v>
      </c>
      <c r="G1417" s="26">
        <v>486</v>
      </c>
      <c r="H1417" s="1" t="s">
        <v>774</v>
      </c>
      <c r="I1417" s="9">
        <v>1</v>
      </c>
      <c r="J1417" s="36">
        <v>0.06</v>
      </c>
    </row>
    <row r="1418" spans="2:10" s="44" customFormat="1" x14ac:dyDescent="0.35">
      <c r="B1418" s="9">
        <v>4001215</v>
      </c>
      <c r="C1418" s="5" t="s">
        <v>1049</v>
      </c>
      <c r="D1418" s="5" t="s">
        <v>3565</v>
      </c>
      <c r="E1418" s="5" t="s">
        <v>1050</v>
      </c>
      <c r="F1418" s="34" t="s">
        <v>3574</v>
      </c>
      <c r="G1418" s="26">
        <v>0.42899999999999999</v>
      </c>
      <c r="H1418" s="1" t="s">
        <v>774</v>
      </c>
      <c r="I1418" s="9">
        <v>100</v>
      </c>
      <c r="J1418" s="36">
        <v>0.06</v>
      </c>
    </row>
    <row r="1419" spans="2:10" s="44" customFormat="1" x14ac:dyDescent="0.35">
      <c r="B1419" s="9">
        <v>4001239</v>
      </c>
      <c r="C1419" s="5" t="s">
        <v>3406</v>
      </c>
      <c r="D1419" s="1" t="s">
        <v>115</v>
      </c>
      <c r="E1419" s="5" t="s">
        <v>44</v>
      </c>
      <c r="F1419" s="34" t="s">
        <v>3574</v>
      </c>
      <c r="G1419" s="26">
        <v>305</v>
      </c>
      <c r="H1419" s="1" t="s">
        <v>774</v>
      </c>
      <c r="I1419" s="9">
        <v>1</v>
      </c>
      <c r="J1419" s="36">
        <v>0.06</v>
      </c>
    </row>
    <row r="1420" spans="2:10" s="44" customFormat="1" x14ac:dyDescent="0.35">
      <c r="B1420" s="9">
        <v>4001299</v>
      </c>
      <c r="C1420" s="5" t="s">
        <v>52</v>
      </c>
      <c r="D1420" s="1" t="s">
        <v>115</v>
      </c>
      <c r="E1420" s="5" t="s">
        <v>53</v>
      </c>
      <c r="F1420" s="34" t="s">
        <v>3574</v>
      </c>
      <c r="G1420" s="26">
        <v>3744.8</v>
      </c>
      <c r="H1420" s="1" t="s">
        <v>774</v>
      </c>
      <c r="I1420" s="9">
        <v>1</v>
      </c>
      <c r="J1420" s="36">
        <v>0.06</v>
      </c>
    </row>
    <row r="1421" spans="2:10" s="44" customFormat="1" x14ac:dyDescent="0.35">
      <c r="B1421" s="9">
        <v>4001326</v>
      </c>
      <c r="C1421" s="5" t="s">
        <v>3458</v>
      </c>
      <c r="D1421" s="1" t="s">
        <v>115</v>
      </c>
      <c r="E1421" s="5" t="s">
        <v>3459</v>
      </c>
      <c r="F1421" s="34" t="s">
        <v>3574</v>
      </c>
      <c r="G1421" s="26">
        <v>150</v>
      </c>
      <c r="H1421" s="1" t="s">
        <v>774</v>
      </c>
      <c r="I1421" s="9">
        <v>1</v>
      </c>
      <c r="J1421" s="36">
        <v>0.06</v>
      </c>
    </row>
    <row r="1422" spans="2:10" s="44" customFormat="1" x14ac:dyDescent="0.35">
      <c r="B1422" s="9">
        <v>4001474</v>
      </c>
      <c r="C1422" s="5" t="s">
        <v>703</v>
      </c>
      <c r="D1422" s="1" t="s">
        <v>115</v>
      </c>
      <c r="E1422" s="5" t="s">
        <v>704</v>
      </c>
      <c r="F1422" s="34" t="s">
        <v>3574</v>
      </c>
      <c r="G1422" s="26">
        <v>65.05</v>
      </c>
      <c r="H1422" s="1" t="s">
        <v>774</v>
      </c>
      <c r="I1422" s="9">
        <v>1</v>
      </c>
      <c r="J1422" s="36">
        <v>0.06</v>
      </c>
    </row>
    <row r="1423" spans="2:10" s="44" customFormat="1" x14ac:dyDescent="0.35">
      <c r="B1423" s="9">
        <v>4001522</v>
      </c>
      <c r="C1423" s="5" t="s">
        <v>3414</v>
      </c>
      <c r="D1423" s="1" t="s">
        <v>115</v>
      </c>
      <c r="E1423" s="5" t="s">
        <v>707</v>
      </c>
      <c r="F1423" s="34" t="s">
        <v>3574</v>
      </c>
      <c r="G1423" s="26">
        <v>220</v>
      </c>
      <c r="H1423" s="1" t="s">
        <v>774</v>
      </c>
      <c r="I1423" s="9">
        <v>1</v>
      </c>
      <c r="J1423" s="36">
        <v>0.06</v>
      </c>
    </row>
    <row r="1424" spans="2:10" s="44" customFormat="1" x14ac:dyDescent="0.35">
      <c r="B1424" s="9">
        <v>4001539</v>
      </c>
      <c r="C1424" s="5" t="s">
        <v>1428</v>
      </c>
      <c r="D1424" s="5" t="s">
        <v>3565</v>
      </c>
      <c r="E1424" s="5" t="s">
        <v>1424</v>
      </c>
      <c r="F1424" s="34" t="s">
        <v>3574</v>
      </c>
      <c r="G1424" s="26">
        <v>0.151</v>
      </c>
      <c r="H1424" s="1" t="s">
        <v>774</v>
      </c>
      <c r="I1424" s="9">
        <v>100</v>
      </c>
      <c r="J1424" s="36">
        <v>0.06</v>
      </c>
    </row>
    <row r="1425" spans="2:10" s="44" customFormat="1" x14ac:dyDescent="0.35">
      <c r="B1425" s="9">
        <v>4001588</v>
      </c>
      <c r="C1425" s="5" t="s">
        <v>690</v>
      </c>
      <c r="D1425" s="1" t="s">
        <v>115</v>
      </c>
      <c r="E1425" s="5" t="s">
        <v>691</v>
      </c>
      <c r="F1425" s="34" t="s">
        <v>3574</v>
      </c>
      <c r="G1425" s="26">
        <v>2066.3200000000002</v>
      </c>
      <c r="H1425" s="1" t="s">
        <v>774</v>
      </c>
      <c r="I1425" s="9">
        <v>1</v>
      </c>
      <c r="J1425" s="36">
        <v>0.06</v>
      </c>
    </row>
    <row r="1426" spans="2:10" s="44" customFormat="1" x14ac:dyDescent="0.35">
      <c r="B1426" s="9">
        <v>4001591</v>
      </c>
      <c r="C1426" s="5" t="s">
        <v>692</v>
      </c>
      <c r="D1426" s="1" t="s">
        <v>115</v>
      </c>
      <c r="E1426" s="5" t="s">
        <v>684</v>
      </c>
      <c r="F1426" s="34" t="s">
        <v>3574</v>
      </c>
      <c r="G1426" s="26">
        <v>252</v>
      </c>
      <c r="H1426" s="1" t="s">
        <v>774</v>
      </c>
      <c r="I1426" s="9">
        <v>1</v>
      </c>
      <c r="J1426" s="36">
        <v>0.06</v>
      </c>
    </row>
    <row r="1427" spans="2:10" s="44" customFormat="1" x14ac:dyDescent="0.35">
      <c r="B1427" s="9">
        <v>4001652</v>
      </c>
      <c r="C1427" s="5" t="s">
        <v>3491</v>
      </c>
      <c r="D1427" s="1" t="s">
        <v>115</v>
      </c>
      <c r="E1427" s="5" t="s">
        <v>3492</v>
      </c>
      <c r="F1427" s="34" t="s">
        <v>3574</v>
      </c>
      <c r="G1427" s="26">
        <v>275</v>
      </c>
      <c r="H1427" s="1" t="s">
        <v>774</v>
      </c>
      <c r="I1427" s="9">
        <v>1</v>
      </c>
      <c r="J1427" s="36">
        <v>0.06</v>
      </c>
    </row>
    <row r="1428" spans="2:10" s="44" customFormat="1" x14ac:dyDescent="0.35">
      <c r="B1428" s="9">
        <v>4001675</v>
      </c>
      <c r="C1428" s="5" t="s">
        <v>3453</v>
      </c>
      <c r="D1428" s="1" t="s">
        <v>115</v>
      </c>
      <c r="E1428" s="5" t="s">
        <v>3454</v>
      </c>
      <c r="F1428" s="34" t="s">
        <v>3574</v>
      </c>
      <c r="G1428" s="26">
        <v>340</v>
      </c>
      <c r="H1428" s="1" t="s">
        <v>774</v>
      </c>
      <c r="I1428" s="9">
        <v>1</v>
      </c>
      <c r="J1428" s="36">
        <v>0.06</v>
      </c>
    </row>
    <row r="1429" spans="2:10" s="44" customFormat="1" x14ac:dyDescent="0.35">
      <c r="B1429" s="9">
        <v>4001676</v>
      </c>
      <c r="C1429" s="5" t="s">
        <v>3463</v>
      </c>
      <c r="D1429" s="1" t="s">
        <v>115</v>
      </c>
      <c r="E1429" s="5" t="s">
        <v>739</v>
      </c>
      <c r="F1429" s="34" t="s">
        <v>3574</v>
      </c>
      <c r="G1429" s="26">
        <v>200</v>
      </c>
      <c r="H1429" s="1" t="s">
        <v>774</v>
      </c>
      <c r="I1429" s="9">
        <v>1</v>
      </c>
      <c r="J1429" s="36">
        <v>0.06</v>
      </c>
    </row>
    <row r="1430" spans="2:10" s="44" customFormat="1" x14ac:dyDescent="0.35">
      <c r="B1430" s="9">
        <v>4001708</v>
      </c>
      <c r="C1430" s="5" t="s">
        <v>693</v>
      </c>
      <c r="D1430" s="1" t="s">
        <v>115</v>
      </c>
      <c r="E1430" s="5" t="s">
        <v>694</v>
      </c>
      <c r="F1430" s="34" t="s">
        <v>3574</v>
      </c>
      <c r="G1430" s="26">
        <v>800</v>
      </c>
      <c r="H1430" s="1" t="s">
        <v>774</v>
      </c>
      <c r="I1430" s="9">
        <v>1</v>
      </c>
      <c r="J1430" s="36">
        <v>0.06</v>
      </c>
    </row>
    <row r="1431" spans="2:10" s="44" customFormat="1" x14ac:dyDescent="0.35">
      <c r="B1431" s="9">
        <v>4001709</v>
      </c>
      <c r="C1431" s="5" t="s">
        <v>695</v>
      </c>
      <c r="D1431" s="1" t="s">
        <v>115</v>
      </c>
      <c r="E1431" s="5" t="s">
        <v>696</v>
      </c>
      <c r="F1431" s="34" t="s">
        <v>3574</v>
      </c>
      <c r="G1431" s="26">
        <v>930</v>
      </c>
      <c r="H1431" s="1" t="s">
        <v>774</v>
      </c>
      <c r="I1431" s="9">
        <v>1</v>
      </c>
      <c r="J1431" s="36">
        <v>0.06</v>
      </c>
    </row>
    <row r="1432" spans="2:10" s="44" customFormat="1" x14ac:dyDescent="0.35">
      <c r="B1432" s="9">
        <v>4001733</v>
      </c>
      <c r="C1432" s="5" t="s">
        <v>1024</v>
      </c>
      <c r="D1432" s="5" t="s">
        <v>3565</v>
      </c>
      <c r="E1432" s="5" t="s">
        <v>1025</v>
      </c>
      <c r="F1432" s="34" t="s">
        <v>3574</v>
      </c>
      <c r="G1432" s="26">
        <v>0.34100000000000003</v>
      </c>
      <c r="H1432" s="1" t="s">
        <v>774</v>
      </c>
      <c r="I1432" s="9">
        <v>100</v>
      </c>
      <c r="J1432" s="36">
        <v>0.06</v>
      </c>
    </row>
    <row r="1433" spans="2:10" s="44" customFormat="1" x14ac:dyDescent="0.35">
      <c r="B1433" s="9">
        <v>4001748</v>
      </c>
      <c r="C1433" s="5" t="s">
        <v>1899</v>
      </c>
      <c r="D1433" s="5" t="s">
        <v>3565</v>
      </c>
      <c r="E1433" s="5" t="s">
        <v>1900</v>
      </c>
      <c r="F1433" s="34" t="s">
        <v>3574</v>
      </c>
      <c r="G1433" s="26">
        <v>1.806</v>
      </c>
      <c r="H1433" s="1" t="s">
        <v>774</v>
      </c>
      <c r="I1433" s="9">
        <v>1000</v>
      </c>
      <c r="J1433" s="36">
        <v>0.06</v>
      </c>
    </row>
    <row r="1434" spans="2:10" s="44" customFormat="1" x14ac:dyDescent="0.35">
      <c r="B1434" s="9">
        <v>4001789</v>
      </c>
      <c r="C1434" s="5" t="s">
        <v>107</v>
      </c>
      <c r="D1434" s="1" t="s">
        <v>115</v>
      </c>
      <c r="E1434" s="35" t="s">
        <v>3470</v>
      </c>
      <c r="F1434" s="34" t="s">
        <v>3574</v>
      </c>
      <c r="G1434" s="26">
        <v>210</v>
      </c>
      <c r="H1434" s="1" t="s">
        <v>774</v>
      </c>
      <c r="I1434" s="9">
        <v>1</v>
      </c>
      <c r="J1434" s="36">
        <v>0.06</v>
      </c>
    </row>
    <row r="1435" spans="2:10" s="44" customFormat="1" x14ac:dyDescent="0.35">
      <c r="B1435" s="9">
        <v>4001825</v>
      </c>
      <c r="C1435" s="5" t="s">
        <v>1541</v>
      </c>
      <c r="D1435" s="5" t="s">
        <v>3565</v>
      </c>
      <c r="E1435" s="5" t="s">
        <v>1542</v>
      </c>
      <c r="F1435" s="34" t="s">
        <v>3574</v>
      </c>
      <c r="G1435" s="26">
        <v>0.59099999999999997</v>
      </c>
      <c r="H1435" s="1" t="s">
        <v>774</v>
      </c>
      <c r="I1435" s="9">
        <v>100</v>
      </c>
      <c r="J1435" s="36">
        <v>0.06</v>
      </c>
    </row>
    <row r="1436" spans="2:10" s="44" customFormat="1" x14ac:dyDescent="0.35">
      <c r="B1436" s="9">
        <v>4001865</v>
      </c>
      <c r="C1436" s="5" t="s">
        <v>1500</v>
      </c>
      <c r="D1436" s="5" t="s">
        <v>3565</v>
      </c>
      <c r="E1436" s="5" t="s">
        <v>1501</v>
      </c>
      <c r="F1436" s="34" t="s">
        <v>3574</v>
      </c>
      <c r="G1436" s="26">
        <v>0.81499999999999995</v>
      </c>
      <c r="H1436" s="1" t="s">
        <v>774</v>
      </c>
      <c r="I1436" s="9">
        <v>100</v>
      </c>
      <c r="J1436" s="36">
        <v>0.06</v>
      </c>
    </row>
    <row r="1437" spans="2:10" s="44" customFormat="1" x14ac:dyDescent="0.35">
      <c r="B1437" s="9">
        <v>4001884</v>
      </c>
      <c r="C1437" s="5" t="s">
        <v>3424</v>
      </c>
      <c r="D1437" s="1" t="s">
        <v>115</v>
      </c>
      <c r="E1437" s="5" t="s">
        <v>3425</v>
      </c>
      <c r="F1437" s="34" t="s">
        <v>3574</v>
      </c>
      <c r="G1437" s="26">
        <v>3744.8</v>
      </c>
      <c r="H1437" s="1" t="s">
        <v>774</v>
      </c>
      <c r="I1437" s="9">
        <v>1</v>
      </c>
      <c r="J1437" s="36">
        <v>0.06</v>
      </c>
    </row>
    <row r="1438" spans="2:10" s="44" customFormat="1" x14ac:dyDescent="0.35">
      <c r="B1438" s="9">
        <v>4001919</v>
      </c>
      <c r="C1438" s="5" t="s">
        <v>3407</v>
      </c>
      <c r="D1438" s="1" t="s">
        <v>115</v>
      </c>
      <c r="E1438" s="5" t="s">
        <v>624</v>
      </c>
      <c r="F1438" s="34" t="s">
        <v>3574</v>
      </c>
      <c r="G1438" s="26">
        <v>294.8</v>
      </c>
      <c r="H1438" s="1" t="s">
        <v>774</v>
      </c>
      <c r="I1438" s="9">
        <v>1</v>
      </c>
      <c r="J1438" s="36">
        <v>0.06</v>
      </c>
    </row>
    <row r="1439" spans="2:10" s="44" customFormat="1" x14ac:dyDescent="0.35">
      <c r="B1439" s="9">
        <v>4001922</v>
      </c>
      <c r="C1439" s="5" t="s">
        <v>641</v>
      </c>
      <c r="D1439" s="5" t="s">
        <v>3565</v>
      </c>
      <c r="E1439" s="5">
        <v>3578532</v>
      </c>
      <c r="F1439" s="34" t="s">
        <v>3574</v>
      </c>
      <c r="G1439" s="26">
        <v>0.59200000000000008</v>
      </c>
      <c r="H1439" s="1" t="s">
        <v>774</v>
      </c>
      <c r="I1439" s="9">
        <v>100</v>
      </c>
      <c r="J1439" s="36">
        <v>0.06</v>
      </c>
    </row>
    <row r="1440" spans="2:10" s="44" customFormat="1" x14ac:dyDescent="0.35">
      <c r="B1440" s="9">
        <v>4001928</v>
      </c>
      <c r="C1440" s="5" t="s">
        <v>28</v>
      </c>
      <c r="D1440" s="1" t="s">
        <v>115</v>
      </c>
      <c r="E1440" s="5" t="s">
        <v>29</v>
      </c>
      <c r="F1440" s="34" t="s">
        <v>3574</v>
      </c>
      <c r="G1440" s="26">
        <v>120</v>
      </c>
      <c r="H1440" s="1" t="s">
        <v>774</v>
      </c>
      <c r="I1440" s="9">
        <v>1</v>
      </c>
      <c r="J1440" s="36">
        <v>0.06</v>
      </c>
    </row>
    <row r="1441" spans="2:10" s="44" customFormat="1" x14ac:dyDescent="0.35">
      <c r="B1441" s="9">
        <v>4001945</v>
      </c>
      <c r="C1441" s="5" t="s">
        <v>3457</v>
      </c>
      <c r="D1441" s="1" t="s">
        <v>115</v>
      </c>
      <c r="E1441" s="11" t="s">
        <v>3573</v>
      </c>
      <c r="F1441" s="34" t="s">
        <v>3574</v>
      </c>
      <c r="G1441" s="26">
        <v>800</v>
      </c>
      <c r="H1441" s="1" t="s">
        <v>774</v>
      </c>
      <c r="I1441" s="9">
        <v>1</v>
      </c>
      <c r="J1441" s="36">
        <v>0.06</v>
      </c>
    </row>
    <row r="1442" spans="2:10" s="44" customFormat="1" x14ac:dyDescent="0.35">
      <c r="B1442" s="9">
        <v>4002032</v>
      </c>
      <c r="C1442" s="5" t="s">
        <v>2401</v>
      </c>
      <c r="D1442" s="5" t="s">
        <v>3565</v>
      </c>
      <c r="E1442" s="5" t="s">
        <v>2402</v>
      </c>
      <c r="F1442" s="34" t="s">
        <v>3574</v>
      </c>
      <c r="G1442" s="26">
        <v>1.68</v>
      </c>
      <c r="H1442" s="1" t="s">
        <v>774</v>
      </c>
      <c r="I1442" s="9">
        <v>100</v>
      </c>
      <c r="J1442" s="36">
        <v>0.06</v>
      </c>
    </row>
    <row r="1443" spans="2:10" s="44" customFormat="1" x14ac:dyDescent="0.35">
      <c r="B1443" s="9">
        <v>4002116</v>
      </c>
      <c r="C1443" s="5" t="s">
        <v>1053</v>
      </c>
      <c r="D1443" s="5" t="s">
        <v>3565</v>
      </c>
      <c r="E1443" s="5" t="s">
        <v>1054</v>
      </c>
      <c r="F1443" s="34" t="s">
        <v>3574</v>
      </c>
      <c r="G1443" s="26">
        <v>0.79799999999999993</v>
      </c>
      <c r="H1443" s="1" t="s">
        <v>774</v>
      </c>
      <c r="I1443" s="9">
        <v>100</v>
      </c>
      <c r="J1443" s="36">
        <v>0.06</v>
      </c>
    </row>
    <row r="1444" spans="2:10" s="44" customFormat="1" x14ac:dyDescent="0.35">
      <c r="B1444" s="9">
        <v>4002133</v>
      </c>
      <c r="C1444" s="5" t="s">
        <v>1543</v>
      </c>
      <c r="D1444" s="5" t="s">
        <v>3565</v>
      </c>
      <c r="E1444" s="5" t="s">
        <v>1542</v>
      </c>
      <c r="F1444" s="34" t="s">
        <v>3574</v>
      </c>
      <c r="G1444" s="26">
        <v>9.0999999999999998E-2</v>
      </c>
      <c r="H1444" s="1" t="s">
        <v>774</v>
      </c>
      <c r="I1444" s="9">
        <v>100</v>
      </c>
      <c r="J1444" s="36">
        <v>0.06</v>
      </c>
    </row>
    <row r="1445" spans="2:10" s="44" customFormat="1" x14ac:dyDescent="0.35">
      <c r="B1445" s="9">
        <v>4002182</v>
      </c>
      <c r="C1445" s="5" t="s">
        <v>1244</v>
      </c>
      <c r="D1445" s="5" t="s">
        <v>3565</v>
      </c>
      <c r="E1445" s="5" t="s">
        <v>1245</v>
      </c>
      <c r="F1445" s="34" t="s">
        <v>3574</v>
      </c>
      <c r="G1445" s="26">
        <v>6.3E-2</v>
      </c>
      <c r="H1445" s="1" t="s">
        <v>774</v>
      </c>
      <c r="I1445" s="9">
        <v>100</v>
      </c>
      <c r="J1445" s="36">
        <v>0.06</v>
      </c>
    </row>
    <row r="1446" spans="2:10" s="44" customFormat="1" x14ac:dyDescent="0.35">
      <c r="B1446" s="9">
        <v>4002183</v>
      </c>
      <c r="C1446" s="5" t="s">
        <v>1640</v>
      </c>
      <c r="D1446" s="5" t="s">
        <v>3565</v>
      </c>
      <c r="E1446" s="5" t="s">
        <v>1627</v>
      </c>
      <c r="F1446" s="34" t="s">
        <v>3574</v>
      </c>
      <c r="G1446" s="26">
        <v>7.9000000000000001E-2</v>
      </c>
      <c r="H1446" s="1" t="s">
        <v>774</v>
      </c>
      <c r="I1446" s="9">
        <v>100</v>
      </c>
      <c r="J1446" s="36">
        <v>0.06</v>
      </c>
    </row>
    <row r="1447" spans="2:10" s="44" customFormat="1" x14ac:dyDescent="0.35">
      <c r="B1447" s="9">
        <v>4002184</v>
      </c>
      <c r="C1447" s="5" t="s">
        <v>1565</v>
      </c>
      <c r="D1447" s="5" t="s">
        <v>3565</v>
      </c>
      <c r="E1447" s="5" t="s">
        <v>913</v>
      </c>
      <c r="F1447" s="34" t="s">
        <v>3574</v>
      </c>
      <c r="G1447" s="26">
        <v>1.3129999999999997</v>
      </c>
      <c r="H1447" s="1" t="s">
        <v>774</v>
      </c>
      <c r="I1447" s="9">
        <v>100</v>
      </c>
      <c r="J1447" s="36">
        <v>0.06</v>
      </c>
    </row>
    <row r="1448" spans="2:10" s="44" customFormat="1" x14ac:dyDescent="0.35">
      <c r="B1448" s="9">
        <v>4002244</v>
      </c>
      <c r="C1448" s="5" t="s">
        <v>1675</v>
      </c>
      <c r="D1448" s="5" t="s">
        <v>3565</v>
      </c>
      <c r="E1448" s="5" t="s">
        <v>1676</v>
      </c>
      <c r="F1448" s="34" t="s">
        <v>3574</v>
      </c>
      <c r="G1448" s="26">
        <v>0.23</v>
      </c>
      <c r="H1448" s="1" t="s">
        <v>774</v>
      </c>
      <c r="I1448" s="9">
        <v>100</v>
      </c>
      <c r="J1448" s="36">
        <v>0.06</v>
      </c>
    </row>
    <row r="1449" spans="2:10" s="44" customFormat="1" x14ac:dyDescent="0.35">
      <c r="B1449" s="9">
        <v>4002245</v>
      </c>
      <c r="C1449" s="5" t="s">
        <v>1677</v>
      </c>
      <c r="D1449" s="5" t="s">
        <v>3565</v>
      </c>
      <c r="E1449" s="5" t="s">
        <v>1676</v>
      </c>
      <c r="F1449" s="34" t="s">
        <v>3574</v>
      </c>
      <c r="G1449" s="26">
        <v>0.28999999999999998</v>
      </c>
      <c r="H1449" s="1" t="s">
        <v>774</v>
      </c>
      <c r="I1449" s="9">
        <v>100</v>
      </c>
      <c r="J1449" s="36">
        <v>0.06</v>
      </c>
    </row>
    <row r="1450" spans="2:10" s="44" customFormat="1" x14ac:dyDescent="0.35">
      <c r="B1450" s="9">
        <v>4002246</v>
      </c>
      <c r="C1450" s="5" t="s">
        <v>1678</v>
      </c>
      <c r="D1450" s="5" t="s">
        <v>3565</v>
      </c>
      <c r="E1450" s="5" t="s">
        <v>1676</v>
      </c>
      <c r="F1450" s="34" t="s">
        <v>3574</v>
      </c>
      <c r="G1450" s="26">
        <v>0.44700000000000001</v>
      </c>
      <c r="H1450" s="1" t="s">
        <v>774</v>
      </c>
      <c r="I1450" s="9">
        <v>100</v>
      </c>
      <c r="J1450" s="36">
        <v>0.06</v>
      </c>
    </row>
    <row r="1451" spans="2:10" s="44" customFormat="1" x14ac:dyDescent="0.35">
      <c r="B1451" s="9">
        <v>4002248</v>
      </c>
      <c r="C1451" s="5" t="s">
        <v>1681</v>
      </c>
      <c r="D1451" s="5" t="s">
        <v>3565</v>
      </c>
      <c r="E1451" s="5" t="s">
        <v>1676</v>
      </c>
      <c r="F1451" s="34" t="s">
        <v>3574</v>
      </c>
      <c r="G1451" s="26">
        <v>0.48300000000000004</v>
      </c>
      <c r="H1451" s="1" t="s">
        <v>774</v>
      </c>
      <c r="I1451" s="9">
        <v>100</v>
      </c>
      <c r="J1451" s="36">
        <v>0.06</v>
      </c>
    </row>
    <row r="1452" spans="2:10" s="44" customFormat="1" x14ac:dyDescent="0.35">
      <c r="B1452" s="9">
        <v>4002250</v>
      </c>
      <c r="C1452" s="5" t="s">
        <v>925</v>
      </c>
      <c r="D1452" s="5" t="s">
        <v>3565</v>
      </c>
      <c r="E1452" s="5" t="s">
        <v>924</v>
      </c>
      <c r="F1452" s="34" t="s">
        <v>3574</v>
      </c>
      <c r="G1452" s="26">
        <v>0.28800000000000003</v>
      </c>
      <c r="H1452" s="1" t="s">
        <v>774</v>
      </c>
      <c r="I1452" s="9">
        <v>100</v>
      </c>
      <c r="J1452" s="36">
        <v>0.06</v>
      </c>
    </row>
    <row r="1453" spans="2:10" s="44" customFormat="1" x14ac:dyDescent="0.35">
      <c r="B1453" s="9">
        <v>4002253</v>
      </c>
      <c r="C1453" s="5" t="s">
        <v>1733</v>
      </c>
      <c r="D1453" s="5" t="s">
        <v>3565</v>
      </c>
      <c r="E1453" s="5" t="s">
        <v>924</v>
      </c>
      <c r="F1453" s="34" t="s">
        <v>3574</v>
      </c>
      <c r="G1453" s="26">
        <v>0.54800000000000004</v>
      </c>
      <c r="H1453" s="1" t="s">
        <v>774</v>
      </c>
      <c r="I1453" s="9">
        <v>100</v>
      </c>
      <c r="J1453" s="36">
        <v>0.06</v>
      </c>
    </row>
    <row r="1454" spans="2:10" s="44" customFormat="1" x14ac:dyDescent="0.35">
      <c r="B1454" s="9">
        <v>4002254</v>
      </c>
      <c r="C1454" s="5" t="s">
        <v>930</v>
      </c>
      <c r="D1454" s="5" t="s">
        <v>3565</v>
      </c>
      <c r="E1454" s="5" t="s">
        <v>924</v>
      </c>
      <c r="F1454" s="34" t="s">
        <v>3574</v>
      </c>
      <c r="G1454" s="26">
        <v>0.24400000000000002</v>
      </c>
      <c r="H1454" s="1" t="s">
        <v>774</v>
      </c>
      <c r="I1454" s="9">
        <v>100</v>
      </c>
      <c r="J1454" s="36">
        <v>0.06</v>
      </c>
    </row>
    <row r="1455" spans="2:10" s="44" customFormat="1" x14ac:dyDescent="0.35">
      <c r="B1455" s="9">
        <v>4002255</v>
      </c>
      <c r="C1455" s="5" t="s">
        <v>928</v>
      </c>
      <c r="D1455" s="5" t="s">
        <v>3565</v>
      </c>
      <c r="E1455" s="5" t="s">
        <v>924</v>
      </c>
      <c r="F1455" s="34" t="s">
        <v>3574</v>
      </c>
      <c r="G1455" s="26">
        <v>0.14000000000000001</v>
      </c>
      <c r="H1455" s="1" t="s">
        <v>774</v>
      </c>
      <c r="I1455" s="9">
        <v>100</v>
      </c>
      <c r="J1455" s="36">
        <v>0.06</v>
      </c>
    </row>
    <row r="1456" spans="2:10" s="44" customFormat="1" x14ac:dyDescent="0.35">
      <c r="B1456" s="9">
        <v>4002257</v>
      </c>
      <c r="C1456" s="5" t="s">
        <v>931</v>
      </c>
      <c r="D1456" s="5" t="s">
        <v>3565</v>
      </c>
      <c r="E1456" s="5" t="s">
        <v>924</v>
      </c>
      <c r="F1456" s="34" t="s">
        <v>3574</v>
      </c>
      <c r="G1456" s="26">
        <v>0.29299999999999998</v>
      </c>
      <c r="H1456" s="1" t="s">
        <v>774</v>
      </c>
      <c r="I1456" s="9">
        <v>100</v>
      </c>
      <c r="J1456" s="36">
        <v>0.06</v>
      </c>
    </row>
    <row r="1457" spans="2:10" s="44" customFormat="1" x14ac:dyDescent="0.35">
      <c r="B1457" s="9">
        <v>4002258</v>
      </c>
      <c r="C1457" s="5" t="s">
        <v>1029</v>
      </c>
      <c r="D1457" s="5" t="s">
        <v>3565</v>
      </c>
      <c r="E1457" s="5" t="s">
        <v>924</v>
      </c>
      <c r="F1457" s="34" t="s">
        <v>3574</v>
      </c>
      <c r="G1457" s="26">
        <v>0.35700000000000004</v>
      </c>
      <c r="H1457" s="1" t="s">
        <v>774</v>
      </c>
      <c r="I1457" s="9">
        <v>100</v>
      </c>
      <c r="J1457" s="36">
        <v>0.06</v>
      </c>
    </row>
    <row r="1458" spans="2:10" s="44" customFormat="1" x14ac:dyDescent="0.35">
      <c r="B1458" s="9">
        <v>4002260</v>
      </c>
      <c r="C1458" s="5" t="s">
        <v>923</v>
      </c>
      <c r="D1458" s="5" t="s">
        <v>3565</v>
      </c>
      <c r="E1458" s="5" t="s">
        <v>924</v>
      </c>
      <c r="F1458" s="34" t="s">
        <v>3574</v>
      </c>
      <c r="G1458" s="26">
        <v>0.26</v>
      </c>
      <c r="H1458" s="1" t="s">
        <v>774</v>
      </c>
      <c r="I1458" s="9">
        <v>100</v>
      </c>
      <c r="J1458" s="36">
        <v>0.06</v>
      </c>
    </row>
    <row r="1459" spans="2:10" s="44" customFormat="1" x14ac:dyDescent="0.35">
      <c r="B1459" s="9">
        <v>4002261</v>
      </c>
      <c r="C1459" s="5" t="s">
        <v>926</v>
      </c>
      <c r="D1459" s="5" t="s">
        <v>3565</v>
      </c>
      <c r="E1459" s="5" t="s">
        <v>924</v>
      </c>
      <c r="F1459" s="34" t="s">
        <v>3574</v>
      </c>
      <c r="G1459" s="26">
        <v>0.30499999999999999</v>
      </c>
      <c r="H1459" s="1" t="s">
        <v>774</v>
      </c>
      <c r="I1459" s="9">
        <v>100</v>
      </c>
      <c r="J1459" s="36">
        <v>0.06</v>
      </c>
    </row>
    <row r="1460" spans="2:10" s="44" customFormat="1" x14ac:dyDescent="0.35">
      <c r="B1460" s="9">
        <v>4002263</v>
      </c>
      <c r="C1460" s="5" t="s">
        <v>1633</v>
      </c>
      <c r="D1460" s="5" t="s">
        <v>3565</v>
      </c>
      <c r="E1460" s="5" t="s">
        <v>1627</v>
      </c>
      <c r="F1460" s="34" t="s">
        <v>3574</v>
      </c>
      <c r="G1460" s="26">
        <v>0.105</v>
      </c>
      <c r="H1460" s="1" t="s">
        <v>774</v>
      </c>
      <c r="I1460" s="9">
        <v>100</v>
      </c>
      <c r="J1460" s="36">
        <v>0.06</v>
      </c>
    </row>
    <row r="1461" spans="2:10" s="44" customFormat="1" x14ac:dyDescent="0.35">
      <c r="B1461" s="9">
        <v>4002264</v>
      </c>
      <c r="C1461" s="5" t="s">
        <v>1634</v>
      </c>
      <c r="D1461" s="5" t="s">
        <v>3565</v>
      </c>
      <c r="E1461" s="5" t="s">
        <v>1627</v>
      </c>
      <c r="F1461" s="34" t="s">
        <v>3574</v>
      </c>
      <c r="G1461" s="26">
        <v>0.124</v>
      </c>
      <c r="H1461" s="1" t="s">
        <v>774</v>
      </c>
      <c r="I1461" s="9">
        <v>100</v>
      </c>
      <c r="J1461" s="36">
        <v>0.06</v>
      </c>
    </row>
    <row r="1462" spans="2:10" s="44" customFormat="1" x14ac:dyDescent="0.35">
      <c r="B1462" s="9">
        <v>4002265</v>
      </c>
      <c r="C1462" s="5" t="s">
        <v>1635</v>
      </c>
      <c r="D1462" s="5" t="s">
        <v>3565</v>
      </c>
      <c r="E1462" s="5" t="s">
        <v>1627</v>
      </c>
      <c r="F1462" s="34" t="s">
        <v>3574</v>
      </c>
      <c r="G1462" s="26">
        <v>0.154</v>
      </c>
      <c r="H1462" s="1" t="s">
        <v>774</v>
      </c>
      <c r="I1462" s="9">
        <v>100</v>
      </c>
      <c r="J1462" s="36">
        <v>0.06</v>
      </c>
    </row>
    <row r="1463" spans="2:10" s="44" customFormat="1" x14ac:dyDescent="0.35">
      <c r="B1463" s="9">
        <v>4002266</v>
      </c>
      <c r="C1463" s="5" t="s">
        <v>1636</v>
      </c>
      <c r="D1463" s="5" t="s">
        <v>3565</v>
      </c>
      <c r="E1463" s="5" t="s">
        <v>1627</v>
      </c>
      <c r="F1463" s="34" t="s">
        <v>3574</v>
      </c>
      <c r="G1463" s="26">
        <v>0.16500000000000001</v>
      </c>
      <c r="H1463" s="1" t="s">
        <v>774</v>
      </c>
      <c r="I1463" s="9">
        <v>100</v>
      </c>
      <c r="J1463" s="36">
        <v>0.06</v>
      </c>
    </row>
    <row r="1464" spans="2:10" s="44" customFormat="1" x14ac:dyDescent="0.35">
      <c r="B1464" s="9">
        <v>4002267</v>
      </c>
      <c r="C1464" s="5" t="s">
        <v>1637</v>
      </c>
      <c r="D1464" s="5" t="s">
        <v>3565</v>
      </c>
      <c r="E1464" s="5" t="s">
        <v>1627</v>
      </c>
      <c r="F1464" s="34" t="s">
        <v>3574</v>
      </c>
      <c r="G1464" s="26">
        <v>0.18100000000000002</v>
      </c>
      <c r="H1464" s="1" t="s">
        <v>774</v>
      </c>
      <c r="I1464" s="9">
        <v>100</v>
      </c>
      <c r="J1464" s="36">
        <v>0.06</v>
      </c>
    </row>
    <row r="1465" spans="2:10" s="44" customFormat="1" x14ac:dyDescent="0.35">
      <c r="B1465" s="9">
        <v>4002268</v>
      </c>
      <c r="C1465" s="5" t="s">
        <v>1638</v>
      </c>
      <c r="D1465" s="5" t="s">
        <v>3565</v>
      </c>
      <c r="E1465" s="5" t="s">
        <v>1627</v>
      </c>
      <c r="F1465" s="34" t="s">
        <v>3574</v>
      </c>
      <c r="G1465" s="26">
        <v>0.20700000000000002</v>
      </c>
      <c r="H1465" s="1" t="s">
        <v>774</v>
      </c>
      <c r="I1465" s="9">
        <v>100</v>
      </c>
      <c r="J1465" s="36">
        <v>0.06</v>
      </c>
    </row>
    <row r="1466" spans="2:10" s="44" customFormat="1" x14ac:dyDescent="0.35">
      <c r="B1466" s="9">
        <v>4002269</v>
      </c>
      <c r="C1466" s="5" t="s">
        <v>1639</v>
      </c>
      <c r="D1466" s="5" t="s">
        <v>3565</v>
      </c>
      <c r="E1466" s="5" t="s">
        <v>1627</v>
      </c>
      <c r="F1466" s="34" t="s">
        <v>3574</v>
      </c>
      <c r="G1466" s="26">
        <v>0.22600000000000001</v>
      </c>
      <c r="H1466" s="1" t="s">
        <v>774</v>
      </c>
      <c r="I1466" s="9">
        <v>100</v>
      </c>
      <c r="J1466" s="36">
        <v>0.06</v>
      </c>
    </row>
    <row r="1467" spans="2:10" s="44" customFormat="1" x14ac:dyDescent="0.35">
      <c r="B1467" s="9">
        <v>4002270</v>
      </c>
      <c r="C1467" s="5" t="s">
        <v>1641</v>
      </c>
      <c r="D1467" s="5" t="s">
        <v>3565</v>
      </c>
      <c r="E1467" s="5" t="s">
        <v>1627</v>
      </c>
      <c r="F1467" s="34" t="s">
        <v>3574</v>
      </c>
      <c r="G1467" s="26">
        <v>0.11199999999999999</v>
      </c>
      <c r="H1467" s="1" t="s">
        <v>774</v>
      </c>
      <c r="I1467" s="9">
        <v>100</v>
      </c>
      <c r="J1467" s="36">
        <v>0.06</v>
      </c>
    </row>
    <row r="1468" spans="2:10" s="44" customFormat="1" x14ac:dyDescent="0.35">
      <c r="B1468" s="9">
        <v>4002271</v>
      </c>
      <c r="C1468" s="5" t="s">
        <v>1642</v>
      </c>
      <c r="D1468" s="5" t="s">
        <v>3565</v>
      </c>
      <c r="E1468" s="5" t="s">
        <v>1627</v>
      </c>
      <c r="F1468" s="34" t="s">
        <v>3574</v>
      </c>
      <c r="G1468" s="26">
        <v>0.156</v>
      </c>
      <c r="H1468" s="1" t="s">
        <v>774</v>
      </c>
      <c r="I1468" s="9">
        <v>100</v>
      </c>
      <c r="J1468" s="36">
        <v>0.06</v>
      </c>
    </row>
    <row r="1469" spans="2:10" s="44" customFormat="1" x14ac:dyDescent="0.35">
      <c r="B1469" s="9">
        <v>4002272</v>
      </c>
      <c r="C1469" s="5" t="s">
        <v>1643</v>
      </c>
      <c r="D1469" s="5" t="s">
        <v>3565</v>
      </c>
      <c r="E1469" s="5" t="s">
        <v>1627</v>
      </c>
      <c r="F1469" s="34" t="s">
        <v>3574</v>
      </c>
      <c r="G1469" s="26">
        <v>0.17400000000000002</v>
      </c>
      <c r="H1469" s="1" t="s">
        <v>774</v>
      </c>
      <c r="I1469" s="9">
        <v>100</v>
      </c>
      <c r="J1469" s="36">
        <v>0.06</v>
      </c>
    </row>
    <row r="1470" spans="2:10" s="44" customFormat="1" x14ac:dyDescent="0.35">
      <c r="B1470" s="9">
        <v>4002273</v>
      </c>
      <c r="C1470" s="5" t="s">
        <v>1644</v>
      </c>
      <c r="D1470" s="5" t="s">
        <v>3565</v>
      </c>
      <c r="E1470" s="5" t="s">
        <v>1627</v>
      </c>
      <c r="F1470" s="34" t="s">
        <v>3574</v>
      </c>
      <c r="G1470" s="26">
        <v>0.19600000000000001</v>
      </c>
      <c r="H1470" s="1" t="s">
        <v>774</v>
      </c>
      <c r="I1470" s="9">
        <v>100</v>
      </c>
      <c r="J1470" s="36">
        <v>0.06</v>
      </c>
    </row>
    <row r="1471" spans="2:10" s="44" customFormat="1" x14ac:dyDescent="0.35">
      <c r="B1471" s="9">
        <v>4002274</v>
      </c>
      <c r="C1471" s="5" t="s">
        <v>1645</v>
      </c>
      <c r="D1471" s="5" t="s">
        <v>3565</v>
      </c>
      <c r="E1471" s="5" t="s">
        <v>1627</v>
      </c>
      <c r="F1471" s="34" t="s">
        <v>3574</v>
      </c>
      <c r="G1471" s="26">
        <v>0.22500000000000001</v>
      </c>
      <c r="H1471" s="1" t="s">
        <v>774</v>
      </c>
      <c r="I1471" s="9">
        <v>100</v>
      </c>
      <c r="J1471" s="36">
        <v>0.06</v>
      </c>
    </row>
    <row r="1472" spans="2:10" s="44" customFormat="1" x14ac:dyDescent="0.35">
      <c r="B1472" s="9">
        <v>4002275</v>
      </c>
      <c r="C1472" s="5" t="s">
        <v>1646</v>
      </c>
      <c r="D1472" s="5" t="s">
        <v>3565</v>
      </c>
      <c r="E1472" s="5" t="s">
        <v>1627</v>
      </c>
      <c r="F1472" s="34" t="s">
        <v>3574</v>
      </c>
      <c r="G1472" s="26">
        <v>0.17400000000000002</v>
      </c>
      <c r="H1472" s="1" t="s">
        <v>774</v>
      </c>
      <c r="I1472" s="9">
        <v>100</v>
      </c>
      <c r="J1472" s="36">
        <v>0.06</v>
      </c>
    </row>
    <row r="1473" spans="2:10" s="44" customFormat="1" x14ac:dyDescent="0.35">
      <c r="B1473" s="9">
        <v>4002276</v>
      </c>
      <c r="C1473" s="5" t="s">
        <v>1647</v>
      </c>
      <c r="D1473" s="5" t="s">
        <v>3565</v>
      </c>
      <c r="E1473" s="5" t="s">
        <v>1627</v>
      </c>
      <c r="F1473" s="34" t="s">
        <v>3574</v>
      </c>
      <c r="G1473" s="26">
        <v>0.22200000000000003</v>
      </c>
      <c r="H1473" s="1" t="s">
        <v>774</v>
      </c>
      <c r="I1473" s="9">
        <v>100</v>
      </c>
      <c r="J1473" s="36">
        <v>0.06</v>
      </c>
    </row>
    <row r="1474" spans="2:10" s="44" customFormat="1" x14ac:dyDescent="0.35">
      <c r="B1474" s="9">
        <v>4002277</v>
      </c>
      <c r="C1474" s="5" t="s">
        <v>1649</v>
      </c>
      <c r="D1474" s="5" t="s">
        <v>3565</v>
      </c>
      <c r="E1474" s="5" t="s">
        <v>1627</v>
      </c>
      <c r="F1474" s="34" t="s">
        <v>3574</v>
      </c>
      <c r="G1474" s="26">
        <v>0.32800000000000007</v>
      </c>
      <c r="H1474" s="1" t="s">
        <v>774</v>
      </c>
      <c r="I1474" s="9">
        <v>100</v>
      </c>
      <c r="J1474" s="36">
        <v>0.06</v>
      </c>
    </row>
    <row r="1475" spans="2:10" s="44" customFormat="1" x14ac:dyDescent="0.35">
      <c r="B1475" s="9">
        <v>4002278</v>
      </c>
      <c r="C1475" s="5" t="s">
        <v>1626</v>
      </c>
      <c r="D1475" s="5" t="s">
        <v>3565</v>
      </c>
      <c r="E1475" s="5" t="s">
        <v>1627</v>
      </c>
      <c r="F1475" s="34" t="s">
        <v>3574</v>
      </c>
      <c r="G1475" s="26">
        <v>7.9000000000000001E-2</v>
      </c>
      <c r="H1475" s="1" t="s">
        <v>774</v>
      </c>
      <c r="I1475" s="9">
        <v>100</v>
      </c>
      <c r="J1475" s="36">
        <v>0.06</v>
      </c>
    </row>
    <row r="1476" spans="2:10" s="44" customFormat="1" x14ac:dyDescent="0.35">
      <c r="B1476" s="9">
        <v>4002279</v>
      </c>
      <c r="C1476" s="5" t="s">
        <v>1628</v>
      </c>
      <c r="D1476" s="5" t="s">
        <v>3565</v>
      </c>
      <c r="E1476" s="5" t="s">
        <v>1627</v>
      </c>
      <c r="F1476" s="34" t="s">
        <v>3574</v>
      </c>
      <c r="G1476" s="26">
        <v>9.5000000000000001E-2</v>
      </c>
      <c r="H1476" s="1" t="s">
        <v>774</v>
      </c>
      <c r="I1476" s="9">
        <v>100</v>
      </c>
      <c r="J1476" s="36">
        <v>0.06</v>
      </c>
    </row>
    <row r="1477" spans="2:10" s="44" customFormat="1" x14ac:dyDescent="0.35">
      <c r="B1477" s="9">
        <v>4002280</v>
      </c>
      <c r="C1477" s="5" t="s">
        <v>1629</v>
      </c>
      <c r="D1477" s="5" t="s">
        <v>3565</v>
      </c>
      <c r="E1477" s="5" t="s">
        <v>1627</v>
      </c>
      <c r="F1477" s="34" t="s">
        <v>3574</v>
      </c>
      <c r="G1477" s="26">
        <v>0.11699999999999999</v>
      </c>
      <c r="H1477" s="1" t="s">
        <v>774</v>
      </c>
      <c r="I1477" s="9">
        <v>100</v>
      </c>
      <c r="J1477" s="36">
        <v>0.06</v>
      </c>
    </row>
    <row r="1478" spans="2:10" s="44" customFormat="1" x14ac:dyDescent="0.35">
      <c r="B1478" s="9">
        <v>4002281</v>
      </c>
      <c r="C1478" s="5" t="s">
        <v>1630</v>
      </c>
      <c r="D1478" s="5" t="s">
        <v>3565</v>
      </c>
      <c r="E1478" s="5" t="s">
        <v>1627</v>
      </c>
      <c r="F1478" s="34" t="s">
        <v>3574</v>
      </c>
      <c r="G1478" s="26">
        <v>0.13900000000000001</v>
      </c>
      <c r="H1478" s="1" t="s">
        <v>774</v>
      </c>
      <c r="I1478" s="9">
        <v>100</v>
      </c>
      <c r="J1478" s="36">
        <v>0.06</v>
      </c>
    </row>
    <row r="1479" spans="2:10" s="44" customFormat="1" x14ac:dyDescent="0.35">
      <c r="B1479" s="9">
        <v>4002282</v>
      </c>
      <c r="C1479" s="5" t="s">
        <v>1631</v>
      </c>
      <c r="D1479" s="5" t="s">
        <v>3565</v>
      </c>
      <c r="E1479" s="5" t="s">
        <v>1627</v>
      </c>
      <c r="F1479" s="34" t="s">
        <v>3574</v>
      </c>
      <c r="G1479" s="26">
        <v>0.17</v>
      </c>
      <c r="H1479" s="1" t="s">
        <v>774</v>
      </c>
      <c r="I1479" s="9">
        <v>100</v>
      </c>
      <c r="J1479" s="36">
        <v>0.06</v>
      </c>
    </row>
    <row r="1480" spans="2:10" s="44" customFormat="1" x14ac:dyDescent="0.35">
      <c r="B1480" s="9">
        <v>4002283</v>
      </c>
      <c r="C1480" s="5" t="s">
        <v>1632</v>
      </c>
      <c r="D1480" s="5" t="s">
        <v>3565</v>
      </c>
      <c r="E1480" s="5" t="s">
        <v>1627</v>
      </c>
      <c r="F1480" s="34" t="s">
        <v>3574</v>
      </c>
      <c r="G1480" s="26">
        <v>0.19900000000000001</v>
      </c>
      <c r="H1480" s="1" t="s">
        <v>774</v>
      </c>
      <c r="I1480" s="9">
        <v>100</v>
      </c>
      <c r="J1480" s="36">
        <v>0.06</v>
      </c>
    </row>
    <row r="1481" spans="2:10" s="44" customFormat="1" x14ac:dyDescent="0.35">
      <c r="B1481" s="9">
        <v>4002284</v>
      </c>
      <c r="C1481" s="5" t="s">
        <v>1769</v>
      </c>
      <c r="D1481" s="5" t="s">
        <v>3565</v>
      </c>
      <c r="E1481" s="5" t="s">
        <v>1627</v>
      </c>
      <c r="F1481" s="34" t="s">
        <v>3574</v>
      </c>
      <c r="G1481" s="26">
        <v>0.22600000000000001</v>
      </c>
      <c r="H1481" s="1" t="s">
        <v>774</v>
      </c>
      <c r="I1481" s="9">
        <v>100</v>
      </c>
      <c r="J1481" s="36">
        <v>0.06</v>
      </c>
    </row>
    <row r="1482" spans="2:10" s="44" customFormat="1" x14ac:dyDescent="0.35">
      <c r="B1482" s="9">
        <v>4002285</v>
      </c>
      <c r="C1482" s="5" t="s">
        <v>1016</v>
      </c>
      <c r="D1482" s="5" t="s">
        <v>3565</v>
      </c>
      <c r="E1482" s="5" t="s">
        <v>1627</v>
      </c>
      <c r="F1482" s="34" t="s">
        <v>3574</v>
      </c>
      <c r="G1482" s="26">
        <v>0.13799999999999998</v>
      </c>
      <c r="H1482" s="1" t="s">
        <v>774</v>
      </c>
      <c r="I1482" s="9">
        <v>100</v>
      </c>
      <c r="J1482" s="36">
        <v>0.06</v>
      </c>
    </row>
    <row r="1483" spans="2:10" s="44" customFormat="1" x14ac:dyDescent="0.35">
      <c r="B1483" s="9">
        <v>4002286</v>
      </c>
      <c r="C1483" s="5" t="s">
        <v>1650</v>
      </c>
      <c r="D1483" s="5" t="s">
        <v>3565</v>
      </c>
      <c r="E1483" s="5" t="s">
        <v>1627</v>
      </c>
      <c r="F1483" s="34" t="s">
        <v>3574</v>
      </c>
      <c r="G1483" s="26">
        <v>0.18700000000000003</v>
      </c>
      <c r="H1483" s="1" t="s">
        <v>774</v>
      </c>
      <c r="I1483" s="9">
        <v>100</v>
      </c>
      <c r="J1483" s="36">
        <v>0.06</v>
      </c>
    </row>
    <row r="1484" spans="2:10" s="44" customFormat="1" x14ac:dyDescent="0.35">
      <c r="B1484" s="9">
        <v>4002287</v>
      </c>
      <c r="C1484" s="5" t="s">
        <v>1651</v>
      </c>
      <c r="D1484" s="5" t="s">
        <v>3565</v>
      </c>
      <c r="E1484" s="5" t="s">
        <v>1627</v>
      </c>
      <c r="F1484" s="34" t="s">
        <v>3574</v>
      </c>
      <c r="G1484" s="26">
        <v>0.23300000000000001</v>
      </c>
      <c r="H1484" s="1" t="s">
        <v>774</v>
      </c>
      <c r="I1484" s="9">
        <v>100</v>
      </c>
      <c r="J1484" s="36">
        <v>0.06</v>
      </c>
    </row>
    <row r="1485" spans="2:10" s="44" customFormat="1" x14ac:dyDescent="0.35">
      <c r="B1485" s="9">
        <v>4002288</v>
      </c>
      <c r="C1485" s="5" t="s">
        <v>1652</v>
      </c>
      <c r="D1485" s="5" t="s">
        <v>3565</v>
      </c>
      <c r="E1485" s="5" t="s">
        <v>1627</v>
      </c>
      <c r="F1485" s="34" t="s">
        <v>3574</v>
      </c>
      <c r="G1485" s="26">
        <v>0.26400000000000001</v>
      </c>
      <c r="H1485" s="1" t="s">
        <v>774</v>
      </c>
      <c r="I1485" s="9">
        <v>100</v>
      </c>
      <c r="J1485" s="36">
        <v>0.06</v>
      </c>
    </row>
    <row r="1486" spans="2:10" s="44" customFormat="1" x14ac:dyDescent="0.35">
      <c r="B1486" s="9">
        <v>4002289</v>
      </c>
      <c r="C1486" s="5" t="s">
        <v>1653</v>
      </c>
      <c r="D1486" s="5" t="s">
        <v>3565</v>
      </c>
      <c r="E1486" s="5" t="s">
        <v>1627</v>
      </c>
      <c r="F1486" s="34" t="s">
        <v>3574</v>
      </c>
      <c r="G1486" s="26">
        <v>0.28900000000000003</v>
      </c>
      <c r="H1486" s="1" t="s">
        <v>774</v>
      </c>
      <c r="I1486" s="9">
        <v>100</v>
      </c>
      <c r="J1486" s="36">
        <v>0.06</v>
      </c>
    </row>
    <row r="1487" spans="2:10" s="44" customFormat="1" x14ac:dyDescent="0.35">
      <c r="B1487" s="9">
        <v>4002290</v>
      </c>
      <c r="C1487" s="5" t="s">
        <v>1654</v>
      </c>
      <c r="D1487" s="5" t="s">
        <v>3565</v>
      </c>
      <c r="E1487" s="5" t="s">
        <v>1627</v>
      </c>
      <c r="F1487" s="34" t="s">
        <v>3574</v>
      </c>
      <c r="G1487" s="26">
        <v>0.30599999999999999</v>
      </c>
      <c r="H1487" s="1" t="s">
        <v>774</v>
      </c>
      <c r="I1487" s="9">
        <v>100</v>
      </c>
      <c r="J1487" s="36">
        <v>0.06</v>
      </c>
    </row>
    <row r="1488" spans="2:10" s="44" customFormat="1" x14ac:dyDescent="0.35">
      <c r="B1488" s="9">
        <v>4002291</v>
      </c>
      <c r="C1488" s="5" t="s">
        <v>1655</v>
      </c>
      <c r="D1488" s="5" t="s">
        <v>3565</v>
      </c>
      <c r="E1488" s="5" t="s">
        <v>1627</v>
      </c>
      <c r="F1488" s="34" t="s">
        <v>3574</v>
      </c>
      <c r="G1488" s="26">
        <v>0.33399999999999996</v>
      </c>
      <c r="H1488" s="1" t="s">
        <v>774</v>
      </c>
      <c r="I1488" s="9">
        <v>100</v>
      </c>
      <c r="J1488" s="36">
        <v>0.06</v>
      </c>
    </row>
    <row r="1489" spans="2:10" s="44" customFormat="1" x14ac:dyDescent="0.35">
      <c r="B1489" s="9">
        <v>4002300</v>
      </c>
      <c r="C1489" s="5" t="s">
        <v>1974</v>
      </c>
      <c r="D1489" s="5" t="s">
        <v>3565</v>
      </c>
      <c r="E1489" s="5" t="s">
        <v>1975</v>
      </c>
      <c r="F1489" s="34" t="s">
        <v>3574</v>
      </c>
      <c r="G1489" s="26">
        <v>0.91899999999999993</v>
      </c>
      <c r="H1489" s="1" t="s">
        <v>774</v>
      </c>
      <c r="I1489" s="9">
        <v>100</v>
      </c>
      <c r="J1489" s="36">
        <v>0.06</v>
      </c>
    </row>
    <row r="1490" spans="2:10" s="44" customFormat="1" x14ac:dyDescent="0.35">
      <c r="B1490" s="9">
        <v>4002308</v>
      </c>
      <c r="C1490" s="5" t="s">
        <v>3562</v>
      </c>
      <c r="D1490" s="5" t="s">
        <v>3564</v>
      </c>
      <c r="E1490" s="5">
        <v>11139506</v>
      </c>
      <c r="F1490" s="34" t="s">
        <v>3552</v>
      </c>
      <c r="G1490" s="26">
        <v>341.39</v>
      </c>
      <c r="H1490" s="1" t="s">
        <v>774</v>
      </c>
      <c r="I1490" s="9">
        <v>1</v>
      </c>
      <c r="J1490" s="36">
        <v>0.1</v>
      </c>
    </row>
    <row r="1491" spans="2:10" s="44" customFormat="1" x14ac:dyDescent="0.35">
      <c r="B1491" s="9">
        <v>4002320</v>
      </c>
      <c r="C1491" s="5" t="s">
        <v>2301</v>
      </c>
      <c r="D1491" s="5" t="s">
        <v>3565</v>
      </c>
      <c r="E1491" s="5" t="s">
        <v>2302</v>
      </c>
      <c r="F1491" s="34" t="s">
        <v>3574</v>
      </c>
      <c r="G1491" s="26">
        <v>0.57800000000000007</v>
      </c>
      <c r="H1491" s="1" t="s">
        <v>774</v>
      </c>
      <c r="I1491" s="9">
        <v>100</v>
      </c>
      <c r="J1491" s="36">
        <v>0.06</v>
      </c>
    </row>
    <row r="1492" spans="2:10" s="44" customFormat="1" x14ac:dyDescent="0.35">
      <c r="B1492" s="9">
        <v>4002321</v>
      </c>
      <c r="C1492" s="5" t="s">
        <v>1915</v>
      </c>
      <c r="D1492" s="5" t="s">
        <v>3565</v>
      </c>
      <c r="E1492" s="5" t="s">
        <v>1916</v>
      </c>
      <c r="F1492" s="34" t="s">
        <v>3574</v>
      </c>
      <c r="G1492" s="26">
        <v>10.5</v>
      </c>
      <c r="H1492" s="1" t="s">
        <v>774</v>
      </c>
      <c r="I1492" s="9">
        <v>1</v>
      </c>
      <c r="J1492" s="36">
        <v>0.06</v>
      </c>
    </row>
    <row r="1493" spans="2:10" s="44" customFormat="1" x14ac:dyDescent="0.35">
      <c r="B1493" s="9">
        <v>4002460</v>
      </c>
      <c r="C1493" s="5" t="s">
        <v>3563</v>
      </c>
      <c r="D1493" s="5" t="s">
        <v>3564</v>
      </c>
      <c r="E1493" s="5">
        <v>11168848</v>
      </c>
      <c r="F1493" s="34" t="s">
        <v>3552</v>
      </c>
      <c r="G1493" s="26">
        <v>344.52</v>
      </c>
      <c r="H1493" s="1" t="s">
        <v>774</v>
      </c>
      <c r="I1493" s="9">
        <v>1</v>
      </c>
      <c r="J1493" s="36">
        <v>0.1</v>
      </c>
    </row>
    <row r="1494" spans="2:10" s="44" customFormat="1" x14ac:dyDescent="0.35">
      <c r="B1494" s="9">
        <v>4002518</v>
      </c>
      <c r="C1494" s="5" t="s">
        <v>2307</v>
      </c>
      <c r="D1494" s="5" t="s">
        <v>3565</v>
      </c>
      <c r="E1494" s="5" t="s">
        <v>2308</v>
      </c>
      <c r="F1494" s="34" t="s">
        <v>3574</v>
      </c>
      <c r="G1494" s="26">
        <v>0.57800000000000007</v>
      </c>
      <c r="H1494" s="1" t="s">
        <v>774</v>
      </c>
      <c r="I1494" s="9">
        <v>100</v>
      </c>
      <c r="J1494" s="36">
        <v>0.06</v>
      </c>
    </row>
    <row r="1495" spans="2:10" s="44" customFormat="1" x14ac:dyDescent="0.35">
      <c r="B1495" s="9">
        <v>4002543</v>
      </c>
      <c r="C1495" s="5" t="s">
        <v>816</v>
      </c>
      <c r="D1495" s="5" t="s">
        <v>3564</v>
      </c>
      <c r="E1495" s="5">
        <v>11081447</v>
      </c>
      <c r="F1495" s="34" t="s">
        <v>3552</v>
      </c>
      <c r="G1495" s="26">
        <v>207.9</v>
      </c>
      <c r="H1495" s="1" t="s">
        <v>774</v>
      </c>
      <c r="I1495" s="9">
        <v>1</v>
      </c>
      <c r="J1495" s="36">
        <v>0.1</v>
      </c>
    </row>
    <row r="1496" spans="2:10" s="44" customFormat="1" x14ac:dyDescent="0.35">
      <c r="B1496" s="9">
        <v>4002547</v>
      </c>
      <c r="C1496" s="5" t="s">
        <v>670</v>
      </c>
      <c r="D1496" s="5" t="s">
        <v>3564</v>
      </c>
      <c r="E1496" s="5">
        <v>11082457</v>
      </c>
      <c r="F1496" s="34" t="s">
        <v>3552</v>
      </c>
      <c r="G1496" s="26">
        <v>54.41</v>
      </c>
      <c r="H1496" s="1" t="s">
        <v>774</v>
      </c>
      <c r="I1496" s="9">
        <v>1</v>
      </c>
      <c r="J1496" s="36">
        <v>0.1</v>
      </c>
    </row>
    <row r="1497" spans="2:10" s="44" customFormat="1" x14ac:dyDescent="0.35">
      <c r="B1497" s="9">
        <v>4002576</v>
      </c>
      <c r="C1497" s="5" t="s">
        <v>2423</v>
      </c>
      <c r="D1497" s="5" t="s">
        <v>3565</v>
      </c>
      <c r="E1497" s="5" t="s">
        <v>1581</v>
      </c>
      <c r="F1497" s="34" t="s">
        <v>3574</v>
      </c>
      <c r="G1497" s="26">
        <v>0.17900000000000002</v>
      </c>
      <c r="H1497" s="1" t="s">
        <v>774</v>
      </c>
      <c r="I1497" s="9">
        <v>100</v>
      </c>
      <c r="J1497" s="36">
        <v>0.06</v>
      </c>
    </row>
    <row r="1498" spans="2:10" s="44" customFormat="1" x14ac:dyDescent="0.35">
      <c r="B1498" s="9">
        <v>4002583</v>
      </c>
      <c r="C1498" s="5" t="s">
        <v>2434</v>
      </c>
      <c r="D1498" s="5" t="s">
        <v>3565</v>
      </c>
      <c r="E1498" s="5" t="s">
        <v>701</v>
      </c>
      <c r="F1498" s="34" t="s">
        <v>3574</v>
      </c>
      <c r="G1498" s="26">
        <v>0.47300000000000003</v>
      </c>
      <c r="H1498" s="1" t="s">
        <v>774</v>
      </c>
      <c r="I1498" s="9">
        <v>100</v>
      </c>
      <c r="J1498" s="36">
        <v>0.06</v>
      </c>
    </row>
    <row r="1499" spans="2:10" s="44" customFormat="1" x14ac:dyDescent="0.35">
      <c r="B1499" s="9">
        <v>4002673</v>
      </c>
      <c r="C1499" s="5" t="s">
        <v>2649</v>
      </c>
      <c r="D1499" s="5" t="s">
        <v>3565</v>
      </c>
      <c r="E1499" s="5" t="s">
        <v>2650</v>
      </c>
      <c r="F1499" s="34" t="s">
        <v>3574</v>
      </c>
      <c r="G1499" s="26">
        <v>0.61799999999999999</v>
      </c>
      <c r="H1499" s="1" t="s">
        <v>774</v>
      </c>
      <c r="I1499" s="9">
        <v>100</v>
      </c>
      <c r="J1499" s="36">
        <v>0.06</v>
      </c>
    </row>
    <row r="1500" spans="2:10" s="44" customFormat="1" x14ac:dyDescent="0.35">
      <c r="B1500" s="9">
        <v>4102188</v>
      </c>
      <c r="C1500" s="5" t="s">
        <v>2179</v>
      </c>
      <c r="D1500" s="5" t="s">
        <v>3565</v>
      </c>
      <c r="E1500" s="5" t="s">
        <v>2180</v>
      </c>
      <c r="F1500" s="34" t="s">
        <v>3574</v>
      </c>
      <c r="G1500" s="26">
        <v>13.65</v>
      </c>
      <c r="H1500" s="1" t="s">
        <v>774</v>
      </c>
      <c r="I1500" s="9">
        <v>100</v>
      </c>
      <c r="J1500" s="36">
        <v>0.06</v>
      </c>
    </row>
    <row r="1501" spans="2:10" s="44" customFormat="1" x14ac:dyDescent="0.35">
      <c r="B1501" s="9">
        <v>4146733</v>
      </c>
      <c r="C1501" s="5" t="s">
        <v>3129</v>
      </c>
      <c r="D1501" s="5" t="s">
        <v>3565</v>
      </c>
      <c r="E1501" s="5" t="s">
        <v>3130</v>
      </c>
      <c r="F1501" s="34" t="s">
        <v>3574</v>
      </c>
      <c r="G1501" s="26">
        <v>0.78</v>
      </c>
      <c r="H1501" s="1" t="s">
        <v>774</v>
      </c>
      <c r="I1501" s="9">
        <v>100</v>
      </c>
      <c r="J1501" s="36">
        <v>0.06</v>
      </c>
    </row>
    <row r="1502" spans="2:10" s="44" customFormat="1" x14ac:dyDescent="0.35">
      <c r="B1502" s="9">
        <v>6600510</v>
      </c>
      <c r="C1502" s="5" t="s">
        <v>1943</v>
      </c>
      <c r="D1502" s="5" t="s">
        <v>3565</v>
      </c>
      <c r="E1502" s="11" t="s">
        <v>3573</v>
      </c>
      <c r="F1502" s="34" t="s">
        <v>3574</v>
      </c>
      <c r="G1502" s="26">
        <v>8.6999999999999994E-2</v>
      </c>
      <c r="H1502" s="1" t="s">
        <v>774</v>
      </c>
      <c r="I1502" s="9">
        <v>1000</v>
      </c>
      <c r="J1502" s="36">
        <v>0.06</v>
      </c>
    </row>
    <row r="1503" spans="2:10" s="44" customFormat="1" x14ac:dyDescent="0.35">
      <c r="B1503" s="9">
        <v>6602010</v>
      </c>
      <c r="C1503" s="5" t="s">
        <v>2916</v>
      </c>
      <c r="D1503" s="5" t="s">
        <v>3565</v>
      </c>
      <c r="E1503" s="5" t="s">
        <v>2917</v>
      </c>
      <c r="F1503" s="34" t="s">
        <v>3574</v>
      </c>
      <c r="G1503" s="26">
        <v>4.1999999999999996E-2</v>
      </c>
      <c r="H1503" s="1" t="s">
        <v>774</v>
      </c>
      <c r="I1503" s="9">
        <v>100</v>
      </c>
      <c r="J1503" s="36">
        <v>0.06</v>
      </c>
    </row>
    <row r="1504" spans="2:10" s="44" customFormat="1" x14ac:dyDescent="0.35">
      <c r="B1504" s="9">
        <v>6602040</v>
      </c>
      <c r="C1504" s="5" t="s">
        <v>1777</v>
      </c>
      <c r="D1504" s="5" t="s">
        <v>3565</v>
      </c>
      <c r="E1504" s="5" t="s">
        <v>1778</v>
      </c>
      <c r="F1504" s="34" t="s">
        <v>3574</v>
      </c>
      <c r="G1504" s="26">
        <v>0.28999999999999998</v>
      </c>
      <c r="H1504" s="1" t="s">
        <v>774</v>
      </c>
      <c r="I1504" s="9">
        <v>2000</v>
      </c>
      <c r="J1504" s="36">
        <v>0.06</v>
      </c>
    </row>
    <row r="1505" spans="2:10" s="44" customFormat="1" x14ac:dyDescent="0.35">
      <c r="B1505" s="9">
        <v>6602540</v>
      </c>
      <c r="C1505" s="5" t="s">
        <v>1779</v>
      </c>
      <c r="D1505" s="5" t="s">
        <v>3565</v>
      </c>
      <c r="E1505" s="5" t="s">
        <v>714</v>
      </c>
      <c r="F1505" s="34" t="s">
        <v>3574</v>
      </c>
      <c r="G1505" s="26">
        <v>0.50800000000000001</v>
      </c>
      <c r="H1505" s="1" t="s">
        <v>774</v>
      </c>
      <c r="I1505" s="9">
        <v>1000</v>
      </c>
      <c r="J1505" s="36">
        <v>0.06</v>
      </c>
    </row>
    <row r="1506" spans="2:10" s="44" customFormat="1" x14ac:dyDescent="0.35">
      <c r="B1506" s="9">
        <v>6603040</v>
      </c>
      <c r="C1506" s="5" t="s">
        <v>1770</v>
      </c>
      <c r="D1506" s="5" t="s">
        <v>3565</v>
      </c>
      <c r="E1506" s="5" t="s">
        <v>1771</v>
      </c>
      <c r="F1506" s="34" t="s">
        <v>3574</v>
      </c>
      <c r="G1506" s="26">
        <v>0.51900000000000002</v>
      </c>
      <c r="H1506" s="1" t="s">
        <v>774</v>
      </c>
      <c r="I1506" s="9">
        <v>100</v>
      </c>
      <c r="J1506" s="36">
        <v>0.06</v>
      </c>
    </row>
    <row r="1507" spans="2:10" s="44" customFormat="1" x14ac:dyDescent="0.35">
      <c r="B1507" s="9">
        <v>6604010</v>
      </c>
      <c r="C1507" s="5" t="s">
        <v>1738</v>
      </c>
      <c r="D1507" s="5" t="s">
        <v>3565</v>
      </c>
      <c r="E1507" s="5" t="s">
        <v>1739</v>
      </c>
      <c r="F1507" s="34" t="s">
        <v>3574</v>
      </c>
      <c r="G1507" s="26">
        <v>0.42</v>
      </c>
      <c r="H1507" s="1" t="s">
        <v>774</v>
      </c>
      <c r="I1507" s="9">
        <v>100</v>
      </c>
      <c r="J1507" s="36">
        <v>0.06</v>
      </c>
    </row>
    <row r="1508" spans="2:10" s="44" customFormat="1" x14ac:dyDescent="0.35">
      <c r="B1508" s="9">
        <v>6604040</v>
      </c>
      <c r="C1508" s="5" t="s">
        <v>715</v>
      </c>
      <c r="D1508" s="5" t="s">
        <v>3565</v>
      </c>
      <c r="E1508" s="5" t="s">
        <v>2212</v>
      </c>
      <c r="F1508" s="34" t="s">
        <v>3574</v>
      </c>
      <c r="G1508" s="26">
        <v>0.53</v>
      </c>
      <c r="H1508" s="1" t="s">
        <v>774</v>
      </c>
      <c r="I1508" s="9">
        <v>1000</v>
      </c>
      <c r="J1508" s="36">
        <v>0.06</v>
      </c>
    </row>
    <row r="1509" spans="2:10" s="44" customFormat="1" x14ac:dyDescent="0.35">
      <c r="B1509" s="9">
        <v>6605040</v>
      </c>
      <c r="C1509" s="5" t="s">
        <v>746</v>
      </c>
      <c r="D1509" s="5" t="s">
        <v>3565</v>
      </c>
      <c r="E1509" s="5" t="s">
        <v>1772</v>
      </c>
      <c r="F1509" s="34" t="s">
        <v>3574</v>
      </c>
      <c r="G1509" s="26">
        <v>1.22</v>
      </c>
      <c r="H1509" s="1" t="s">
        <v>774</v>
      </c>
      <c r="I1509" s="9">
        <v>1000</v>
      </c>
      <c r="J1509" s="36">
        <v>0.06</v>
      </c>
    </row>
    <row r="1510" spans="2:10" s="44" customFormat="1" x14ac:dyDescent="0.35">
      <c r="B1510" s="9">
        <v>6606040</v>
      </c>
      <c r="C1510" s="5" t="s">
        <v>1773</v>
      </c>
      <c r="D1510" s="5" t="s">
        <v>3565</v>
      </c>
      <c r="E1510" s="5" t="s">
        <v>1774</v>
      </c>
      <c r="F1510" s="34" t="s">
        <v>3574</v>
      </c>
      <c r="G1510" s="26">
        <v>1.2509999999999999</v>
      </c>
      <c r="H1510" s="1" t="s">
        <v>774</v>
      </c>
      <c r="I1510" s="9">
        <v>1000</v>
      </c>
      <c r="J1510" s="36">
        <v>0.06</v>
      </c>
    </row>
    <row r="1511" spans="2:10" s="44" customFormat="1" x14ac:dyDescent="0.35">
      <c r="B1511" s="9">
        <v>6608000</v>
      </c>
      <c r="C1511" s="5" t="s">
        <v>1764</v>
      </c>
      <c r="D1511" s="5" t="s">
        <v>3565</v>
      </c>
      <c r="E1511" s="5" t="s">
        <v>1761</v>
      </c>
      <c r="F1511" s="34" t="s">
        <v>3574</v>
      </c>
      <c r="G1511" s="26">
        <v>0.69899999999999995</v>
      </c>
      <c r="H1511" s="1" t="s">
        <v>774</v>
      </c>
      <c r="I1511" s="9">
        <v>100</v>
      </c>
      <c r="J1511" s="36">
        <v>0.06</v>
      </c>
    </row>
    <row r="1512" spans="2:10" s="44" customFormat="1" x14ac:dyDescent="0.35">
      <c r="B1512" s="9">
        <v>6608010</v>
      </c>
      <c r="C1512" s="5" t="s">
        <v>1742</v>
      </c>
      <c r="D1512" s="5" t="s">
        <v>3565</v>
      </c>
      <c r="E1512" s="5" t="s">
        <v>1743</v>
      </c>
      <c r="F1512" s="34" t="s">
        <v>3574</v>
      </c>
      <c r="G1512" s="26">
        <v>0.13799999999999998</v>
      </c>
      <c r="H1512" s="1" t="s">
        <v>774</v>
      </c>
      <c r="I1512" s="9">
        <v>100</v>
      </c>
      <c r="J1512" s="36">
        <v>0.06</v>
      </c>
    </row>
    <row r="1513" spans="2:10" s="44" customFormat="1" x14ac:dyDescent="0.35">
      <c r="B1513" s="9">
        <v>6608040</v>
      </c>
      <c r="C1513" s="5" t="s">
        <v>1775</v>
      </c>
      <c r="D1513" s="5" t="s">
        <v>3565</v>
      </c>
      <c r="E1513" s="5" t="s">
        <v>1776</v>
      </c>
      <c r="F1513" s="34" t="s">
        <v>3574</v>
      </c>
      <c r="G1513" s="26">
        <v>1.81</v>
      </c>
      <c r="H1513" s="1" t="s">
        <v>774</v>
      </c>
      <c r="I1513" s="9">
        <v>1000</v>
      </c>
      <c r="J1513" s="36">
        <v>0.06</v>
      </c>
    </row>
    <row r="1514" spans="2:10" s="44" customFormat="1" x14ac:dyDescent="0.35">
      <c r="B1514" s="9">
        <v>6610000</v>
      </c>
      <c r="C1514" s="5" t="s">
        <v>1754</v>
      </c>
      <c r="D1514" s="5" t="s">
        <v>3565</v>
      </c>
      <c r="E1514" s="5" t="s">
        <v>1755</v>
      </c>
      <c r="F1514" s="34" t="s">
        <v>3574</v>
      </c>
      <c r="G1514" s="26">
        <v>0.26500000000000001</v>
      </c>
      <c r="H1514" s="1" t="s">
        <v>774</v>
      </c>
      <c r="I1514" s="9">
        <v>100</v>
      </c>
      <c r="J1514" s="36">
        <v>0.06</v>
      </c>
    </row>
    <row r="1515" spans="2:10" s="44" customFormat="1" x14ac:dyDescent="0.35">
      <c r="B1515" s="9">
        <v>6610030</v>
      </c>
      <c r="C1515" s="5" t="s">
        <v>2721</v>
      </c>
      <c r="D1515" s="5" t="s">
        <v>3565</v>
      </c>
      <c r="E1515" s="5" t="s">
        <v>2722</v>
      </c>
      <c r="F1515" s="34" t="s">
        <v>3574</v>
      </c>
      <c r="G1515" s="26">
        <v>0.58200000000000007</v>
      </c>
      <c r="H1515" s="1" t="s">
        <v>774</v>
      </c>
      <c r="I1515" s="9">
        <v>100</v>
      </c>
      <c r="J1515" s="36">
        <v>0.06</v>
      </c>
    </row>
    <row r="1516" spans="2:10" s="44" customFormat="1" x14ac:dyDescent="0.35">
      <c r="B1516" s="9">
        <v>6610040</v>
      </c>
      <c r="C1516" s="5" t="s">
        <v>1780</v>
      </c>
      <c r="D1516" s="5" t="s">
        <v>3565</v>
      </c>
      <c r="E1516" s="5" t="s">
        <v>1781</v>
      </c>
      <c r="F1516" s="34" t="s">
        <v>3574</v>
      </c>
      <c r="G1516" s="26">
        <v>4.2120000000000006</v>
      </c>
      <c r="H1516" s="1" t="s">
        <v>774</v>
      </c>
      <c r="I1516" s="9">
        <v>1000</v>
      </c>
      <c r="J1516" s="36">
        <v>0.06</v>
      </c>
    </row>
    <row r="1517" spans="2:10" s="44" customFormat="1" x14ac:dyDescent="0.35">
      <c r="B1517" s="9">
        <v>6612010</v>
      </c>
      <c r="C1517" s="5" t="s">
        <v>1756</v>
      </c>
      <c r="D1517" s="5" t="s">
        <v>3565</v>
      </c>
      <c r="E1517" s="5" t="s">
        <v>1755</v>
      </c>
      <c r="F1517" s="34" t="s">
        <v>3574</v>
      </c>
      <c r="G1517" s="26">
        <v>1.587</v>
      </c>
      <c r="H1517" s="1" t="s">
        <v>774</v>
      </c>
      <c r="I1517" s="9">
        <v>100</v>
      </c>
      <c r="J1517" s="36">
        <v>0.06</v>
      </c>
    </row>
    <row r="1518" spans="2:10" s="44" customFormat="1" x14ac:dyDescent="0.35">
      <c r="B1518" s="9">
        <v>6612040</v>
      </c>
      <c r="C1518" s="5" t="s">
        <v>2961</v>
      </c>
      <c r="D1518" s="5" t="s">
        <v>3565</v>
      </c>
      <c r="E1518" s="5" t="s">
        <v>2962</v>
      </c>
      <c r="F1518" s="34" t="s">
        <v>3574</v>
      </c>
      <c r="G1518" s="26">
        <v>3.1420000000000003</v>
      </c>
      <c r="H1518" s="1" t="s">
        <v>774</v>
      </c>
      <c r="I1518" s="9">
        <v>100</v>
      </c>
      <c r="J1518" s="36">
        <v>0.06</v>
      </c>
    </row>
    <row r="1519" spans="2:10" s="44" customFormat="1" x14ac:dyDescent="0.35">
      <c r="B1519" s="9">
        <v>6612740</v>
      </c>
      <c r="C1519" s="5" t="s">
        <v>1782</v>
      </c>
      <c r="D1519" s="5" t="s">
        <v>3565</v>
      </c>
      <c r="E1519" s="5" t="s">
        <v>1783</v>
      </c>
      <c r="F1519" s="34" t="s">
        <v>3574</v>
      </c>
      <c r="G1519" s="26">
        <v>6.3490000000000002</v>
      </c>
      <c r="H1519" s="1" t="s">
        <v>774</v>
      </c>
      <c r="I1519" s="9">
        <v>500</v>
      </c>
      <c r="J1519" s="36">
        <v>0.06</v>
      </c>
    </row>
    <row r="1520" spans="2:10" s="44" customFormat="1" x14ac:dyDescent="0.35">
      <c r="B1520" s="9">
        <v>6614000</v>
      </c>
      <c r="C1520" s="5" t="s">
        <v>1760</v>
      </c>
      <c r="D1520" s="5" t="s">
        <v>3565</v>
      </c>
      <c r="E1520" s="5" t="s">
        <v>1761</v>
      </c>
      <c r="F1520" s="34" t="s">
        <v>3574</v>
      </c>
      <c r="G1520" s="26">
        <v>0.998</v>
      </c>
      <c r="H1520" s="1" t="s">
        <v>774</v>
      </c>
      <c r="I1520" s="9">
        <v>100</v>
      </c>
      <c r="J1520" s="36">
        <v>0.06</v>
      </c>
    </row>
    <row r="1521" spans="2:10" s="44" customFormat="1" x14ac:dyDescent="0.35">
      <c r="B1521" s="9">
        <v>6614010</v>
      </c>
      <c r="C1521" s="5" t="s">
        <v>2350</v>
      </c>
      <c r="D1521" s="5" t="s">
        <v>3565</v>
      </c>
      <c r="E1521" s="5" t="s">
        <v>2351</v>
      </c>
      <c r="F1521" s="34" t="s">
        <v>3574</v>
      </c>
      <c r="G1521" s="26">
        <v>0.89300000000000002</v>
      </c>
      <c r="H1521" s="1" t="s">
        <v>774</v>
      </c>
      <c r="I1521" s="9">
        <v>100</v>
      </c>
      <c r="J1521" s="36">
        <v>0.06</v>
      </c>
    </row>
    <row r="1522" spans="2:10" s="44" customFormat="1" x14ac:dyDescent="0.35">
      <c r="B1522" s="9">
        <v>93026130</v>
      </c>
      <c r="C1522" s="5" t="s">
        <v>685</v>
      </c>
      <c r="D1522" s="1" t="s">
        <v>115</v>
      </c>
      <c r="E1522" s="5" t="s">
        <v>686</v>
      </c>
      <c r="F1522" s="34" t="s">
        <v>3574</v>
      </c>
      <c r="G1522" s="26">
        <v>179.35</v>
      </c>
      <c r="H1522" s="1" t="s">
        <v>774</v>
      </c>
      <c r="I1522" s="9">
        <v>1</v>
      </c>
      <c r="J1522" s="36">
        <v>0.06</v>
      </c>
    </row>
    <row r="1523" spans="2:10" s="44" customFormat="1" x14ac:dyDescent="0.35">
      <c r="B1523" s="9">
        <v>93028300</v>
      </c>
      <c r="C1523" s="5" t="s">
        <v>3476</v>
      </c>
      <c r="D1523" s="1" t="s">
        <v>115</v>
      </c>
      <c r="E1523" s="5" t="s">
        <v>108</v>
      </c>
      <c r="F1523" s="34" t="s">
        <v>3574</v>
      </c>
      <c r="G1523" s="26">
        <v>223</v>
      </c>
      <c r="H1523" s="1" t="s">
        <v>774</v>
      </c>
      <c r="I1523" s="9">
        <v>1</v>
      </c>
      <c r="J1523" s="36">
        <v>0.06</v>
      </c>
    </row>
    <row r="1524" spans="2:10" s="44" customFormat="1" x14ac:dyDescent="0.35">
      <c r="B1524" s="9">
        <v>93600270</v>
      </c>
      <c r="C1524" s="5" t="s">
        <v>3440</v>
      </c>
      <c r="D1524" s="1" t="s">
        <v>115</v>
      </c>
      <c r="E1524" s="5" t="s">
        <v>3441</v>
      </c>
      <c r="F1524" s="34" t="s">
        <v>3574</v>
      </c>
      <c r="G1524" s="26">
        <v>387.6</v>
      </c>
      <c r="H1524" s="1" t="s">
        <v>774</v>
      </c>
      <c r="I1524" s="9">
        <v>1</v>
      </c>
      <c r="J1524" s="36">
        <v>0.06</v>
      </c>
    </row>
    <row r="1525" spans="2:10" s="44" customFormat="1" x14ac:dyDescent="0.35">
      <c r="B1525" s="9">
        <v>93600600</v>
      </c>
      <c r="C1525" s="5" t="s">
        <v>3479</v>
      </c>
      <c r="D1525" s="1" t="s">
        <v>115</v>
      </c>
      <c r="E1525" s="5" t="s">
        <v>3480</v>
      </c>
      <c r="F1525" s="34" t="s">
        <v>3574</v>
      </c>
      <c r="G1525" s="26">
        <v>690</v>
      </c>
      <c r="H1525" s="1" t="s">
        <v>774</v>
      </c>
      <c r="I1525" s="9">
        <v>1</v>
      </c>
      <c r="J1525" s="36">
        <v>0.06</v>
      </c>
    </row>
    <row r="1526" spans="2:10" s="44" customFormat="1" x14ac:dyDescent="0.35">
      <c r="B1526" s="9">
        <v>93601030</v>
      </c>
      <c r="C1526" s="5" t="s">
        <v>3495</v>
      </c>
      <c r="D1526" s="1" t="s">
        <v>115</v>
      </c>
      <c r="E1526" s="5" t="s">
        <v>79</v>
      </c>
      <c r="F1526" s="34" t="s">
        <v>3574</v>
      </c>
      <c r="G1526" s="26">
        <v>204</v>
      </c>
      <c r="H1526" s="1" t="s">
        <v>774</v>
      </c>
      <c r="I1526" s="9">
        <v>1</v>
      </c>
      <c r="J1526" s="36">
        <v>0.06</v>
      </c>
    </row>
    <row r="1527" spans="2:10" s="44" customFormat="1" x14ac:dyDescent="0.35">
      <c r="B1527" s="9">
        <v>93601280</v>
      </c>
      <c r="C1527" s="5" t="s">
        <v>3487</v>
      </c>
      <c r="D1527" s="1" t="s">
        <v>115</v>
      </c>
      <c r="E1527" s="11" t="s">
        <v>3573</v>
      </c>
      <c r="F1527" s="34" t="s">
        <v>3574</v>
      </c>
      <c r="G1527" s="26">
        <v>315</v>
      </c>
      <c r="H1527" s="1" t="s">
        <v>774</v>
      </c>
      <c r="I1527" s="9">
        <v>1</v>
      </c>
      <c r="J1527" s="36">
        <v>0.06</v>
      </c>
    </row>
    <row r="1528" spans="2:10" s="44" customFormat="1" x14ac:dyDescent="0.35">
      <c r="B1528" s="9">
        <v>95005480</v>
      </c>
      <c r="C1528" s="5" t="s">
        <v>1805</v>
      </c>
      <c r="D1528" s="5" t="s">
        <v>3565</v>
      </c>
      <c r="E1528" s="5" t="s">
        <v>1806</v>
      </c>
      <c r="F1528" s="34" t="s">
        <v>3574</v>
      </c>
      <c r="G1528" s="26">
        <v>3.4000000000000002E-2</v>
      </c>
      <c r="H1528" s="1" t="s">
        <v>774</v>
      </c>
      <c r="I1528" s="9">
        <v>100</v>
      </c>
      <c r="J1528" s="36">
        <v>0.06</v>
      </c>
    </row>
    <row r="1529" spans="2:10" s="44" customFormat="1" x14ac:dyDescent="0.35">
      <c r="B1529" s="9">
        <v>95007460</v>
      </c>
      <c r="C1529" s="5" t="s">
        <v>2093</v>
      </c>
      <c r="D1529" s="5" t="s">
        <v>3565</v>
      </c>
      <c r="E1529" s="5" t="s">
        <v>2094</v>
      </c>
      <c r="F1529" s="34" t="s">
        <v>3574</v>
      </c>
      <c r="G1529" s="26">
        <v>1.47</v>
      </c>
      <c r="H1529" s="1" t="s">
        <v>774</v>
      </c>
      <c r="I1529" s="9">
        <v>100</v>
      </c>
      <c r="J1529" s="36">
        <v>0.06</v>
      </c>
    </row>
    <row r="1530" spans="2:10" s="44" customFormat="1" x14ac:dyDescent="0.35">
      <c r="B1530" s="9">
        <v>95106680</v>
      </c>
      <c r="C1530" s="5" t="s">
        <v>2346</v>
      </c>
      <c r="D1530" s="5" t="s">
        <v>3565</v>
      </c>
      <c r="E1530" s="5" t="s">
        <v>2347</v>
      </c>
      <c r="F1530" s="34" t="s">
        <v>3574</v>
      </c>
      <c r="G1530" s="26">
        <v>0.73499999999999999</v>
      </c>
      <c r="H1530" s="1" t="s">
        <v>774</v>
      </c>
      <c r="I1530" s="9">
        <v>100</v>
      </c>
      <c r="J1530" s="36">
        <v>0.06</v>
      </c>
    </row>
    <row r="1531" spans="2:10" s="44" customFormat="1" x14ac:dyDescent="0.35">
      <c r="B1531" s="9">
        <v>95107160</v>
      </c>
      <c r="C1531" s="5" t="s">
        <v>1684</v>
      </c>
      <c r="D1531" s="5" t="s">
        <v>3565</v>
      </c>
      <c r="E1531" s="5" t="s">
        <v>1683</v>
      </c>
      <c r="F1531" s="34" t="s">
        <v>3574</v>
      </c>
      <c r="G1531" s="26">
        <v>0.56899999999999995</v>
      </c>
      <c r="H1531" s="1" t="s">
        <v>774</v>
      </c>
      <c r="I1531" s="9">
        <v>100</v>
      </c>
      <c r="J1531" s="36">
        <v>0.06</v>
      </c>
    </row>
    <row r="1532" spans="2:10" s="44" customFormat="1" x14ac:dyDescent="0.35">
      <c r="B1532" s="9">
        <v>302004319</v>
      </c>
      <c r="C1532" s="5" t="s">
        <v>3545</v>
      </c>
      <c r="D1532" s="5" t="s">
        <v>3567</v>
      </c>
      <c r="E1532" s="5" t="s">
        <v>3546</v>
      </c>
      <c r="F1532" s="35" t="s">
        <v>3569</v>
      </c>
      <c r="G1532" s="26">
        <v>437.2340425531915</v>
      </c>
      <c r="H1532" s="1" t="s">
        <v>774</v>
      </c>
      <c r="I1532" s="35">
        <v>1</v>
      </c>
      <c r="J1532" s="36">
        <v>0.1</v>
      </c>
    </row>
    <row r="1533" spans="2:10" s="44" customFormat="1" x14ac:dyDescent="0.35">
      <c r="B1533" s="9">
        <v>302041489</v>
      </c>
      <c r="C1533" s="5" t="s">
        <v>817</v>
      </c>
      <c r="D1533" s="5" t="s">
        <v>3564</v>
      </c>
      <c r="E1533" s="5">
        <v>11082435</v>
      </c>
      <c r="F1533" s="34" t="s">
        <v>3552</v>
      </c>
      <c r="G1533" s="26">
        <v>103.36</v>
      </c>
      <c r="H1533" s="1" t="s">
        <v>774</v>
      </c>
      <c r="I1533" s="9">
        <v>1</v>
      </c>
      <c r="J1533" s="36">
        <v>0.1</v>
      </c>
    </row>
    <row r="1534" spans="2:10" s="44" customFormat="1" x14ac:dyDescent="0.35">
      <c r="B1534" s="9">
        <v>800000559</v>
      </c>
      <c r="C1534" s="5" t="s">
        <v>2621</v>
      </c>
      <c r="D1534" s="5" t="s">
        <v>3565</v>
      </c>
      <c r="E1534" s="5" t="s">
        <v>2622</v>
      </c>
      <c r="F1534" s="34" t="s">
        <v>3574</v>
      </c>
      <c r="G1534" s="26">
        <v>0.629</v>
      </c>
      <c r="H1534" s="1" t="s">
        <v>774</v>
      </c>
      <c r="I1534" s="9">
        <v>100</v>
      </c>
      <c r="J1534" s="36">
        <v>0.06</v>
      </c>
    </row>
    <row r="1535" spans="2:10" s="44" customFormat="1" x14ac:dyDescent="0.35">
      <c r="B1535" s="9">
        <v>800000727</v>
      </c>
      <c r="C1535" s="5" t="s">
        <v>3207</v>
      </c>
      <c r="D1535" s="5" t="s">
        <v>3565</v>
      </c>
      <c r="E1535" s="5" t="s">
        <v>3208</v>
      </c>
      <c r="F1535" s="34" t="s">
        <v>3574</v>
      </c>
      <c r="G1535" s="26">
        <v>0.28000000000000003</v>
      </c>
      <c r="H1535" s="1" t="s">
        <v>774</v>
      </c>
      <c r="I1535" s="9">
        <v>200</v>
      </c>
      <c r="J1535" s="36">
        <v>0.06</v>
      </c>
    </row>
    <row r="1536" spans="2:10" s="44" customFormat="1" x14ac:dyDescent="0.35">
      <c r="B1536" s="9">
        <v>800000790</v>
      </c>
      <c r="C1536" s="5" t="s">
        <v>3297</v>
      </c>
      <c r="D1536" s="5" t="s">
        <v>3565</v>
      </c>
      <c r="E1536" s="5" t="s">
        <v>3298</v>
      </c>
      <c r="F1536" s="34" t="s">
        <v>3574</v>
      </c>
      <c r="G1536" s="26">
        <v>0.55000000000000004</v>
      </c>
      <c r="H1536" s="1" t="s">
        <v>774</v>
      </c>
      <c r="I1536" s="9">
        <v>100</v>
      </c>
      <c r="J1536" s="36">
        <v>0.06</v>
      </c>
    </row>
    <row r="1537" spans="2:10" s="44" customFormat="1" x14ac:dyDescent="0.35">
      <c r="B1537" s="9">
        <v>800000932</v>
      </c>
      <c r="C1537" s="5" t="s">
        <v>2717</v>
      </c>
      <c r="D1537" s="5" t="s">
        <v>3565</v>
      </c>
      <c r="E1537" s="5" t="s">
        <v>2718</v>
      </c>
      <c r="F1537" s="34" t="s">
        <v>3574</v>
      </c>
      <c r="G1537" s="26">
        <v>0.25800000000000001</v>
      </c>
      <c r="H1537" s="1" t="s">
        <v>774</v>
      </c>
      <c r="I1537" s="9">
        <v>100</v>
      </c>
      <c r="J1537" s="36">
        <v>0.06</v>
      </c>
    </row>
    <row r="1538" spans="2:10" s="44" customFormat="1" x14ac:dyDescent="0.35">
      <c r="B1538" s="9">
        <v>800000934</v>
      </c>
      <c r="C1538" s="5" t="s">
        <v>2848</v>
      </c>
      <c r="D1538" s="5" t="s">
        <v>3565</v>
      </c>
      <c r="E1538" s="5" t="s">
        <v>2849</v>
      </c>
      <c r="F1538" s="34" t="s">
        <v>3574</v>
      </c>
      <c r="G1538" s="26">
        <v>0.61799999999999999</v>
      </c>
      <c r="H1538" s="1" t="s">
        <v>774</v>
      </c>
      <c r="I1538" s="9">
        <v>100</v>
      </c>
      <c r="J1538" s="36">
        <v>0.06</v>
      </c>
    </row>
    <row r="1539" spans="2:10" s="44" customFormat="1" x14ac:dyDescent="0.35">
      <c r="B1539" s="9">
        <v>800000935</v>
      </c>
      <c r="C1539" s="5" t="s">
        <v>2723</v>
      </c>
      <c r="D1539" s="5" t="s">
        <v>3565</v>
      </c>
      <c r="E1539" s="5" t="s">
        <v>2724</v>
      </c>
      <c r="F1539" s="34" t="s">
        <v>3574</v>
      </c>
      <c r="G1539" s="26">
        <v>0.51500000000000001</v>
      </c>
      <c r="H1539" s="1" t="s">
        <v>774</v>
      </c>
      <c r="I1539" s="9">
        <v>100</v>
      </c>
      <c r="J1539" s="36">
        <v>0.06</v>
      </c>
    </row>
    <row r="1540" spans="2:10" s="44" customFormat="1" x14ac:dyDescent="0.35">
      <c r="B1540" s="9">
        <v>800001030</v>
      </c>
      <c r="C1540" s="5" t="s">
        <v>819</v>
      </c>
      <c r="D1540" s="5" t="s">
        <v>3564</v>
      </c>
      <c r="E1540" s="5">
        <v>11082457</v>
      </c>
      <c r="F1540" s="34" t="s">
        <v>3552</v>
      </c>
      <c r="G1540" s="26">
        <v>54.41</v>
      </c>
      <c r="H1540" s="1" t="s">
        <v>774</v>
      </c>
      <c r="I1540" s="9">
        <v>1</v>
      </c>
      <c r="J1540" s="36">
        <v>0.1</v>
      </c>
    </row>
    <row r="1541" spans="2:10" s="44" customFormat="1" x14ac:dyDescent="0.35">
      <c r="B1541" s="9">
        <v>800001130</v>
      </c>
      <c r="C1541" s="5" t="s">
        <v>2025</v>
      </c>
      <c r="D1541" s="5" t="s">
        <v>3565</v>
      </c>
      <c r="E1541" s="5" t="s">
        <v>2791</v>
      </c>
      <c r="F1541" s="34" t="s">
        <v>3574</v>
      </c>
      <c r="G1541" s="26">
        <v>2.266</v>
      </c>
      <c r="H1541" s="1" t="s">
        <v>774</v>
      </c>
      <c r="I1541" s="9">
        <v>100</v>
      </c>
      <c r="J1541" s="36">
        <v>0.06</v>
      </c>
    </row>
    <row r="1542" spans="2:10" s="44" customFormat="1" x14ac:dyDescent="0.35">
      <c r="B1542" s="9">
        <v>800001214</v>
      </c>
      <c r="C1542" s="5" t="s">
        <v>2815</v>
      </c>
      <c r="D1542" s="5" t="s">
        <v>3565</v>
      </c>
      <c r="E1542" s="5" t="s">
        <v>2816</v>
      </c>
      <c r="F1542" s="34" t="s">
        <v>3574</v>
      </c>
      <c r="G1542" s="26">
        <v>0.82400000000000007</v>
      </c>
      <c r="H1542" s="1" t="s">
        <v>774</v>
      </c>
      <c r="I1542" s="9">
        <v>100</v>
      </c>
      <c r="J1542" s="36">
        <v>0.06</v>
      </c>
    </row>
    <row r="1543" spans="2:10" s="44" customFormat="1" x14ac:dyDescent="0.35">
      <c r="B1543" s="9">
        <v>800001231</v>
      </c>
      <c r="C1543" s="5" t="s">
        <v>827</v>
      </c>
      <c r="D1543" s="5" t="s">
        <v>3564</v>
      </c>
      <c r="E1543" s="5">
        <v>11148714</v>
      </c>
      <c r="F1543" s="34" t="s">
        <v>3552</v>
      </c>
      <c r="G1543" s="26">
        <v>67.12</v>
      </c>
      <c r="H1543" s="1" t="s">
        <v>774</v>
      </c>
      <c r="I1543" s="9">
        <v>1</v>
      </c>
      <c r="J1543" s="36">
        <v>0.1</v>
      </c>
    </row>
    <row r="1544" spans="2:10" s="44" customFormat="1" x14ac:dyDescent="0.35">
      <c r="B1544" s="9">
        <v>800001268</v>
      </c>
      <c r="C1544" s="5" t="s">
        <v>2827</v>
      </c>
      <c r="D1544" s="5" t="s">
        <v>3565</v>
      </c>
      <c r="E1544" s="5" t="s">
        <v>2828</v>
      </c>
      <c r="F1544" s="34" t="s">
        <v>3574</v>
      </c>
      <c r="G1544" s="26">
        <v>0.153</v>
      </c>
      <c r="H1544" s="1" t="s">
        <v>774</v>
      </c>
      <c r="I1544" s="9">
        <v>100</v>
      </c>
      <c r="J1544" s="36">
        <v>0.06</v>
      </c>
    </row>
    <row r="1545" spans="2:10" s="44" customFormat="1" x14ac:dyDescent="0.35">
      <c r="B1545" s="9">
        <v>800001269</v>
      </c>
      <c r="C1545" s="5" t="s">
        <v>84</v>
      </c>
      <c r="D1545" s="5" t="s">
        <v>3565</v>
      </c>
      <c r="E1545" s="11" t="s">
        <v>3573</v>
      </c>
      <c r="F1545" s="34" t="s">
        <v>3574</v>
      </c>
      <c r="G1545" s="26">
        <v>0.19600000000000001</v>
      </c>
      <c r="H1545" s="1" t="s">
        <v>774</v>
      </c>
      <c r="I1545" s="9">
        <v>100</v>
      </c>
      <c r="J1545" s="36">
        <v>0.06</v>
      </c>
    </row>
    <row r="1546" spans="2:10" s="44" customFormat="1" x14ac:dyDescent="0.35">
      <c r="B1546" s="9">
        <v>800001282</v>
      </c>
      <c r="C1546" s="5" t="s">
        <v>3290</v>
      </c>
      <c r="D1546" s="5" t="s">
        <v>3565</v>
      </c>
      <c r="E1546" s="5" t="s">
        <v>3291</v>
      </c>
      <c r="F1546" s="34" t="s">
        <v>3574</v>
      </c>
      <c r="G1546" s="26">
        <v>0.15</v>
      </c>
      <c r="H1546" s="1" t="s">
        <v>774</v>
      </c>
      <c r="I1546" s="9">
        <v>200</v>
      </c>
      <c r="J1546" s="36">
        <v>0.06</v>
      </c>
    </row>
    <row r="1547" spans="2:10" s="44" customFormat="1" x14ac:dyDescent="0.35">
      <c r="B1547" s="9">
        <v>800001341</v>
      </c>
      <c r="C1547" s="5" t="s">
        <v>3251</v>
      </c>
      <c r="D1547" s="5" t="s">
        <v>3565</v>
      </c>
      <c r="E1547" s="5" t="s">
        <v>3252</v>
      </c>
      <c r="F1547" s="34" t="s">
        <v>3574</v>
      </c>
      <c r="G1547" s="26">
        <v>0.33</v>
      </c>
      <c r="H1547" s="1" t="s">
        <v>774</v>
      </c>
      <c r="I1547" s="9">
        <v>100</v>
      </c>
      <c r="J1547" s="36">
        <v>0.06</v>
      </c>
    </row>
    <row r="1548" spans="2:10" s="44" customFormat="1" x14ac:dyDescent="0.35">
      <c r="B1548" s="9">
        <v>800001413</v>
      </c>
      <c r="C1548" s="5" t="s">
        <v>2813</v>
      </c>
      <c r="D1548" s="5" t="s">
        <v>3565</v>
      </c>
      <c r="E1548" s="5" t="s">
        <v>2814</v>
      </c>
      <c r="F1548" s="34" t="s">
        <v>3574</v>
      </c>
      <c r="G1548" s="26">
        <v>0.92700000000000005</v>
      </c>
      <c r="H1548" s="1" t="s">
        <v>774</v>
      </c>
      <c r="I1548" s="9">
        <v>100</v>
      </c>
      <c r="J1548" s="36">
        <v>0.06</v>
      </c>
    </row>
    <row r="1549" spans="2:10" s="44" customFormat="1" x14ac:dyDescent="0.35">
      <c r="B1549" s="9">
        <v>800001477</v>
      </c>
      <c r="C1549" s="5" t="s">
        <v>2792</v>
      </c>
      <c r="D1549" s="5" t="s">
        <v>3565</v>
      </c>
      <c r="E1549" s="5" t="s">
        <v>2793</v>
      </c>
      <c r="F1549" s="34" t="s">
        <v>3574</v>
      </c>
      <c r="G1549" s="26">
        <v>0.32</v>
      </c>
      <c r="H1549" s="1" t="s">
        <v>774</v>
      </c>
      <c r="I1549" s="9">
        <v>100</v>
      </c>
      <c r="J1549" s="36">
        <v>0.06</v>
      </c>
    </row>
    <row r="1550" spans="2:10" s="44" customFormat="1" x14ac:dyDescent="0.35">
      <c r="B1550" s="9">
        <v>800001501</v>
      </c>
      <c r="C1550" s="5" t="s">
        <v>2810</v>
      </c>
      <c r="D1550" s="5" t="s">
        <v>3565</v>
      </c>
      <c r="E1550" s="5" t="s">
        <v>2811</v>
      </c>
      <c r="F1550" s="34" t="s">
        <v>3574</v>
      </c>
      <c r="G1550" s="26">
        <v>0.36099999999999999</v>
      </c>
      <c r="H1550" s="1" t="s">
        <v>774</v>
      </c>
      <c r="I1550" s="9">
        <v>100</v>
      </c>
      <c r="J1550" s="36">
        <v>0.06</v>
      </c>
    </row>
    <row r="1551" spans="2:10" s="44" customFormat="1" x14ac:dyDescent="0.35">
      <c r="B1551" s="9">
        <v>800001502</v>
      </c>
      <c r="C1551" s="5" t="s">
        <v>2817</v>
      </c>
      <c r="D1551" s="5" t="s">
        <v>3565</v>
      </c>
      <c r="E1551" s="5" t="s">
        <v>2818</v>
      </c>
      <c r="F1551" s="34" t="s">
        <v>3574</v>
      </c>
      <c r="G1551" s="26">
        <v>19.260000000000002</v>
      </c>
      <c r="H1551" s="1" t="s">
        <v>774</v>
      </c>
      <c r="I1551" s="9">
        <v>1</v>
      </c>
      <c r="J1551" s="36">
        <v>0.06</v>
      </c>
    </row>
    <row r="1552" spans="2:10" s="44" customFormat="1" x14ac:dyDescent="0.35">
      <c r="B1552" s="9">
        <v>800001529</v>
      </c>
      <c r="C1552" s="5" t="s">
        <v>3007</v>
      </c>
      <c r="D1552" s="5" t="s">
        <v>3565</v>
      </c>
      <c r="E1552" s="5" t="s">
        <v>3008</v>
      </c>
      <c r="F1552" s="34" t="s">
        <v>3574</v>
      </c>
      <c r="G1552" s="26">
        <v>2.46</v>
      </c>
      <c r="H1552" s="1" t="s">
        <v>774</v>
      </c>
      <c r="I1552" s="9">
        <v>100</v>
      </c>
      <c r="J1552" s="36">
        <v>0.06</v>
      </c>
    </row>
    <row r="1553" spans="2:10" s="44" customFormat="1" x14ac:dyDescent="0.35">
      <c r="B1553" s="9">
        <v>800001607</v>
      </c>
      <c r="C1553" s="5" t="s">
        <v>2025</v>
      </c>
      <c r="D1553" s="5" t="s">
        <v>3565</v>
      </c>
      <c r="E1553" s="5" t="s">
        <v>2845</v>
      </c>
      <c r="F1553" s="34" t="s">
        <v>3574</v>
      </c>
      <c r="G1553" s="26">
        <v>0.77300000000000002</v>
      </c>
      <c r="H1553" s="1" t="s">
        <v>774</v>
      </c>
      <c r="I1553" s="9">
        <v>100</v>
      </c>
      <c r="J1553" s="36">
        <v>0.06</v>
      </c>
    </row>
    <row r="1554" spans="2:10" s="44" customFormat="1" x14ac:dyDescent="0.35">
      <c r="B1554" s="9">
        <v>800001627</v>
      </c>
      <c r="C1554" s="5" t="s">
        <v>3202</v>
      </c>
      <c r="D1554" s="5" t="s">
        <v>3565</v>
      </c>
      <c r="E1554" s="5" t="s">
        <v>3241</v>
      </c>
      <c r="F1554" s="34" t="s">
        <v>3574</v>
      </c>
      <c r="G1554" s="26">
        <v>0.1</v>
      </c>
      <c r="H1554" s="1" t="s">
        <v>774</v>
      </c>
      <c r="I1554" s="9">
        <v>100</v>
      </c>
      <c r="J1554" s="36">
        <v>0.06</v>
      </c>
    </row>
    <row r="1555" spans="2:10" s="44" customFormat="1" x14ac:dyDescent="0.35">
      <c r="B1555" s="9">
        <v>800001689</v>
      </c>
      <c r="C1555" s="5" t="s">
        <v>3058</v>
      </c>
      <c r="D1555" s="5" t="s">
        <v>3565</v>
      </c>
      <c r="E1555" s="5" t="s">
        <v>3059</v>
      </c>
      <c r="F1555" s="34" t="s">
        <v>3574</v>
      </c>
      <c r="G1555" s="26">
        <v>7.9000000000000001E-2</v>
      </c>
      <c r="H1555" s="1" t="s">
        <v>774</v>
      </c>
      <c r="I1555" s="9">
        <v>400</v>
      </c>
      <c r="J1555" s="36">
        <v>0.06</v>
      </c>
    </row>
    <row r="1556" spans="2:10" s="44" customFormat="1" x14ac:dyDescent="0.35">
      <c r="B1556" s="9">
        <v>800001690</v>
      </c>
      <c r="C1556" s="5" t="s">
        <v>2948</v>
      </c>
      <c r="D1556" s="5" t="s">
        <v>3565</v>
      </c>
      <c r="E1556" s="5" t="s">
        <v>2949</v>
      </c>
      <c r="F1556" s="34" t="s">
        <v>3574</v>
      </c>
      <c r="G1556" s="26">
        <v>0.10300000000000001</v>
      </c>
      <c r="H1556" s="1" t="s">
        <v>774</v>
      </c>
      <c r="I1556" s="9">
        <v>100</v>
      </c>
      <c r="J1556" s="36">
        <v>0.06</v>
      </c>
    </row>
    <row r="1557" spans="2:10" s="44" customFormat="1" x14ac:dyDescent="0.35">
      <c r="B1557" s="9">
        <v>800001691</v>
      </c>
      <c r="C1557" s="5" t="s">
        <v>735</v>
      </c>
      <c r="D1557" s="5" t="s">
        <v>3565</v>
      </c>
      <c r="E1557" s="5" t="s">
        <v>3118</v>
      </c>
      <c r="F1557" s="34" t="s">
        <v>3574</v>
      </c>
      <c r="G1557" s="26">
        <v>0.105</v>
      </c>
      <c r="H1557" s="1" t="s">
        <v>774</v>
      </c>
      <c r="I1557" s="9">
        <v>300</v>
      </c>
      <c r="J1557" s="36">
        <v>0.06</v>
      </c>
    </row>
    <row r="1558" spans="2:10" s="44" customFormat="1" x14ac:dyDescent="0.35">
      <c r="B1558" s="9">
        <v>800001693</v>
      </c>
      <c r="C1558" s="5" t="s">
        <v>3064</v>
      </c>
      <c r="D1558" s="5" t="s">
        <v>3565</v>
      </c>
      <c r="E1558" s="5" t="s">
        <v>3065</v>
      </c>
      <c r="F1558" s="34" t="s">
        <v>3574</v>
      </c>
      <c r="G1558" s="26">
        <v>8.5999999999999993E-2</v>
      </c>
      <c r="H1558" s="1" t="s">
        <v>774</v>
      </c>
      <c r="I1558" s="9">
        <v>400</v>
      </c>
      <c r="J1558" s="36">
        <v>0.06</v>
      </c>
    </row>
    <row r="1559" spans="2:10" s="44" customFormat="1" x14ac:dyDescent="0.35">
      <c r="B1559" s="9">
        <v>800001694</v>
      </c>
      <c r="C1559" s="5" t="s">
        <v>3035</v>
      </c>
      <c r="D1559" s="5" t="s">
        <v>3565</v>
      </c>
      <c r="E1559" s="5" t="s">
        <v>3036</v>
      </c>
      <c r="F1559" s="34" t="s">
        <v>3574</v>
      </c>
      <c r="G1559" s="26">
        <v>7.4999999999999997E-2</v>
      </c>
      <c r="H1559" s="1" t="s">
        <v>774</v>
      </c>
      <c r="I1559" s="9">
        <v>400</v>
      </c>
      <c r="J1559" s="36">
        <v>0.06</v>
      </c>
    </row>
    <row r="1560" spans="2:10" s="44" customFormat="1" x14ac:dyDescent="0.35">
      <c r="B1560" s="9">
        <v>800001695</v>
      </c>
      <c r="C1560" s="5" t="s">
        <v>3033</v>
      </c>
      <c r="D1560" s="5" t="s">
        <v>3565</v>
      </c>
      <c r="E1560" s="5" t="s">
        <v>3034</v>
      </c>
      <c r="F1560" s="34" t="s">
        <v>3574</v>
      </c>
      <c r="G1560" s="26">
        <v>0.106</v>
      </c>
      <c r="H1560" s="1" t="s">
        <v>774</v>
      </c>
      <c r="I1560" s="9">
        <v>300</v>
      </c>
      <c r="J1560" s="36">
        <v>0.06</v>
      </c>
    </row>
    <row r="1561" spans="2:10" s="44" customFormat="1" x14ac:dyDescent="0.35">
      <c r="B1561" s="9">
        <v>800001697</v>
      </c>
      <c r="C1561" s="5" t="s">
        <v>2959</v>
      </c>
      <c r="D1561" s="5" t="s">
        <v>3565</v>
      </c>
      <c r="E1561" s="5" t="s">
        <v>2960</v>
      </c>
      <c r="F1561" s="34" t="s">
        <v>3574</v>
      </c>
      <c r="G1561" s="26">
        <v>8.299999999999999E-2</v>
      </c>
      <c r="H1561" s="1" t="s">
        <v>774</v>
      </c>
      <c r="I1561" s="9">
        <v>100</v>
      </c>
      <c r="J1561" s="36">
        <v>0.06</v>
      </c>
    </row>
    <row r="1562" spans="2:10" s="44" customFormat="1" x14ac:dyDescent="0.35">
      <c r="B1562" s="9">
        <v>800001698</v>
      </c>
      <c r="C1562" s="5" t="s">
        <v>634</v>
      </c>
      <c r="D1562" s="5" t="s">
        <v>3565</v>
      </c>
      <c r="E1562" s="5" t="s">
        <v>2950</v>
      </c>
      <c r="F1562" s="34" t="s">
        <v>3574</v>
      </c>
      <c r="G1562" s="26">
        <v>0.10300000000000001</v>
      </c>
      <c r="H1562" s="1" t="s">
        <v>774</v>
      </c>
      <c r="I1562" s="9">
        <v>100</v>
      </c>
      <c r="J1562" s="36">
        <v>0.06</v>
      </c>
    </row>
    <row r="1563" spans="2:10" s="44" customFormat="1" x14ac:dyDescent="0.35">
      <c r="B1563" s="9">
        <v>800001702</v>
      </c>
      <c r="C1563" s="5" t="s">
        <v>3060</v>
      </c>
      <c r="D1563" s="5" t="s">
        <v>3565</v>
      </c>
      <c r="E1563" s="5" t="s">
        <v>3061</v>
      </c>
      <c r="F1563" s="34" t="s">
        <v>3574</v>
      </c>
      <c r="G1563" s="26">
        <v>0.1</v>
      </c>
      <c r="H1563" s="1" t="s">
        <v>774</v>
      </c>
      <c r="I1563" s="9">
        <v>300</v>
      </c>
      <c r="J1563" s="36">
        <v>0.06</v>
      </c>
    </row>
    <row r="1564" spans="2:10" s="44" customFormat="1" x14ac:dyDescent="0.35">
      <c r="B1564" s="9">
        <v>800001704</v>
      </c>
      <c r="C1564" s="5" t="s">
        <v>3054</v>
      </c>
      <c r="D1564" s="5" t="s">
        <v>3565</v>
      </c>
      <c r="E1564" s="5" t="s">
        <v>3055</v>
      </c>
      <c r="F1564" s="34" t="s">
        <v>3574</v>
      </c>
      <c r="G1564" s="26">
        <v>9.6999999999999989E-2</v>
      </c>
      <c r="H1564" s="1" t="s">
        <v>774</v>
      </c>
      <c r="I1564" s="9">
        <v>400</v>
      </c>
      <c r="J1564" s="36">
        <v>0.06</v>
      </c>
    </row>
    <row r="1565" spans="2:10" s="44" customFormat="1" x14ac:dyDescent="0.35">
      <c r="B1565" s="9">
        <v>800001707</v>
      </c>
      <c r="C1565" s="5" t="s">
        <v>3056</v>
      </c>
      <c r="D1565" s="5" t="s">
        <v>3565</v>
      </c>
      <c r="E1565" s="5" t="s">
        <v>3057</v>
      </c>
      <c r="F1565" s="34" t="s">
        <v>3574</v>
      </c>
      <c r="G1565" s="26">
        <v>0.13200000000000001</v>
      </c>
      <c r="H1565" s="1" t="s">
        <v>774</v>
      </c>
      <c r="I1565" s="9">
        <v>300</v>
      </c>
      <c r="J1565" s="36">
        <v>0.06</v>
      </c>
    </row>
    <row r="1566" spans="2:10" s="44" customFormat="1" x14ac:dyDescent="0.35">
      <c r="B1566" s="9">
        <v>800001708</v>
      </c>
      <c r="C1566" s="5" t="s">
        <v>3062</v>
      </c>
      <c r="D1566" s="5" t="s">
        <v>3565</v>
      </c>
      <c r="E1566" s="5" t="s">
        <v>3063</v>
      </c>
      <c r="F1566" s="34" t="s">
        <v>3574</v>
      </c>
      <c r="G1566" s="26">
        <v>0.16200000000000001</v>
      </c>
      <c r="H1566" s="1" t="s">
        <v>774</v>
      </c>
      <c r="I1566" s="9">
        <v>200</v>
      </c>
      <c r="J1566" s="36">
        <v>0.06</v>
      </c>
    </row>
    <row r="1567" spans="2:10" s="44" customFormat="1" x14ac:dyDescent="0.35">
      <c r="B1567" s="9">
        <v>800001709</v>
      </c>
      <c r="C1567" s="5" t="s">
        <v>734</v>
      </c>
      <c r="D1567" s="5" t="s">
        <v>3565</v>
      </c>
      <c r="E1567" s="5" t="s">
        <v>3039</v>
      </c>
      <c r="F1567" s="34" t="s">
        <v>3574</v>
      </c>
      <c r="G1567" s="26">
        <v>0.22</v>
      </c>
      <c r="H1567" s="1" t="s">
        <v>774</v>
      </c>
      <c r="I1567" s="9">
        <v>200</v>
      </c>
      <c r="J1567" s="36">
        <v>0.06</v>
      </c>
    </row>
    <row r="1568" spans="2:10" s="44" customFormat="1" x14ac:dyDescent="0.35">
      <c r="B1568" s="9">
        <v>800001727</v>
      </c>
      <c r="C1568" s="5" t="s">
        <v>3359</v>
      </c>
      <c r="D1568" s="5" t="s">
        <v>3565</v>
      </c>
      <c r="E1568" s="11" t="s">
        <v>3573</v>
      </c>
      <c r="F1568" s="34" t="s">
        <v>3574</v>
      </c>
      <c r="G1568" s="26">
        <v>0.1</v>
      </c>
      <c r="H1568" s="1" t="s">
        <v>774</v>
      </c>
      <c r="I1568" s="9">
        <v>200</v>
      </c>
      <c r="J1568" s="36">
        <v>0.06</v>
      </c>
    </row>
    <row r="1569" spans="2:10" s="44" customFormat="1" x14ac:dyDescent="0.35">
      <c r="B1569" s="9">
        <v>800001729</v>
      </c>
      <c r="C1569" s="5" t="s">
        <v>105</v>
      </c>
      <c r="D1569" s="5" t="s">
        <v>3565</v>
      </c>
      <c r="E1569" s="11" t="s">
        <v>3573</v>
      </c>
      <c r="F1569" s="34" t="s">
        <v>3574</v>
      </c>
      <c r="G1569" s="26">
        <v>0.10300000000000001</v>
      </c>
      <c r="H1569" s="1" t="s">
        <v>774</v>
      </c>
      <c r="I1569" s="9">
        <v>100</v>
      </c>
      <c r="J1569" s="36">
        <v>0.06</v>
      </c>
    </row>
    <row r="1570" spans="2:10" s="44" customFormat="1" x14ac:dyDescent="0.35">
      <c r="B1570" s="9">
        <v>800001745</v>
      </c>
      <c r="C1570" s="5" t="s">
        <v>3032</v>
      </c>
      <c r="D1570" s="5" t="s">
        <v>3565</v>
      </c>
      <c r="E1570" s="11" t="s">
        <v>3573</v>
      </c>
      <c r="F1570" s="34" t="s">
        <v>3574</v>
      </c>
      <c r="G1570" s="26">
        <v>0.08</v>
      </c>
      <c r="H1570" s="1" t="s">
        <v>774</v>
      </c>
      <c r="I1570" s="9">
        <v>200</v>
      </c>
      <c r="J1570" s="36">
        <v>0.06</v>
      </c>
    </row>
    <row r="1571" spans="2:10" s="44" customFormat="1" x14ac:dyDescent="0.35">
      <c r="B1571" s="9">
        <v>800001746</v>
      </c>
      <c r="C1571" s="5" t="s">
        <v>3003</v>
      </c>
      <c r="D1571" s="5" t="s">
        <v>3565</v>
      </c>
      <c r="E1571" s="5" t="s">
        <v>3004</v>
      </c>
      <c r="F1571" s="34" t="s">
        <v>3574</v>
      </c>
      <c r="G1571" s="26">
        <v>4.4999999999999998E-2</v>
      </c>
      <c r="H1571" s="1" t="s">
        <v>774</v>
      </c>
      <c r="I1571" s="9">
        <v>100</v>
      </c>
      <c r="J1571" s="36">
        <v>0.06</v>
      </c>
    </row>
    <row r="1572" spans="2:10" s="44" customFormat="1" x14ac:dyDescent="0.35">
      <c r="B1572" s="9">
        <v>800001756</v>
      </c>
      <c r="C1572" s="5" t="s">
        <v>70</v>
      </c>
      <c r="D1572" s="5" t="s">
        <v>3565</v>
      </c>
      <c r="E1572" s="5" t="s">
        <v>3133</v>
      </c>
      <c r="F1572" s="34" t="s">
        <v>3574</v>
      </c>
      <c r="G1572" s="26">
        <v>0.4</v>
      </c>
      <c r="H1572" s="1" t="s">
        <v>774</v>
      </c>
      <c r="I1572" s="9">
        <v>100</v>
      </c>
      <c r="J1572" s="36">
        <v>0.06</v>
      </c>
    </row>
    <row r="1573" spans="2:10" s="44" customFormat="1" x14ac:dyDescent="0.35">
      <c r="B1573" s="9">
        <v>800001777</v>
      </c>
      <c r="C1573" s="5" t="s">
        <v>3177</v>
      </c>
      <c r="D1573" s="5" t="s">
        <v>3565</v>
      </c>
      <c r="E1573" s="11" t="s">
        <v>3573</v>
      </c>
      <c r="F1573" s="34" t="s">
        <v>3574</v>
      </c>
      <c r="G1573" s="26">
        <v>0.14899999999999999</v>
      </c>
      <c r="H1573" s="1" t="s">
        <v>774</v>
      </c>
      <c r="I1573" s="9">
        <v>100</v>
      </c>
      <c r="J1573" s="36">
        <v>0.06</v>
      </c>
    </row>
    <row r="1574" spans="2:10" s="44" customFormat="1" x14ac:dyDescent="0.35">
      <c r="B1574" s="9">
        <v>800001779</v>
      </c>
      <c r="C1574" s="5" t="s">
        <v>2963</v>
      </c>
      <c r="D1574" s="5" t="s">
        <v>3565</v>
      </c>
      <c r="E1574" s="5" t="s">
        <v>2964</v>
      </c>
      <c r="F1574" s="34" t="s">
        <v>3574</v>
      </c>
      <c r="G1574" s="26">
        <v>0.29900000000000004</v>
      </c>
      <c r="H1574" s="1" t="s">
        <v>774</v>
      </c>
      <c r="I1574" s="9">
        <v>100</v>
      </c>
      <c r="J1574" s="36">
        <v>0.06</v>
      </c>
    </row>
    <row r="1575" spans="2:10" s="44" customFormat="1" x14ac:dyDescent="0.35">
      <c r="B1575" s="9">
        <v>800001786</v>
      </c>
      <c r="C1575" s="5" t="s">
        <v>2972</v>
      </c>
      <c r="D1575" s="5" t="s">
        <v>3565</v>
      </c>
      <c r="E1575" s="5" t="s">
        <v>2973</v>
      </c>
      <c r="F1575" s="34" t="s">
        <v>3574</v>
      </c>
      <c r="G1575" s="26">
        <v>0.46399999999999997</v>
      </c>
      <c r="H1575" s="1" t="s">
        <v>774</v>
      </c>
      <c r="I1575" s="9">
        <v>100</v>
      </c>
      <c r="J1575" s="36">
        <v>0.06</v>
      </c>
    </row>
    <row r="1576" spans="2:10" s="44" customFormat="1" x14ac:dyDescent="0.35">
      <c r="B1576" s="9">
        <v>800001887</v>
      </c>
      <c r="C1576" s="5" t="s">
        <v>2895</v>
      </c>
      <c r="D1576" s="5" t="s">
        <v>3565</v>
      </c>
      <c r="E1576" s="5" t="s">
        <v>2896</v>
      </c>
      <c r="F1576" s="34" t="s">
        <v>3574</v>
      </c>
      <c r="G1576" s="26">
        <v>0.46899999999999997</v>
      </c>
      <c r="H1576" s="1" t="s">
        <v>774</v>
      </c>
      <c r="I1576" s="9">
        <v>100</v>
      </c>
      <c r="J1576" s="36">
        <v>0.06</v>
      </c>
    </row>
    <row r="1577" spans="2:10" s="44" customFormat="1" x14ac:dyDescent="0.35">
      <c r="B1577" s="9">
        <v>800001904</v>
      </c>
      <c r="C1577" s="5" t="s">
        <v>3078</v>
      </c>
      <c r="D1577" s="5" t="s">
        <v>3565</v>
      </c>
      <c r="E1577" s="5" t="s">
        <v>3079</v>
      </c>
      <c r="F1577" s="34" t="s">
        <v>3574</v>
      </c>
      <c r="G1577" s="26">
        <v>0.12</v>
      </c>
      <c r="H1577" s="1" t="s">
        <v>774</v>
      </c>
      <c r="I1577" s="9">
        <v>300</v>
      </c>
      <c r="J1577" s="36">
        <v>0.06</v>
      </c>
    </row>
    <row r="1578" spans="2:10" s="44" customFormat="1" x14ac:dyDescent="0.35">
      <c r="B1578" s="9">
        <v>800001905</v>
      </c>
      <c r="C1578" s="5" t="s">
        <v>3037</v>
      </c>
      <c r="D1578" s="5" t="s">
        <v>3565</v>
      </c>
      <c r="E1578" s="5" t="s">
        <v>3038</v>
      </c>
      <c r="F1578" s="34" t="s">
        <v>3574</v>
      </c>
      <c r="G1578" s="26">
        <v>0.125</v>
      </c>
      <c r="H1578" s="1" t="s">
        <v>774</v>
      </c>
      <c r="I1578" s="9">
        <v>300</v>
      </c>
      <c r="J1578" s="36">
        <v>0.06</v>
      </c>
    </row>
    <row r="1579" spans="2:10" s="44" customFormat="1" x14ac:dyDescent="0.35">
      <c r="B1579" s="9">
        <v>800001906</v>
      </c>
      <c r="C1579" s="5" t="s">
        <v>3040</v>
      </c>
      <c r="D1579" s="5" t="s">
        <v>3565</v>
      </c>
      <c r="E1579" s="5" t="s">
        <v>3041</v>
      </c>
      <c r="F1579" s="34" t="s">
        <v>3574</v>
      </c>
      <c r="G1579" s="26">
        <v>0.15</v>
      </c>
      <c r="H1579" s="1" t="s">
        <v>774</v>
      </c>
      <c r="I1579" s="9">
        <v>200</v>
      </c>
      <c r="J1579" s="36">
        <v>0.06</v>
      </c>
    </row>
    <row r="1580" spans="2:10" s="44" customFormat="1" x14ac:dyDescent="0.35">
      <c r="B1580" s="9">
        <v>800001907</v>
      </c>
      <c r="C1580" s="5" t="s">
        <v>3042</v>
      </c>
      <c r="D1580" s="5" t="s">
        <v>3565</v>
      </c>
      <c r="E1580" s="5" t="s">
        <v>3043</v>
      </c>
      <c r="F1580" s="34" t="s">
        <v>3574</v>
      </c>
      <c r="G1580" s="26">
        <v>0.16</v>
      </c>
      <c r="H1580" s="1" t="s">
        <v>774</v>
      </c>
      <c r="I1580" s="9">
        <v>200</v>
      </c>
      <c r="J1580" s="36">
        <v>0.06</v>
      </c>
    </row>
    <row r="1581" spans="2:10" s="44" customFormat="1" x14ac:dyDescent="0.35">
      <c r="B1581" s="9">
        <v>800001908</v>
      </c>
      <c r="C1581" s="5" t="s">
        <v>3046</v>
      </c>
      <c r="D1581" s="5" t="s">
        <v>3565</v>
      </c>
      <c r="E1581" s="5" t="s">
        <v>3047</v>
      </c>
      <c r="F1581" s="34" t="s">
        <v>3574</v>
      </c>
      <c r="G1581" s="26">
        <v>0.17</v>
      </c>
      <c r="H1581" s="1" t="s">
        <v>774</v>
      </c>
      <c r="I1581" s="9">
        <v>200</v>
      </c>
      <c r="J1581" s="36">
        <v>0.06</v>
      </c>
    </row>
    <row r="1582" spans="2:10" s="44" customFormat="1" x14ac:dyDescent="0.35">
      <c r="B1582" s="9">
        <v>800001909</v>
      </c>
      <c r="C1582" s="5" t="s">
        <v>3068</v>
      </c>
      <c r="D1582" s="5" t="s">
        <v>3565</v>
      </c>
      <c r="E1582" s="5" t="s">
        <v>3069</v>
      </c>
      <c r="F1582" s="34" t="s">
        <v>3574</v>
      </c>
      <c r="G1582" s="26">
        <v>0.18</v>
      </c>
      <c r="H1582" s="1" t="s">
        <v>774</v>
      </c>
      <c r="I1582" s="9">
        <v>200</v>
      </c>
      <c r="J1582" s="36">
        <v>0.06</v>
      </c>
    </row>
    <row r="1583" spans="2:10" s="44" customFormat="1" x14ac:dyDescent="0.35">
      <c r="B1583" s="9">
        <v>800001910</v>
      </c>
      <c r="C1583" s="5" t="s">
        <v>3048</v>
      </c>
      <c r="D1583" s="5" t="s">
        <v>3565</v>
      </c>
      <c r="E1583" s="5" t="s">
        <v>3049</v>
      </c>
      <c r="F1583" s="34" t="s">
        <v>3574</v>
      </c>
      <c r="G1583" s="26">
        <v>0.2</v>
      </c>
      <c r="H1583" s="1" t="s">
        <v>774</v>
      </c>
      <c r="I1583" s="9">
        <v>200</v>
      </c>
      <c r="J1583" s="36">
        <v>0.06</v>
      </c>
    </row>
    <row r="1584" spans="2:10" s="44" customFormat="1" x14ac:dyDescent="0.35">
      <c r="B1584" s="9">
        <v>800001911</v>
      </c>
      <c r="C1584" s="5" t="s">
        <v>3070</v>
      </c>
      <c r="D1584" s="5" t="s">
        <v>3565</v>
      </c>
      <c r="E1584" s="5" t="s">
        <v>3071</v>
      </c>
      <c r="F1584" s="34" t="s">
        <v>3574</v>
      </c>
      <c r="G1584" s="26">
        <v>0.22</v>
      </c>
      <c r="H1584" s="1" t="s">
        <v>774</v>
      </c>
      <c r="I1584" s="9">
        <v>200</v>
      </c>
      <c r="J1584" s="36">
        <v>0.06</v>
      </c>
    </row>
    <row r="1585" spans="2:10" s="44" customFormat="1" x14ac:dyDescent="0.35">
      <c r="B1585" s="9">
        <v>800001912</v>
      </c>
      <c r="C1585" s="5" t="s">
        <v>3074</v>
      </c>
      <c r="D1585" s="5" t="s">
        <v>3565</v>
      </c>
      <c r="E1585" s="5" t="s">
        <v>3075</v>
      </c>
      <c r="F1585" s="34" t="s">
        <v>3574</v>
      </c>
      <c r="G1585" s="26">
        <v>0.28000000000000003</v>
      </c>
      <c r="H1585" s="1" t="s">
        <v>774</v>
      </c>
      <c r="I1585" s="9">
        <v>200</v>
      </c>
      <c r="J1585" s="36">
        <v>0.06</v>
      </c>
    </row>
    <row r="1586" spans="2:10" s="44" customFormat="1" x14ac:dyDescent="0.35">
      <c r="B1586" s="9">
        <v>800001913</v>
      </c>
      <c r="C1586" s="5" t="s">
        <v>3072</v>
      </c>
      <c r="D1586" s="5" t="s">
        <v>3565</v>
      </c>
      <c r="E1586" s="5" t="s">
        <v>3073</v>
      </c>
      <c r="F1586" s="34" t="s">
        <v>3574</v>
      </c>
      <c r="G1586" s="26">
        <v>0.1</v>
      </c>
      <c r="H1586" s="1" t="s">
        <v>774</v>
      </c>
      <c r="I1586" s="9">
        <v>300</v>
      </c>
      <c r="J1586" s="36">
        <v>0.06</v>
      </c>
    </row>
    <row r="1587" spans="2:10" s="44" customFormat="1" x14ac:dyDescent="0.35">
      <c r="B1587" s="9">
        <v>800001915</v>
      </c>
      <c r="C1587" s="5" t="s">
        <v>3044</v>
      </c>
      <c r="D1587" s="5" t="s">
        <v>3565</v>
      </c>
      <c r="E1587" s="5" t="s">
        <v>3045</v>
      </c>
      <c r="F1587" s="34" t="s">
        <v>3574</v>
      </c>
      <c r="G1587" s="26">
        <v>0.1</v>
      </c>
      <c r="H1587" s="1" t="s">
        <v>774</v>
      </c>
      <c r="I1587" s="9">
        <v>300</v>
      </c>
      <c r="J1587" s="36">
        <v>0.06</v>
      </c>
    </row>
    <row r="1588" spans="2:10" s="44" customFormat="1" x14ac:dyDescent="0.35">
      <c r="B1588" s="9">
        <v>800001916</v>
      </c>
      <c r="C1588" s="5" t="s">
        <v>3066</v>
      </c>
      <c r="D1588" s="5" t="s">
        <v>3565</v>
      </c>
      <c r="E1588" s="5" t="s">
        <v>3067</v>
      </c>
      <c r="F1588" s="34" t="s">
        <v>3574</v>
      </c>
      <c r="G1588" s="26">
        <v>7.0000000000000007E-2</v>
      </c>
      <c r="H1588" s="1" t="s">
        <v>774</v>
      </c>
      <c r="I1588" s="9">
        <v>500</v>
      </c>
      <c r="J1588" s="36">
        <v>0.06</v>
      </c>
    </row>
    <row r="1589" spans="2:10" s="44" customFormat="1" x14ac:dyDescent="0.35">
      <c r="B1589" s="9">
        <v>800001917</v>
      </c>
      <c r="C1589" s="5" t="s">
        <v>3050</v>
      </c>
      <c r="D1589" s="5" t="s">
        <v>3565</v>
      </c>
      <c r="E1589" s="5" t="s">
        <v>3051</v>
      </c>
      <c r="F1589" s="34" t="s">
        <v>3574</v>
      </c>
      <c r="G1589" s="26">
        <v>7.4999999999999997E-2</v>
      </c>
      <c r="H1589" s="1" t="s">
        <v>774</v>
      </c>
      <c r="I1589" s="9">
        <v>400</v>
      </c>
      <c r="J1589" s="36">
        <v>0.06</v>
      </c>
    </row>
    <row r="1590" spans="2:10" s="44" customFormat="1" x14ac:dyDescent="0.35">
      <c r="B1590" s="9">
        <v>800001919</v>
      </c>
      <c r="C1590" s="5" t="s">
        <v>3052</v>
      </c>
      <c r="D1590" s="5" t="s">
        <v>3565</v>
      </c>
      <c r="E1590" s="5" t="s">
        <v>3053</v>
      </c>
      <c r="F1590" s="34" t="s">
        <v>3574</v>
      </c>
      <c r="G1590" s="26">
        <v>8.199999999999999E-2</v>
      </c>
      <c r="H1590" s="1" t="s">
        <v>774</v>
      </c>
      <c r="I1590" s="9">
        <v>400</v>
      </c>
      <c r="J1590" s="36">
        <v>0.06</v>
      </c>
    </row>
    <row r="1591" spans="2:10" s="44" customFormat="1" x14ac:dyDescent="0.35">
      <c r="B1591" s="9">
        <v>800001942</v>
      </c>
      <c r="C1591" s="5" t="s">
        <v>3127</v>
      </c>
      <c r="D1591" s="5" t="s">
        <v>3565</v>
      </c>
      <c r="E1591" s="5" t="s">
        <v>3128</v>
      </c>
      <c r="F1591" s="34" t="s">
        <v>3574</v>
      </c>
      <c r="G1591" s="26">
        <v>0.18</v>
      </c>
      <c r="H1591" s="1" t="s">
        <v>774</v>
      </c>
      <c r="I1591" s="9">
        <v>200</v>
      </c>
      <c r="J1591" s="36">
        <v>0.06</v>
      </c>
    </row>
    <row r="1592" spans="2:10" s="44" customFormat="1" x14ac:dyDescent="0.35">
      <c r="B1592" s="9">
        <v>800001971</v>
      </c>
      <c r="C1592" s="5" t="s">
        <v>1923</v>
      </c>
      <c r="D1592" s="5" t="s">
        <v>3565</v>
      </c>
      <c r="E1592" s="5" t="s">
        <v>2844</v>
      </c>
      <c r="F1592" s="34" t="s">
        <v>3574</v>
      </c>
      <c r="G1592" s="26">
        <v>0.72099999999999997</v>
      </c>
      <c r="H1592" s="1" t="s">
        <v>774</v>
      </c>
      <c r="I1592" s="9">
        <v>100</v>
      </c>
      <c r="J1592" s="36">
        <v>0.06</v>
      </c>
    </row>
    <row r="1593" spans="2:10" s="44" customFormat="1" x14ac:dyDescent="0.35">
      <c r="B1593" s="9">
        <v>800002014</v>
      </c>
      <c r="C1593" s="5" t="s">
        <v>2840</v>
      </c>
      <c r="D1593" s="5" t="s">
        <v>3565</v>
      </c>
      <c r="E1593" s="5" t="s">
        <v>2841</v>
      </c>
      <c r="F1593" s="34" t="s">
        <v>3574</v>
      </c>
      <c r="G1593" s="26">
        <v>8.76</v>
      </c>
      <c r="H1593" s="1" t="s">
        <v>774</v>
      </c>
      <c r="I1593" s="9">
        <v>1</v>
      </c>
      <c r="J1593" s="36">
        <v>0.06</v>
      </c>
    </row>
    <row r="1594" spans="2:10" s="44" customFormat="1" x14ac:dyDescent="0.35">
      <c r="B1594" s="9">
        <v>800002052</v>
      </c>
      <c r="C1594" s="5" t="s">
        <v>3285</v>
      </c>
      <c r="D1594" s="5" t="s">
        <v>3565</v>
      </c>
      <c r="E1594" s="5" t="s">
        <v>3286</v>
      </c>
      <c r="F1594" s="34" t="s">
        <v>3574</v>
      </c>
      <c r="G1594" s="26">
        <v>0.8</v>
      </c>
      <c r="H1594" s="1" t="s">
        <v>774</v>
      </c>
      <c r="I1594" s="9">
        <v>100</v>
      </c>
      <c r="J1594" s="36">
        <v>0.06</v>
      </c>
    </row>
    <row r="1595" spans="2:10" s="44" customFormat="1" x14ac:dyDescent="0.35">
      <c r="B1595" s="9">
        <v>800002224</v>
      </c>
      <c r="C1595" s="5" t="s">
        <v>3005</v>
      </c>
      <c r="D1595" s="5" t="s">
        <v>3565</v>
      </c>
      <c r="E1595" s="5" t="s">
        <v>3006</v>
      </c>
      <c r="F1595" s="34" t="s">
        <v>3574</v>
      </c>
      <c r="G1595" s="26">
        <v>0.3</v>
      </c>
      <c r="H1595" s="1" t="s">
        <v>774</v>
      </c>
      <c r="I1595" s="9">
        <v>100</v>
      </c>
      <c r="J1595" s="36">
        <v>0.06</v>
      </c>
    </row>
    <row r="1596" spans="2:10" s="44" customFormat="1" x14ac:dyDescent="0.35">
      <c r="B1596" s="9">
        <v>800002247</v>
      </c>
      <c r="C1596" s="5" t="s">
        <v>3124</v>
      </c>
      <c r="D1596" s="5" t="s">
        <v>3565</v>
      </c>
      <c r="E1596" s="5" t="s">
        <v>3125</v>
      </c>
      <c r="F1596" s="34" t="s">
        <v>3574</v>
      </c>
      <c r="G1596" s="26">
        <v>0.15</v>
      </c>
      <c r="H1596" s="1" t="s">
        <v>774</v>
      </c>
      <c r="I1596" s="9">
        <v>200</v>
      </c>
      <c r="J1596" s="36">
        <v>0.06</v>
      </c>
    </row>
    <row r="1597" spans="2:10" s="44" customFormat="1" x14ac:dyDescent="0.35">
      <c r="B1597" s="9">
        <v>800002248</v>
      </c>
      <c r="C1597" s="5" t="s">
        <v>731</v>
      </c>
      <c r="D1597" s="5" t="s">
        <v>3565</v>
      </c>
      <c r="E1597" s="5" t="s">
        <v>3126</v>
      </c>
      <c r="F1597" s="34" t="s">
        <v>3574</v>
      </c>
      <c r="G1597" s="26">
        <v>0.20600000000000002</v>
      </c>
      <c r="H1597" s="1" t="s">
        <v>774</v>
      </c>
      <c r="I1597" s="9">
        <v>200</v>
      </c>
      <c r="J1597" s="36">
        <v>0.06</v>
      </c>
    </row>
    <row r="1598" spans="2:10" s="44" customFormat="1" x14ac:dyDescent="0.35">
      <c r="B1598" s="9">
        <v>800002279</v>
      </c>
      <c r="C1598" s="5" t="s">
        <v>3176</v>
      </c>
      <c r="D1598" s="5" t="s">
        <v>3565</v>
      </c>
      <c r="E1598" s="11" t="s">
        <v>3573</v>
      </c>
      <c r="F1598" s="34" t="s">
        <v>3574</v>
      </c>
      <c r="G1598" s="26">
        <v>0.223</v>
      </c>
      <c r="H1598" s="1" t="s">
        <v>774</v>
      </c>
      <c r="I1598" s="9">
        <v>100</v>
      </c>
      <c r="J1598" s="36">
        <v>0.06</v>
      </c>
    </row>
    <row r="1599" spans="2:10" s="44" customFormat="1" x14ac:dyDescent="0.35">
      <c r="B1599" s="9">
        <v>800002303</v>
      </c>
      <c r="C1599" s="5" t="s">
        <v>3122</v>
      </c>
      <c r="D1599" s="5" t="s">
        <v>3565</v>
      </c>
      <c r="E1599" s="5" t="s">
        <v>3123</v>
      </c>
      <c r="F1599" s="34" t="s">
        <v>3574</v>
      </c>
      <c r="G1599" s="26">
        <v>0.19399999999999998</v>
      </c>
      <c r="H1599" s="1" t="s">
        <v>774</v>
      </c>
      <c r="I1599" s="9">
        <v>200</v>
      </c>
      <c r="J1599" s="36">
        <v>0.06</v>
      </c>
    </row>
    <row r="1600" spans="2:10" s="44" customFormat="1" x14ac:dyDescent="0.35">
      <c r="B1600" s="9">
        <v>800002454</v>
      </c>
      <c r="C1600" s="5" t="s">
        <v>2144</v>
      </c>
      <c r="D1600" s="5" t="s">
        <v>3565</v>
      </c>
      <c r="E1600" s="5" t="s">
        <v>3140</v>
      </c>
      <c r="F1600" s="34" t="s">
        <v>3574</v>
      </c>
      <c r="G1600" s="26">
        <v>0.32</v>
      </c>
      <c r="H1600" s="1" t="s">
        <v>774</v>
      </c>
      <c r="I1600" s="9">
        <v>100</v>
      </c>
      <c r="J1600" s="36">
        <v>0.06</v>
      </c>
    </row>
    <row r="1601" spans="2:10" s="44" customFormat="1" x14ac:dyDescent="0.35">
      <c r="B1601" s="9">
        <v>800002713</v>
      </c>
      <c r="C1601" s="5" t="s">
        <v>3277</v>
      </c>
      <c r="D1601" s="5" t="s">
        <v>3565</v>
      </c>
      <c r="E1601" s="5" t="s">
        <v>3278</v>
      </c>
      <c r="F1601" s="34" t="s">
        <v>3574</v>
      </c>
      <c r="G1601" s="26">
        <v>1.9</v>
      </c>
      <c r="H1601" s="1" t="s">
        <v>774</v>
      </c>
      <c r="I1601" s="9">
        <v>100</v>
      </c>
      <c r="J1601" s="36">
        <v>0.06</v>
      </c>
    </row>
    <row r="1602" spans="2:10" s="44" customFormat="1" x14ac:dyDescent="0.35">
      <c r="B1602" s="9">
        <v>800002774</v>
      </c>
      <c r="C1602" s="5" t="s">
        <v>2938</v>
      </c>
      <c r="D1602" s="5" t="s">
        <v>3565</v>
      </c>
      <c r="E1602" s="5" t="s">
        <v>2939</v>
      </c>
      <c r="F1602" s="34" t="s">
        <v>3574</v>
      </c>
      <c r="G1602" s="26">
        <v>0.35100000000000003</v>
      </c>
      <c r="H1602" s="1" t="s">
        <v>774</v>
      </c>
      <c r="I1602" s="9">
        <v>100</v>
      </c>
      <c r="J1602" s="36">
        <v>0.06</v>
      </c>
    </row>
    <row r="1603" spans="2:10" s="44" customFormat="1" x14ac:dyDescent="0.35">
      <c r="B1603" s="9">
        <v>800002832</v>
      </c>
      <c r="C1603" s="5" t="s">
        <v>737</v>
      </c>
      <c r="D1603" s="5" t="s">
        <v>3565</v>
      </c>
      <c r="E1603" s="5" t="s">
        <v>3134</v>
      </c>
      <c r="F1603" s="34" t="s">
        <v>3574</v>
      </c>
      <c r="G1603" s="26">
        <v>0.23</v>
      </c>
      <c r="H1603" s="1" t="s">
        <v>774</v>
      </c>
      <c r="I1603" s="9">
        <v>100</v>
      </c>
      <c r="J1603" s="36">
        <v>0.06</v>
      </c>
    </row>
    <row r="1604" spans="2:10" s="44" customFormat="1" x14ac:dyDescent="0.35">
      <c r="B1604" s="9">
        <v>800003234</v>
      </c>
      <c r="C1604" s="5" t="s">
        <v>3384</v>
      </c>
      <c r="D1604" s="5" t="s">
        <v>3565</v>
      </c>
      <c r="E1604" s="5" t="s">
        <v>3385</v>
      </c>
      <c r="F1604" s="34" t="s">
        <v>3574</v>
      </c>
      <c r="G1604" s="26">
        <v>0.68</v>
      </c>
      <c r="H1604" s="1" t="s">
        <v>774</v>
      </c>
      <c r="I1604" s="9">
        <v>100</v>
      </c>
      <c r="J1604" s="36">
        <v>0.06</v>
      </c>
    </row>
    <row r="1605" spans="2:10" s="44" customFormat="1" x14ac:dyDescent="0.35">
      <c r="B1605" s="9">
        <v>800003259</v>
      </c>
      <c r="C1605" s="5" t="s">
        <v>3394</v>
      </c>
      <c r="D1605" s="5" t="s">
        <v>3565</v>
      </c>
      <c r="E1605" s="5" t="s">
        <v>3395</v>
      </c>
      <c r="F1605" s="34" t="s">
        <v>3574</v>
      </c>
      <c r="G1605" s="26">
        <v>0.55000000000000004</v>
      </c>
      <c r="H1605" s="1" t="s">
        <v>774</v>
      </c>
      <c r="I1605" s="9">
        <v>100</v>
      </c>
      <c r="J1605" s="36">
        <v>0.06</v>
      </c>
    </row>
    <row r="1606" spans="2:10" s="44" customFormat="1" x14ac:dyDescent="0.35">
      <c r="B1606" s="9">
        <v>800003261</v>
      </c>
      <c r="C1606" s="5" t="s">
        <v>3111</v>
      </c>
      <c r="D1606" s="5" t="s">
        <v>3565</v>
      </c>
      <c r="E1606" s="5" t="s">
        <v>3112</v>
      </c>
      <c r="F1606" s="34" t="s">
        <v>3574</v>
      </c>
      <c r="G1606" s="26">
        <v>0.33200000000000002</v>
      </c>
      <c r="H1606" s="1" t="s">
        <v>774</v>
      </c>
      <c r="I1606" s="9">
        <v>100</v>
      </c>
      <c r="J1606" s="36">
        <v>0.06</v>
      </c>
    </row>
    <row r="1607" spans="2:10" s="44" customFormat="1" x14ac:dyDescent="0.35">
      <c r="B1607" s="9">
        <v>800003537</v>
      </c>
      <c r="C1607" s="5" t="s">
        <v>3011</v>
      </c>
      <c r="D1607" s="5" t="s">
        <v>3565</v>
      </c>
      <c r="E1607" s="5" t="s">
        <v>3012</v>
      </c>
      <c r="F1607" s="34" t="s">
        <v>3574</v>
      </c>
      <c r="G1607" s="26">
        <v>0.5</v>
      </c>
      <c r="H1607" s="1" t="s">
        <v>774</v>
      </c>
      <c r="I1607" s="9">
        <v>100</v>
      </c>
      <c r="J1607" s="36">
        <v>0.06</v>
      </c>
    </row>
    <row r="1608" spans="2:10" s="44" customFormat="1" x14ac:dyDescent="0.35">
      <c r="B1608" s="9">
        <v>800003538</v>
      </c>
      <c r="C1608" s="5" t="s">
        <v>69</v>
      </c>
      <c r="D1608" s="5" t="s">
        <v>3565</v>
      </c>
      <c r="E1608" s="5" t="s">
        <v>3013</v>
      </c>
      <c r="F1608" s="34" t="s">
        <v>3574</v>
      </c>
      <c r="G1608" s="26">
        <v>0.5</v>
      </c>
      <c r="H1608" s="1" t="s">
        <v>774</v>
      </c>
      <c r="I1608" s="9">
        <v>100</v>
      </c>
      <c r="J1608" s="36">
        <v>0.06</v>
      </c>
    </row>
    <row r="1609" spans="2:10" s="44" customFormat="1" x14ac:dyDescent="0.35">
      <c r="B1609" s="9">
        <v>800003598</v>
      </c>
      <c r="C1609" s="5" t="s">
        <v>3131</v>
      </c>
      <c r="D1609" s="5" t="s">
        <v>3565</v>
      </c>
      <c r="E1609" s="5" t="s">
        <v>3132</v>
      </c>
      <c r="F1609" s="34" t="s">
        <v>3574</v>
      </c>
      <c r="G1609" s="26">
        <v>0.33500000000000002</v>
      </c>
      <c r="H1609" s="1" t="s">
        <v>774</v>
      </c>
      <c r="I1609" s="9">
        <v>100</v>
      </c>
      <c r="J1609" s="36">
        <v>0.06</v>
      </c>
    </row>
    <row r="1610" spans="2:10" s="44" customFormat="1" x14ac:dyDescent="0.35">
      <c r="B1610" s="9">
        <v>800003621</v>
      </c>
      <c r="C1610" s="5" t="s">
        <v>3019</v>
      </c>
      <c r="D1610" s="5" t="s">
        <v>3565</v>
      </c>
      <c r="E1610" s="5" t="s">
        <v>3020</v>
      </c>
      <c r="F1610" s="34" t="s">
        <v>3574</v>
      </c>
      <c r="G1610" s="26">
        <v>2</v>
      </c>
      <c r="H1610" s="1" t="s">
        <v>774</v>
      </c>
      <c r="I1610" s="9">
        <v>100</v>
      </c>
      <c r="J1610" s="36">
        <v>0.06</v>
      </c>
    </row>
    <row r="1611" spans="2:10" s="44" customFormat="1" x14ac:dyDescent="0.35">
      <c r="B1611" s="9">
        <v>800003622</v>
      </c>
      <c r="C1611" s="5" t="s">
        <v>3021</v>
      </c>
      <c r="D1611" s="5" t="s">
        <v>3565</v>
      </c>
      <c r="E1611" s="5" t="s">
        <v>3022</v>
      </c>
      <c r="F1611" s="34" t="s">
        <v>3574</v>
      </c>
      <c r="G1611" s="26">
        <v>2</v>
      </c>
      <c r="H1611" s="1" t="s">
        <v>774</v>
      </c>
      <c r="I1611" s="9">
        <v>100</v>
      </c>
      <c r="J1611" s="36">
        <v>0.06</v>
      </c>
    </row>
    <row r="1612" spans="2:10" s="44" customFormat="1" x14ac:dyDescent="0.35">
      <c r="B1612" s="9">
        <v>800003623</v>
      </c>
      <c r="C1612" s="5" t="s">
        <v>3023</v>
      </c>
      <c r="D1612" s="5" t="s">
        <v>3565</v>
      </c>
      <c r="E1612" s="5" t="s">
        <v>3024</v>
      </c>
      <c r="F1612" s="34" t="s">
        <v>3574</v>
      </c>
      <c r="G1612" s="26">
        <v>9</v>
      </c>
      <c r="H1612" s="1" t="s">
        <v>774</v>
      </c>
      <c r="I1612" s="9">
        <v>1</v>
      </c>
      <c r="J1612" s="36">
        <v>0.06</v>
      </c>
    </row>
    <row r="1613" spans="2:10" s="44" customFormat="1" x14ac:dyDescent="0.35">
      <c r="B1613" s="9">
        <v>800003667</v>
      </c>
      <c r="C1613" s="5" t="s">
        <v>3274</v>
      </c>
      <c r="D1613" s="5" t="s">
        <v>3565</v>
      </c>
      <c r="E1613" s="5" t="s">
        <v>773</v>
      </c>
      <c r="F1613" s="34" t="s">
        <v>3574</v>
      </c>
      <c r="G1613" s="26">
        <v>0.6</v>
      </c>
      <c r="H1613" s="1" t="s">
        <v>774</v>
      </c>
      <c r="I1613" s="9">
        <v>1000</v>
      </c>
      <c r="J1613" s="36">
        <v>0.06</v>
      </c>
    </row>
    <row r="1614" spans="2:10" s="44" customFormat="1" x14ac:dyDescent="0.35">
      <c r="B1614" s="9">
        <v>800003668</v>
      </c>
      <c r="C1614" s="5" t="s">
        <v>3030</v>
      </c>
      <c r="D1614" s="5" t="s">
        <v>3565</v>
      </c>
      <c r="E1614" s="5" t="s">
        <v>3031</v>
      </c>
      <c r="F1614" s="34" t="s">
        <v>3574</v>
      </c>
      <c r="G1614" s="26">
        <v>0.5</v>
      </c>
      <c r="H1614" s="1" t="s">
        <v>774</v>
      </c>
      <c r="I1614" s="9">
        <v>100</v>
      </c>
      <c r="J1614" s="36">
        <v>0.06</v>
      </c>
    </row>
    <row r="1615" spans="2:10" s="44" customFormat="1" x14ac:dyDescent="0.35">
      <c r="B1615" s="9">
        <v>800003746</v>
      </c>
      <c r="C1615" s="5" t="s">
        <v>3076</v>
      </c>
      <c r="D1615" s="5" t="s">
        <v>3565</v>
      </c>
      <c r="E1615" s="5" t="s">
        <v>3077</v>
      </c>
      <c r="F1615" s="34" t="s">
        <v>3574</v>
      </c>
      <c r="G1615" s="26">
        <v>0.13</v>
      </c>
      <c r="H1615" s="1" t="s">
        <v>774</v>
      </c>
      <c r="I1615" s="9">
        <v>300</v>
      </c>
      <c r="J1615" s="36">
        <v>0.06</v>
      </c>
    </row>
    <row r="1616" spans="2:10" s="44" customFormat="1" x14ac:dyDescent="0.35">
      <c r="B1616" s="9">
        <v>800003932</v>
      </c>
      <c r="C1616" s="5" t="s">
        <v>3114</v>
      </c>
      <c r="D1616" s="5" t="s">
        <v>3565</v>
      </c>
      <c r="E1616" s="5" t="s">
        <v>3115</v>
      </c>
      <c r="F1616" s="34" t="s">
        <v>3574</v>
      </c>
      <c r="G1616" s="26">
        <v>2.2000000000000002</v>
      </c>
      <c r="H1616" s="1" t="s">
        <v>774</v>
      </c>
      <c r="I1616" s="9">
        <v>100</v>
      </c>
      <c r="J1616" s="36">
        <v>0.06</v>
      </c>
    </row>
    <row r="1617" spans="2:10" s="44" customFormat="1" x14ac:dyDescent="0.35">
      <c r="B1617" s="9">
        <v>800004052</v>
      </c>
      <c r="C1617" s="5" t="s">
        <v>3227</v>
      </c>
      <c r="D1617" s="5" t="s">
        <v>3565</v>
      </c>
      <c r="E1617" s="5" t="s">
        <v>3228</v>
      </c>
      <c r="F1617" s="34" t="s">
        <v>3574</v>
      </c>
      <c r="G1617" s="26">
        <v>0.28100000000000003</v>
      </c>
      <c r="H1617" s="1" t="s">
        <v>774</v>
      </c>
      <c r="I1617" s="9">
        <v>200</v>
      </c>
      <c r="J1617" s="36">
        <v>0.06</v>
      </c>
    </row>
    <row r="1618" spans="2:10" s="44" customFormat="1" x14ac:dyDescent="0.35">
      <c r="B1618" s="9">
        <v>800004053</v>
      </c>
      <c r="C1618" s="5" t="s">
        <v>3229</v>
      </c>
      <c r="D1618" s="5" t="s">
        <v>3565</v>
      </c>
      <c r="E1618" s="5" t="s">
        <v>3230</v>
      </c>
      <c r="F1618" s="34" t="s">
        <v>3574</v>
      </c>
      <c r="G1618" s="26">
        <v>0.3</v>
      </c>
      <c r="H1618" s="1" t="s">
        <v>774</v>
      </c>
      <c r="I1618" s="9">
        <v>200</v>
      </c>
      <c r="J1618" s="36">
        <v>0.06</v>
      </c>
    </row>
    <row r="1619" spans="2:10" s="44" customFormat="1" x14ac:dyDescent="0.35">
      <c r="B1619" s="9">
        <v>800004054</v>
      </c>
      <c r="C1619" s="5" t="s">
        <v>3233</v>
      </c>
      <c r="D1619" s="5" t="s">
        <v>3565</v>
      </c>
      <c r="E1619" s="5" t="s">
        <v>3234</v>
      </c>
      <c r="F1619" s="34" t="s">
        <v>3574</v>
      </c>
      <c r="G1619" s="26">
        <v>0.32</v>
      </c>
      <c r="H1619" s="1" t="s">
        <v>774</v>
      </c>
      <c r="I1619" s="9">
        <v>200</v>
      </c>
      <c r="J1619" s="36">
        <v>0.06</v>
      </c>
    </row>
    <row r="1620" spans="2:10" s="44" customFormat="1" x14ac:dyDescent="0.35">
      <c r="B1620" s="9">
        <v>800004071</v>
      </c>
      <c r="C1620" s="5" t="s">
        <v>3231</v>
      </c>
      <c r="D1620" s="5" t="s">
        <v>3565</v>
      </c>
      <c r="E1620" s="5" t="s">
        <v>3232</v>
      </c>
      <c r="F1620" s="34" t="s">
        <v>3574</v>
      </c>
      <c r="G1620" s="26">
        <v>9.5</v>
      </c>
      <c r="H1620" s="1" t="s">
        <v>774</v>
      </c>
      <c r="I1620" s="9">
        <v>5</v>
      </c>
      <c r="J1620" s="36">
        <v>0.06</v>
      </c>
    </row>
    <row r="1621" spans="2:10" s="44" customFormat="1" x14ac:dyDescent="0.35">
      <c r="B1621" s="9">
        <v>800004269</v>
      </c>
      <c r="C1621" s="5" t="s">
        <v>3171</v>
      </c>
      <c r="D1621" s="5" t="s">
        <v>3565</v>
      </c>
      <c r="E1621" s="5" t="s">
        <v>3172</v>
      </c>
      <c r="F1621" s="34" t="s">
        <v>3574</v>
      </c>
      <c r="G1621" s="26">
        <v>7.5</v>
      </c>
      <c r="H1621" s="1" t="s">
        <v>774</v>
      </c>
      <c r="I1621" s="9">
        <v>100</v>
      </c>
      <c r="J1621" s="36">
        <v>0.06</v>
      </c>
    </row>
    <row r="1622" spans="2:10" s="44" customFormat="1" x14ac:dyDescent="0.35">
      <c r="B1622" s="9">
        <v>800004368</v>
      </c>
      <c r="C1622" s="5" t="s">
        <v>3346</v>
      </c>
      <c r="D1622" s="5" t="s">
        <v>3565</v>
      </c>
      <c r="E1622" s="5" t="s">
        <v>3347</v>
      </c>
      <c r="F1622" s="34" t="s">
        <v>3574</v>
      </c>
      <c r="G1622" s="26">
        <v>0.55000000000000004</v>
      </c>
      <c r="H1622" s="1" t="s">
        <v>774</v>
      </c>
      <c r="I1622" s="9">
        <v>100</v>
      </c>
      <c r="J1622" s="36">
        <v>0.06</v>
      </c>
    </row>
    <row r="1623" spans="2:10" s="44" customFormat="1" x14ac:dyDescent="0.35">
      <c r="B1623" s="9">
        <v>800004917</v>
      </c>
      <c r="C1623" s="5" t="s">
        <v>3292</v>
      </c>
      <c r="D1623" s="5" t="s">
        <v>3565</v>
      </c>
      <c r="E1623" s="5" t="s">
        <v>3293</v>
      </c>
      <c r="F1623" s="34" t="s">
        <v>3574</v>
      </c>
      <c r="G1623" s="26">
        <v>2.25</v>
      </c>
      <c r="H1623" s="1" t="s">
        <v>774</v>
      </c>
      <c r="I1623" s="9">
        <v>100</v>
      </c>
      <c r="J1623" s="36">
        <v>0.06</v>
      </c>
    </row>
    <row r="1624" spans="2:10" s="44" customFormat="1" x14ac:dyDescent="0.35">
      <c r="B1624" s="9">
        <v>800005071</v>
      </c>
      <c r="C1624" s="5" t="s">
        <v>3342</v>
      </c>
      <c r="D1624" s="5" t="s">
        <v>3565</v>
      </c>
      <c r="E1624" s="5" t="s">
        <v>3343</v>
      </c>
      <c r="F1624" s="34" t="s">
        <v>3574</v>
      </c>
      <c r="G1624" s="26">
        <v>0.56999999999999995</v>
      </c>
      <c r="H1624" s="1" t="s">
        <v>774</v>
      </c>
      <c r="I1624" s="9">
        <v>100</v>
      </c>
      <c r="J1624" s="36">
        <v>0.06</v>
      </c>
    </row>
    <row r="1625" spans="2:10" s="44" customFormat="1" x14ac:dyDescent="0.35">
      <c r="B1625" s="9">
        <v>800005072</v>
      </c>
      <c r="C1625" s="5" t="s">
        <v>3344</v>
      </c>
      <c r="D1625" s="5" t="s">
        <v>3565</v>
      </c>
      <c r="E1625" s="5" t="s">
        <v>3345</v>
      </c>
      <c r="F1625" s="34" t="s">
        <v>3574</v>
      </c>
      <c r="G1625" s="26">
        <v>0.62</v>
      </c>
      <c r="H1625" s="1" t="s">
        <v>774</v>
      </c>
      <c r="I1625" s="9">
        <v>100</v>
      </c>
      <c r="J1625" s="36">
        <v>0.06</v>
      </c>
    </row>
    <row r="1626" spans="2:10" s="44" customFormat="1" x14ac:dyDescent="0.35">
      <c r="B1626" s="9">
        <v>800005113</v>
      </c>
      <c r="C1626" s="5" t="s">
        <v>3355</v>
      </c>
      <c r="D1626" s="5" t="s">
        <v>3565</v>
      </c>
      <c r="E1626" s="5" t="s">
        <v>3356</v>
      </c>
      <c r="F1626" s="34" t="s">
        <v>3574</v>
      </c>
      <c r="G1626" s="26">
        <v>0.60199999999999998</v>
      </c>
      <c r="H1626" s="1" t="s">
        <v>774</v>
      </c>
      <c r="I1626" s="9">
        <v>1000</v>
      </c>
      <c r="J1626" s="36">
        <v>0.06</v>
      </c>
    </row>
    <row r="1627" spans="2:10" s="44" customFormat="1" x14ac:dyDescent="0.35">
      <c r="B1627" s="9">
        <v>800005121</v>
      </c>
      <c r="C1627" s="5" t="s">
        <v>3357</v>
      </c>
      <c r="D1627" s="5" t="s">
        <v>3565</v>
      </c>
      <c r="E1627" s="5" t="s">
        <v>3358</v>
      </c>
      <c r="F1627" s="34" t="s">
        <v>3574</v>
      </c>
      <c r="G1627" s="26">
        <v>0.14499999999999999</v>
      </c>
      <c r="H1627" s="1" t="s">
        <v>774</v>
      </c>
      <c r="I1627" s="9">
        <v>5000</v>
      </c>
      <c r="J1627" s="36">
        <v>0.06</v>
      </c>
    </row>
    <row r="1628" spans="2:10" s="44" customFormat="1" x14ac:dyDescent="0.35">
      <c r="B1628" s="9">
        <v>800005342</v>
      </c>
      <c r="C1628" s="5" t="s">
        <v>3377</v>
      </c>
      <c r="D1628" s="5" t="s">
        <v>3565</v>
      </c>
      <c r="E1628" s="5" t="s">
        <v>3378</v>
      </c>
      <c r="F1628" s="34" t="s">
        <v>3574</v>
      </c>
      <c r="G1628" s="26">
        <v>0.7</v>
      </c>
      <c r="H1628" s="1" t="s">
        <v>774</v>
      </c>
      <c r="I1628" s="9">
        <v>100</v>
      </c>
      <c r="J1628" s="36">
        <v>0.06</v>
      </c>
    </row>
    <row r="1629" spans="2:10" s="44" customFormat="1" x14ac:dyDescent="0.35">
      <c r="B1629" s="9">
        <v>800005343</v>
      </c>
      <c r="C1629" s="5" t="s">
        <v>3379</v>
      </c>
      <c r="D1629" s="5" t="s">
        <v>3565</v>
      </c>
      <c r="E1629" s="5" t="s">
        <v>3380</v>
      </c>
      <c r="F1629" s="34" t="s">
        <v>3574</v>
      </c>
      <c r="G1629" s="26">
        <v>0.6</v>
      </c>
      <c r="H1629" s="1" t="s">
        <v>774</v>
      </c>
      <c r="I1629" s="9">
        <v>100</v>
      </c>
      <c r="J1629" s="36">
        <v>0.06</v>
      </c>
    </row>
    <row r="1630" spans="2:10" s="44" customFormat="1" x14ac:dyDescent="0.35">
      <c r="B1630" s="9">
        <v>6501001608</v>
      </c>
      <c r="C1630" s="5" t="s">
        <v>2573</v>
      </c>
      <c r="D1630" s="5" t="s">
        <v>3565</v>
      </c>
      <c r="E1630" s="5" t="s">
        <v>2574</v>
      </c>
      <c r="F1630" s="34" t="s">
        <v>3574</v>
      </c>
      <c r="G1630" s="26">
        <v>1.9469999999999998</v>
      </c>
      <c r="H1630" s="1" t="s">
        <v>774</v>
      </c>
      <c r="I1630" s="9">
        <v>100</v>
      </c>
      <c r="J1630" s="36">
        <v>0.06</v>
      </c>
    </row>
    <row r="1631" spans="2:10" s="44" customFormat="1" x14ac:dyDescent="0.35">
      <c r="B1631" s="9">
        <v>6501600404</v>
      </c>
      <c r="C1631" s="5" t="s">
        <v>2241</v>
      </c>
      <c r="D1631" s="5" t="s">
        <v>3565</v>
      </c>
      <c r="E1631" s="11" t="s">
        <v>3573</v>
      </c>
      <c r="F1631" s="34" t="s">
        <v>3574</v>
      </c>
      <c r="G1631" s="26">
        <v>0.105</v>
      </c>
      <c r="H1631" s="1" t="s">
        <v>774</v>
      </c>
      <c r="I1631" s="9">
        <v>100</v>
      </c>
      <c r="J1631" s="36">
        <v>0.06</v>
      </c>
    </row>
    <row r="1632" spans="2:10" s="44" customFormat="1" x14ac:dyDescent="0.35">
      <c r="B1632" s="9">
        <v>6502000304</v>
      </c>
      <c r="C1632" s="5" t="s">
        <v>2628</v>
      </c>
      <c r="D1632" s="5" t="s">
        <v>3565</v>
      </c>
      <c r="E1632" s="5" t="s">
        <v>2629</v>
      </c>
      <c r="F1632" s="34" t="s">
        <v>3574</v>
      </c>
      <c r="G1632" s="26">
        <v>0.309</v>
      </c>
      <c r="H1632" s="1" t="s">
        <v>774</v>
      </c>
      <c r="I1632" s="9">
        <v>100</v>
      </c>
      <c r="J1632" s="36">
        <v>0.06</v>
      </c>
    </row>
    <row r="1633" spans="2:10" s="44" customFormat="1" x14ac:dyDescent="0.35">
      <c r="B1633" s="9">
        <v>6502000401</v>
      </c>
      <c r="C1633" s="5" t="s">
        <v>2239</v>
      </c>
      <c r="D1633" s="5" t="s">
        <v>3565</v>
      </c>
      <c r="E1633" s="11" t="s">
        <v>3573</v>
      </c>
      <c r="F1633" s="34" t="s">
        <v>3574</v>
      </c>
      <c r="G1633" s="26">
        <v>7.3999999999999996E-2</v>
      </c>
      <c r="H1633" s="1" t="s">
        <v>774</v>
      </c>
      <c r="I1633" s="9">
        <v>100</v>
      </c>
      <c r="J1633" s="36">
        <v>0.06</v>
      </c>
    </row>
    <row r="1634" spans="2:10" s="44" customFormat="1" x14ac:dyDescent="0.35">
      <c r="B1634" s="9">
        <v>6502000403</v>
      </c>
      <c r="C1634" s="5" t="s">
        <v>2929</v>
      </c>
      <c r="D1634" s="5" t="s">
        <v>3565</v>
      </c>
      <c r="E1634" s="11" t="s">
        <v>3573</v>
      </c>
      <c r="F1634" s="34" t="s">
        <v>3574</v>
      </c>
      <c r="G1634" s="26">
        <v>0.10300000000000001</v>
      </c>
      <c r="H1634" s="1" t="s">
        <v>774</v>
      </c>
      <c r="I1634" s="9">
        <v>100</v>
      </c>
      <c r="J1634" s="36">
        <v>0.06</v>
      </c>
    </row>
    <row r="1635" spans="2:10" s="44" customFormat="1" x14ac:dyDescent="0.35">
      <c r="B1635" s="9">
        <v>6502000499</v>
      </c>
      <c r="C1635" s="5" t="s">
        <v>1706</v>
      </c>
      <c r="D1635" s="5" t="s">
        <v>3565</v>
      </c>
      <c r="E1635" s="5" t="s">
        <v>875</v>
      </c>
      <c r="F1635" s="34" t="s">
        <v>3574</v>
      </c>
      <c r="G1635" s="26">
        <v>0.51400000000000001</v>
      </c>
      <c r="H1635" s="1" t="s">
        <v>774</v>
      </c>
      <c r="I1635" s="9">
        <v>100</v>
      </c>
      <c r="J1635" s="36">
        <v>0.06</v>
      </c>
    </row>
    <row r="1636" spans="2:10" s="44" customFormat="1" x14ac:dyDescent="0.35">
      <c r="B1636" s="9">
        <v>6502000504</v>
      </c>
      <c r="C1636" s="5" t="s">
        <v>2242</v>
      </c>
      <c r="D1636" s="5" t="s">
        <v>3565</v>
      </c>
      <c r="E1636" s="11" t="s">
        <v>3573</v>
      </c>
      <c r="F1636" s="34" t="s">
        <v>3574</v>
      </c>
      <c r="G1636" s="26">
        <v>7.3999999999999996E-2</v>
      </c>
      <c r="H1636" s="1" t="s">
        <v>774</v>
      </c>
      <c r="I1636" s="9">
        <v>100</v>
      </c>
      <c r="J1636" s="36">
        <v>0.06</v>
      </c>
    </row>
    <row r="1637" spans="2:10" s="44" customFormat="1" x14ac:dyDescent="0.35">
      <c r="B1637" s="9">
        <v>6502000604</v>
      </c>
      <c r="C1637" s="5" t="s">
        <v>2630</v>
      </c>
      <c r="D1637" s="5" t="s">
        <v>3565</v>
      </c>
      <c r="E1637" s="5" t="s">
        <v>2631</v>
      </c>
      <c r="F1637" s="34" t="s">
        <v>3574</v>
      </c>
      <c r="G1637" s="26">
        <v>0.309</v>
      </c>
      <c r="H1637" s="1" t="s">
        <v>774</v>
      </c>
      <c r="I1637" s="9">
        <v>100</v>
      </c>
      <c r="J1637" s="36">
        <v>0.06</v>
      </c>
    </row>
    <row r="1638" spans="2:10" s="44" customFormat="1" x14ac:dyDescent="0.35">
      <c r="B1638" s="9">
        <v>6502000808</v>
      </c>
      <c r="C1638" s="5" t="s">
        <v>2887</v>
      </c>
      <c r="D1638" s="5" t="s">
        <v>3565</v>
      </c>
      <c r="E1638" s="5" t="s">
        <v>2888</v>
      </c>
      <c r="F1638" s="34" t="s">
        <v>3574</v>
      </c>
      <c r="G1638" s="26">
        <v>0.17400000000000002</v>
      </c>
      <c r="H1638" s="1" t="s">
        <v>774</v>
      </c>
      <c r="I1638" s="9">
        <v>100</v>
      </c>
      <c r="J1638" s="36">
        <v>0.06</v>
      </c>
    </row>
    <row r="1639" spans="2:10" s="44" customFormat="1" x14ac:dyDescent="0.35">
      <c r="B1639" s="9">
        <v>6502500404</v>
      </c>
      <c r="C1639" s="5" t="s">
        <v>2243</v>
      </c>
      <c r="D1639" s="5" t="s">
        <v>3565</v>
      </c>
      <c r="E1639" s="11" t="s">
        <v>3573</v>
      </c>
      <c r="F1639" s="34" t="s">
        <v>3574</v>
      </c>
      <c r="G1639" s="26">
        <v>8.4000000000000005E-2</v>
      </c>
      <c r="H1639" s="1" t="s">
        <v>774</v>
      </c>
      <c r="I1639" s="9">
        <v>100</v>
      </c>
      <c r="J1639" s="36">
        <v>0.06</v>
      </c>
    </row>
    <row r="1640" spans="2:10" s="44" customFormat="1" x14ac:dyDescent="0.35">
      <c r="B1640" s="9">
        <v>6502500503</v>
      </c>
      <c r="C1640" s="5" t="s">
        <v>949</v>
      </c>
      <c r="D1640" s="5" t="s">
        <v>3565</v>
      </c>
      <c r="E1640" s="5" t="s">
        <v>950</v>
      </c>
      <c r="F1640" s="34" t="s">
        <v>3574</v>
      </c>
      <c r="G1640" s="26">
        <v>0.439</v>
      </c>
      <c r="H1640" s="1" t="s">
        <v>774</v>
      </c>
      <c r="I1640" s="9">
        <v>100</v>
      </c>
      <c r="J1640" s="36">
        <v>0.06</v>
      </c>
    </row>
    <row r="1641" spans="2:10" s="44" customFormat="1" x14ac:dyDescent="0.35">
      <c r="B1641" s="9">
        <v>6502501008</v>
      </c>
      <c r="C1641" s="5" t="s">
        <v>2930</v>
      </c>
      <c r="D1641" s="5" t="s">
        <v>3565</v>
      </c>
      <c r="E1641" s="11" t="s">
        <v>3573</v>
      </c>
      <c r="F1641" s="34" t="s">
        <v>3574</v>
      </c>
      <c r="G1641" s="26">
        <v>0.114</v>
      </c>
      <c r="H1641" s="1" t="s">
        <v>774</v>
      </c>
      <c r="I1641" s="9">
        <v>100</v>
      </c>
      <c r="J1641" s="36">
        <v>0.06</v>
      </c>
    </row>
    <row r="1642" spans="2:10" s="44" customFormat="1" x14ac:dyDescent="0.35">
      <c r="B1642" s="9">
        <v>6503000503</v>
      </c>
      <c r="C1642" s="5" t="s">
        <v>1801</v>
      </c>
      <c r="D1642" s="5" t="s">
        <v>3565</v>
      </c>
      <c r="E1642" s="5" t="s">
        <v>1802</v>
      </c>
      <c r="F1642" s="34" t="s">
        <v>3574</v>
      </c>
      <c r="G1642" s="26">
        <v>0.18</v>
      </c>
      <c r="H1642" s="1" t="s">
        <v>774</v>
      </c>
      <c r="I1642" s="9">
        <v>100</v>
      </c>
      <c r="J1642" s="36">
        <v>0.06</v>
      </c>
    </row>
    <row r="1643" spans="2:10" s="44" customFormat="1" x14ac:dyDescent="0.35">
      <c r="B1643" s="9">
        <v>6503000508</v>
      </c>
      <c r="C1643" s="5" t="s">
        <v>2869</v>
      </c>
      <c r="D1643" s="5" t="s">
        <v>3565</v>
      </c>
      <c r="E1643" s="5" t="s">
        <v>2870</v>
      </c>
      <c r="F1643" s="34" t="s">
        <v>3574</v>
      </c>
      <c r="G1643" s="26">
        <v>0.22</v>
      </c>
      <c r="H1643" s="1" t="s">
        <v>774</v>
      </c>
      <c r="I1643" s="9">
        <v>100</v>
      </c>
      <c r="J1643" s="36">
        <v>0.06</v>
      </c>
    </row>
    <row r="1644" spans="2:10" s="44" customFormat="1" x14ac:dyDescent="0.35">
      <c r="B1644" s="9">
        <v>6503000599</v>
      </c>
      <c r="C1644" s="5" t="s">
        <v>2581</v>
      </c>
      <c r="D1644" s="5" t="s">
        <v>3565</v>
      </c>
      <c r="E1644" s="11" t="s">
        <v>3573</v>
      </c>
      <c r="F1644" s="34" t="s">
        <v>3574</v>
      </c>
      <c r="G1644" s="26">
        <v>9.2999999999999985E-2</v>
      </c>
      <c r="H1644" s="1" t="s">
        <v>774</v>
      </c>
      <c r="I1644" s="9">
        <v>100</v>
      </c>
      <c r="J1644" s="36">
        <v>0.06</v>
      </c>
    </row>
    <row r="1645" spans="2:10" s="44" customFormat="1" x14ac:dyDescent="0.35">
      <c r="B1645" s="9">
        <v>6503000604</v>
      </c>
      <c r="C1645" s="5" t="s">
        <v>2632</v>
      </c>
      <c r="D1645" s="5" t="s">
        <v>3565</v>
      </c>
      <c r="E1645" s="5" t="s">
        <v>2633</v>
      </c>
      <c r="F1645" s="34" t="s">
        <v>3574</v>
      </c>
      <c r="G1645" s="26">
        <v>0.309</v>
      </c>
      <c r="H1645" s="1" t="s">
        <v>774</v>
      </c>
      <c r="I1645" s="9">
        <v>100</v>
      </c>
      <c r="J1645" s="36">
        <v>0.06</v>
      </c>
    </row>
    <row r="1646" spans="2:10" s="44" customFormat="1" x14ac:dyDescent="0.35">
      <c r="B1646" s="9">
        <v>6503000608</v>
      </c>
      <c r="C1646" s="5" t="s">
        <v>2871</v>
      </c>
      <c r="D1646" s="5" t="s">
        <v>3565</v>
      </c>
      <c r="E1646" s="5" t="s">
        <v>2872</v>
      </c>
      <c r="F1646" s="34" t="s">
        <v>3574</v>
      </c>
      <c r="G1646" s="26">
        <v>0.14599999999999999</v>
      </c>
      <c r="H1646" s="1" t="s">
        <v>774</v>
      </c>
      <c r="I1646" s="9">
        <v>100</v>
      </c>
      <c r="J1646" s="36">
        <v>0.06</v>
      </c>
    </row>
    <row r="1647" spans="2:10" s="44" customFormat="1" x14ac:dyDescent="0.35">
      <c r="B1647" s="9">
        <v>6503000693</v>
      </c>
      <c r="C1647" s="5" t="s">
        <v>2836</v>
      </c>
      <c r="D1647" s="5" t="s">
        <v>3565</v>
      </c>
      <c r="E1647" s="5" t="s">
        <v>2837</v>
      </c>
      <c r="F1647" s="34" t="s">
        <v>3574</v>
      </c>
      <c r="G1647" s="26">
        <v>0.10300000000000001</v>
      </c>
      <c r="H1647" s="1" t="s">
        <v>774</v>
      </c>
      <c r="I1647" s="9">
        <v>100</v>
      </c>
      <c r="J1647" s="36">
        <v>0.06</v>
      </c>
    </row>
    <row r="1648" spans="2:10" s="44" customFormat="1" x14ac:dyDescent="0.35">
      <c r="B1648" s="9">
        <v>6503000808</v>
      </c>
      <c r="C1648" s="5" t="s">
        <v>2873</v>
      </c>
      <c r="D1648" s="5" t="s">
        <v>3565</v>
      </c>
      <c r="E1648" s="5" t="s">
        <v>2874</v>
      </c>
      <c r="F1648" s="34" t="s">
        <v>3574</v>
      </c>
      <c r="G1648" s="26">
        <v>0.13100000000000001</v>
      </c>
      <c r="H1648" s="1" t="s">
        <v>774</v>
      </c>
      <c r="I1648" s="9">
        <v>100</v>
      </c>
      <c r="J1648" s="36">
        <v>0.06</v>
      </c>
    </row>
    <row r="1649" spans="2:10" s="44" customFormat="1" x14ac:dyDescent="0.35">
      <c r="B1649" s="9">
        <v>6503001001</v>
      </c>
      <c r="C1649" s="5" t="s">
        <v>1204</v>
      </c>
      <c r="D1649" s="5" t="s">
        <v>3565</v>
      </c>
      <c r="E1649" s="5" t="s">
        <v>1205</v>
      </c>
      <c r="F1649" s="34" t="s">
        <v>3574</v>
      </c>
      <c r="G1649" s="26">
        <v>8.199999999999999E-2</v>
      </c>
      <c r="H1649" s="1" t="s">
        <v>774</v>
      </c>
      <c r="I1649" s="9">
        <v>100</v>
      </c>
      <c r="J1649" s="36">
        <v>0.06</v>
      </c>
    </row>
    <row r="1650" spans="2:10" s="44" customFormat="1" x14ac:dyDescent="0.35">
      <c r="B1650" s="9">
        <v>6503001003</v>
      </c>
      <c r="C1650" s="5" t="s">
        <v>2853</v>
      </c>
      <c r="D1650" s="5" t="s">
        <v>3565</v>
      </c>
      <c r="E1650" s="5" t="s">
        <v>2854</v>
      </c>
      <c r="F1650" s="34" t="s">
        <v>3574</v>
      </c>
      <c r="G1650" s="26">
        <v>7.4999999999999997E-2</v>
      </c>
      <c r="H1650" s="1" t="s">
        <v>774</v>
      </c>
      <c r="I1650" s="9">
        <v>100</v>
      </c>
      <c r="J1650" s="36">
        <v>0.06</v>
      </c>
    </row>
    <row r="1651" spans="2:10" s="44" customFormat="1" x14ac:dyDescent="0.35">
      <c r="B1651" s="9">
        <v>6503001009</v>
      </c>
      <c r="C1651" s="5" t="s">
        <v>2891</v>
      </c>
      <c r="D1651" s="5" t="s">
        <v>3565</v>
      </c>
      <c r="E1651" s="5" t="s">
        <v>2892</v>
      </c>
      <c r="F1651" s="34" t="s">
        <v>3574</v>
      </c>
      <c r="G1651" s="26">
        <v>0.18700000000000003</v>
      </c>
      <c r="H1651" s="1" t="s">
        <v>774</v>
      </c>
      <c r="I1651" s="9">
        <v>100</v>
      </c>
      <c r="J1651" s="36">
        <v>0.06</v>
      </c>
    </row>
    <row r="1652" spans="2:10" s="44" customFormat="1" x14ac:dyDescent="0.35">
      <c r="B1652" s="9">
        <v>6503001099</v>
      </c>
      <c r="C1652" s="5" t="s">
        <v>872</v>
      </c>
      <c r="D1652" s="5" t="s">
        <v>3565</v>
      </c>
      <c r="E1652" s="5" t="s">
        <v>873</v>
      </c>
      <c r="F1652" s="34" t="s">
        <v>3574</v>
      </c>
      <c r="G1652" s="26">
        <v>0.14899999999999999</v>
      </c>
      <c r="H1652" s="1" t="s">
        <v>774</v>
      </c>
      <c r="I1652" s="9">
        <v>100</v>
      </c>
      <c r="J1652" s="36">
        <v>0.06</v>
      </c>
    </row>
    <row r="1653" spans="2:10" s="44" customFormat="1" x14ac:dyDescent="0.35">
      <c r="B1653" s="9">
        <v>6503001209</v>
      </c>
      <c r="C1653" s="5" t="s">
        <v>1444</v>
      </c>
      <c r="D1653" s="5" t="s">
        <v>3565</v>
      </c>
      <c r="E1653" s="5" t="s">
        <v>1445</v>
      </c>
      <c r="F1653" s="34" t="s">
        <v>3574</v>
      </c>
      <c r="G1653" s="26">
        <v>0.13100000000000001</v>
      </c>
      <c r="H1653" s="1" t="s">
        <v>774</v>
      </c>
      <c r="I1653" s="9">
        <v>100</v>
      </c>
      <c r="J1653" s="36">
        <v>0.06</v>
      </c>
    </row>
    <row r="1654" spans="2:10" s="44" customFormat="1" x14ac:dyDescent="0.35">
      <c r="B1654" s="9">
        <v>6503001299</v>
      </c>
      <c r="C1654" s="5" t="s">
        <v>874</v>
      </c>
      <c r="D1654" s="5" t="s">
        <v>3565</v>
      </c>
      <c r="E1654" s="5" t="s">
        <v>875</v>
      </c>
      <c r="F1654" s="34" t="s">
        <v>3574</v>
      </c>
      <c r="G1654" s="26">
        <v>0.439</v>
      </c>
      <c r="H1654" s="1" t="s">
        <v>774</v>
      </c>
      <c r="I1654" s="9">
        <v>100</v>
      </c>
      <c r="J1654" s="36">
        <v>0.06</v>
      </c>
    </row>
    <row r="1655" spans="2:10" s="44" customFormat="1" x14ac:dyDescent="0.35">
      <c r="B1655" s="9">
        <v>6503001408</v>
      </c>
      <c r="C1655" s="5" t="s">
        <v>2875</v>
      </c>
      <c r="D1655" s="5" t="s">
        <v>3565</v>
      </c>
      <c r="E1655" s="5" t="s">
        <v>2876</v>
      </c>
      <c r="F1655" s="34" t="s">
        <v>3574</v>
      </c>
      <c r="G1655" s="26">
        <v>0.14599999999999999</v>
      </c>
      <c r="H1655" s="1" t="s">
        <v>774</v>
      </c>
      <c r="I1655" s="9">
        <v>100</v>
      </c>
      <c r="J1655" s="36">
        <v>0.06</v>
      </c>
    </row>
    <row r="1656" spans="2:10" s="44" customFormat="1" x14ac:dyDescent="0.35">
      <c r="B1656" s="9">
        <v>6503001603</v>
      </c>
      <c r="C1656" s="5" t="s">
        <v>2855</v>
      </c>
      <c r="D1656" s="5" t="s">
        <v>3565</v>
      </c>
      <c r="E1656" s="5" t="s">
        <v>2856</v>
      </c>
      <c r="F1656" s="34" t="s">
        <v>3574</v>
      </c>
      <c r="G1656" s="26">
        <v>0.41200000000000003</v>
      </c>
      <c r="H1656" s="1" t="s">
        <v>774</v>
      </c>
      <c r="I1656" s="9">
        <v>100</v>
      </c>
      <c r="J1656" s="36">
        <v>0.06</v>
      </c>
    </row>
    <row r="1657" spans="2:10" s="44" customFormat="1" x14ac:dyDescent="0.35">
      <c r="B1657" s="9">
        <v>6503001608</v>
      </c>
      <c r="C1657" s="5" t="s">
        <v>2865</v>
      </c>
      <c r="D1657" s="5" t="s">
        <v>3565</v>
      </c>
      <c r="E1657" s="5" t="s">
        <v>2866</v>
      </c>
      <c r="F1657" s="34" t="s">
        <v>3574</v>
      </c>
      <c r="G1657" s="26">
        <v>0.14599999999999999</v>
      </c>
      <c r="H1657" s="1" t="s">
        <v>774</v>
      </c>
      <c r="I1657" s="9">
        <v>100</v>
      </c>
      <c r="J1657" s="36">
        <v>0.06</v>
      </c>
    </row>
    <row r="1658" spans="2:10" s="44" customFormat="1" x14ac:dyDescent="0.35">
      <c r="B1658" s="9">
        <v>6503002008</v>
      </c>
      <c r="C1658" s="5" t="s">
        <v>2867</v>
      </c>
      <c r="D1658" s="5" t="s">
        <v>3565</v>
      </c>
      <c r="E1658" s="5" t="s">
        <v>2868</v>
      </c>
      <c r="F1658" s="34" t="s">
        <v>3574</v>
      </c>
      <c r="G1658" s="26">
        <v>0.21</v>
      </c>
      <c r="H1658" s="1" t="s">
        <v>774</v>
      </c>
      <c r="I1658" s="9">
        <v>100</v>
      </c>
      <c r="J1658" s="36">
        <v>0.06</v>
      </c>
    </row>
    <row r="1659" spans="2:10" s="44" customFormat="1" x14ac:dyDescent="0.35">
      <c r="B1659" s="9">
        <v>6503002504</v>
      </c>
      <c r="C1659" s="5" t="s">
        <v>1064</v>
      </c>
      <c r="D1659" s="5" t="s">
        <v>3565</v>
      </c>
      <c r="E1659" s="11" t="s">
        <v>3573</v>
      </c>
      <c r="F1659" s="34" t="s">
        <v>3574</v>
      </c>
      <c r="G1659" s="26">
        <v>0.30499999999999999</v>
      </c>
      <c r="H1659" s="1" t="s">
        <v>774</v>
      </c>
      <c r="I1659" s="9">
        <v>100</v>
      </c>
      <c r="J1659" s="36">
        <v>0.06</v>
      </c>
    </row>
    <row r="1660" spans="2:10" s="44" customFormat="1" x14ac:dyDescent="0.35">
      <c r="B1660" s="9">
        <v>6503002508</v>
      </c>
      <c r="C1660" s="5" t="s">
        <v>2877</v>
      </c>
      <c r="D1660" s="5" t="s">
        <v>3565</v>
      </c>
      <c r="E1660" s="5" t="s">
        <v>2878</v>
      </c>
      <c r="F1660" s="34" t="s">
        <v>3574</v>
      </c>
      <c r="G1660" s="26">
        <v>0.29400000000000004</v>
      </c>
      <c r="H1660" s="1" t="s">
        <v>774</v>
      </c>
      <c r="I1660" s="9">
        <v>100</v>
      </c>
      <c r="J1660" s="36">
        <v>0.06</v>
      </c>
    </row>
    <row r="1661" spans="2:10" s="44" customFormat="1" x14ac:dyDescent="0.35">
      <c r="B1661" s="9">
        <v>6503003001</v>
      </c>
      <c r="C1661" s="5" t="s">
        <v>1065</v>
      </c>
      <c r="D1661" s="5" t="s">
        <v>3565</v>
      </c>
      <c r="E1661" s="11" t="s">
        <v>3573</v>
      </c>
      <c r="F1661" s="34" t="s">
        <v>3574</v>
      </c>
      <c r="G1661" s="26">
        <v>0.16400000000000003</v>
      </c>
      <c r="H1661" s="1" t="s">
        <v>774</v>
      </c>
      <c r="I1661" s="9">
        <v>100</v>
      </c>
      <c r="J1661" s="36">
        <v>0.06</v>
      </c>
    </row>
    <row r="1662" spans="2:10" s="44" customFormat="1" x14ac:dyDescent="0.35">
      <c r="B1662" s="9">
        <v>6503004001</v>
      </c>
      <c r="C1662" s="5" t="s">
        <v>1668</v>
      </c>
      <c r="D1662" s="5" t="s">
        <v>3565</v>
      </c>
      <c r="E1662" s="11" t="s">
        <v>3573</v>
      </c>
      <c r="F1662" s="34" t="s">
        <v>3574</v>
      </c>
      <c r="G1662" s="26">
        <v>0.21</v>
      </c>
      <c r="H1662" s="1" t="s">
        <v>774</v>
      </c>
      <c r="I1662" s="9">
        <v>100</v>
      </c>
      <c r="J1662" s="36">
        <v>0.06</v>
      </c>
    </row>
    <row r="1663" spans="2:10" s="44" customFormat="1" x14ac:dyDescent="0.35">
      <c r="B1663" s="9">
        <v>6504000603</v>
      </c>
      <c r="C1663" s="5" t="s">
        <v>2885</v>
      </c>
      <c r="D1663" s="5" t="s">
        <v>3565</v>
      </c>
      <c r="E1663" s="5" t="s">
        <v>2886</v>
      </c>
      <c r="F1663" s="34" t="s">
        <v>3574</v>
      </c>
      <c r="G1663" s="26">
        <v>0.115</v>
      </c>
      <c r="H1663" s="1" t="s">
        <v>774</v>
      </c>
      <c r="I1663" s="9">
        <v>100</v>
      </c>
      <c r="J1663" s="36">
        <v>0.06</v>
      </c>
    </row>
    <row r="1664" spans="2:10" s="44" customFormat="1" x14ac:dyDescent="0.35">
      <c r="B1664" s="9">
        <v>6504000604</v>
      </c>
      <c r="C1664" s="5" t="s">
        <v>2164</v>
      </c>
      <c r="D1664" s="5" t="s">
        <v>3565</v>
      </c>
      <c r="E1664" s="11" t="s">
        <v>3573</v>
      </c>
      <c r="F1664" s="34" t="s">
        <v>3574</v>
      </c>
      <c r="G1664" s="26">
        <v>0.105</v>
      </c>
      <c r="H1664" s="1" t="s">
        <v>774</v>
      </c>
      <c r="I1664" s="9">
        <v>100</v>
      </c>
      <c r="J1664" s="36">
        <v>0.06</v>
      </c>
    </row>
    <row r="1665" spans="2:10" s="44" customFormat="1" x14ac:dyDescent="0.35">
      <c r="B1665" s="9">
        <v>6504001001</v>
      </c>
      <c r="C1665" s="5" t="s">
        <v>1206</v>
      </c>
      <c r="D1665" s="5" t="s">
        <v>3565</v>
      </c>
      <c r="E1665" s="5" t="s">
        <v>1207</v>
      </c>
      <c r="F1665" s="34" t="s">
        <v>3574</v>
      </c>
      <c r="G1665" s="26">
        <v>0.11599999999999999</v>
      </c>
      <c r="H1665" s="1" t="s">
        <v>774</v>
      </c>
      <c r="I1665" s="9">
        <v>100</v>
      </c>
      <c r="J1665" s="36">
        <v>0.06</v>
      </c>
    </row>
    <row r="1666" spans="2:10" s="44" customFormat="1" x14ac:dyDescent="0.35">
      <c r="B1666" s="9">
        <v>6504001003</v>
      </c>
      <c r="C1666" s="5" t="s">
        <v>2857</v>
      </c>
      <c r="D1666" s="5" t="s">
        <v>3565</v>
      </c>
      <c r="E1666" s="5" t="s">
        <v>2858</v>
      </c>
      <c r="F1666" s="34" t="s">
        <v>3574</v>
      </c>
      <c r="G1666" s="26">
        <v>0.13100000000000001</v>
      </c>
      <c r="H1666" s="1" t="s">
        <v>774</v>
      </c>
      <c r="I1666" s="9">
        <v>100</v>
      </c>
      <c r="J1666" s="36">
        <v>0.06</v>
      </c>
    </row>
    <row r="1667" spans="2:10" s="44" customFormat="1" x14ac:dyDescent="0.35">
      <c r="B1667" s="9">
        <v>6504001403</v>
      </c>
      <c r="C1667" s="5" t="s">
        <v>2151</v>
      </c>
      <c r="D1667" s="5" t="s">
        <v>3565</v>
      </c>
      <c r="E1667" s="5" t="s">
        <v>2152</v>
      </c>
      <c r="F1667" s="34" t="s">
        <v>3574</v>
      </c>
      <c r="G1667" s="26">
        <v>0.26300000000000001</v>
      </c>
      <c r="H1667" s="1" t="s">
        <v>774</v>
      </c>
      <c r="I1667" s="9">
        <v>100</v>
      </c>
      <c r="J1667" s="36">
        <v>0.06</v>
      </c>
    </row>
    <row r="1668" spans="2:10" s="44" customFormat="1" x14ac:dyDescent="0.35">
      <c r="B1668" s="9">
        <v>6504001409</v>
      </c>
      <c r="C1668" s="5" t="s">
        <v>1449</v>
      </c>
      <c r="D1668" s="5" t="s">
        <v>3565</v>
      </c>
      <c r="E1668" s="5" t="s">
        <v>1450</v>
      </c>
      <c r="F1668" s="34" t="s">
        <v>3574</v>
      </c>
      <c r="G1668" s="26">
        <v>0.22</v>
      </c>
      <c r="H1668" s="1" t="s">
        <v>774</v>
      </c>
      <c r="I1668" s="9">
        <v>100</v>
      </c>
      <c r="J1668" s="36">
        <v>0.06</v>
      </c>
    </row>
    <row r="1669" spans="2:10" s="44" customFormat="1" x14ac:dyDescent="0.35">
      <c r="B1669" s="9">
        <v>6504001603</v>
      </c>
      <c r="C1669" s="5" t="s">
        <v>2859</v>
      </c>
      <c r="D1669" s="5" t="s">
        <v>3565</v>
      </c>
      <c r="E1669" s="5" t="s">
        <v>2860</v>
      </c>
      <c r="F1669" s="34" t="s">
        <v>3574</v>
      </c>
      <c r="G1669" s="26">
        <v>0.495</v>
      </c>
      <c r="H1669" s="1" t="s">
        <v>774</v>
      </c>
      <c r="I1669" s="9">
        <v>100</v>
      </c>
      <c r="J1669" s="36">
        <v>0.06</v>
      </c>
    </row>
    <row r="1670" spans="2:10" s="44" customFormat="1" x14ac:dyDescent="0.35">
      <c r="B1670" s="9">
        <v>6504001699</v>
      </c>
      <c r="C1670" s="5" t="s">
        <v>2582</v>
      </c>
      <c r="D1670" s="5" t="s">
        <v>3565</v>
      </c>
      <c r="E1670" s="11" t="s">
        <v>3573</v>
      </c>
      <c r="F1670" s="34" t="s">
        <v>3574</v>
      </c>
      <c r="G1670" s="26">
        <v>0.25800000000000001</v>
      </c>
      <c r="H1670" s="1" t="s">
        <v>774</v>
      </c>
      <c r="I1670" s="9">
        <v>100</v>
      </c>
      <c r="J1670" s="36">
        <v>0.06</v>
      </c>
    </row>
    <row r="1671" spans="2:10" s="44" customFormat="1" x14ac:dyDescent="0.35">
      <c r="B1671" s="9">
        <v>6504003008</v>
      </c>
      <c r="C1671" s="5" t="s">
        <v>2559</v>
      </c>
      <c r="D1671" s="5" t="s">
        <v>3565</v>
      </c>
      <c r="E1671" s="5" t="s">
        <v>2560</v>
      </c>
      <c r="F1671" s="34" t="s">
        <v>3574</v>
      </c>
      <c r="G1671" s="26">
        <v>0.92700000000000005</v>
      </c>
      <c r="H1671" s="1" t="s">
        <v>774</v>
      </c>
      <c r="I1671" s="9">
        <v>100</v>
      </c>
      <c r="J1671" s="36">
        <v>0.06</v>
      </c>
    </row>
    <row r="1672" spans="2:10" s="44" customFormat="1" x14ac:dyDescent="0.35">
      <c r="B1672" s="9">
        <v>6504004501</v>
      </c>
      <c r="C1672" s="5" t="s">
        <v>1966</v>
      </c>
      <c r="D1672" s="5" t="s">
        <v>3565</v>
      </c>
      <c r="E1672" s="11" t="s">
        <v>3573</v>
      </c>
      <c r="F1672" s="34" t="s">
        <v>3574</v>
      </c>
      <c r="G1672" s="26">
        <v>0.441</v>
      </c>
      <c r="H1672" s="1" t="s">
        <v>774</v>
      </c>
      <c r="I1672" s="9">
        <v>100</v>
      </c>
      <c r="J1672" s="36">
        <v>0.06</v>
      </c>
    </row>
    <row r="1673" spans="2:10" s="44" customFormat="1" x14ac:dyDescent="0.35">
      <c r="B1673" s="9">
        <v>6505000804</v>
      </c>
      <c r="C1673" s="5" t="s">
        <v>2121</v>
      </c>
      <c r="D1673" s="5" t="s">
        <v>3565</v>
      </c>
      <c r="E1673" s="5" t="s">
        <v>2122</v>
      </c>
      <c r="F1673" s="34" t="s">
        <v>3574</v>
      </c>
      <c r="G1673" s="26">
        <v>0.39899999999999997</v>
      </c>
      <c r="H1673" s="1" t="s">
        <v>774</v>
      </c>
      <c r="I1673" s="9">
        <v>100</v>
      </c>
      <c r="J1673" s="36">
        <v>0.06</v>
      </c>
    </row>
    <row r="1674" spans="2:10" s="44" customFormat="1" x14ac:dyDescent="0.35">
      <c r="B1674" s="9">
        <v>6505000809</v>
      </c>
      <c r="C1674" s="5" t="s">
        <v>2889</v>
      </c>
      <c r="D1674" s="5" t="s">
        <v>3565</v>
      </c>
      <c r="E1674" s="5" t="s">
        <v>2890</v>
      </c>
      <c r="F1674" s="34" t="s">
        <v>3574</v>
      </c>
      <c r="G1674" s="26">
        <v>0.318</v>
      </c>
      <c r="H1674" s="1" t="s">
        <v>774</v>
      </c>
      <c r="I1674" s="9">
        <v>100</v>
      </c>
      <c r="J1674" s="36">
        <v>0.06</v>
      </c>
    </row>
    <row r="1675" spans="2:10" s="44" customFormat="1" x14ac:dyDescent="0.35">
      <c r="B1675" s="9">
        <v>6505001209</v>
      </c>
      <c r="C1675" s="5" t="s">
        <v>1453</v>
      </c>
      <c r="D1675" s="5" t="s">
        <v>3565</v>
      </c>
      <c r="E1675" s="5" t="s">
        <v>1454</v>
      </c>
      <c r="F1675" s="34" t="s">
        <v>3574</v>
      </c>
      <c r="G1675" s="26">
        <v>0.29399999999999998</v>
      </c>
      <c r="H1675" s="1" t="s">
        <v>774</v>
      </c>
      <c r="I1675" s="9">
        <v>100</v>
      </c>
      <c r="J1675" s="36">
        <v>0.06</v>
      </c>
    </row>
    <row r="1676" spans="2:10" s="44" customFormat="1" x14ac:dyDescent="0.35">
      <c r="B1676" s="9">
        <v>6505001508</v>
      </c>
      <c r="C1676" s="5" t="s">
        <v>1876</v>
      </c>
      <c r="D1676" s="5" t="s">
        <v>3565</v>
      </c>
      <c r="E1676" s="5" t="s">
        <v>1877</v>
      </c>
      <c r="F1676" s="34" t="s">
        <v>3574</v>
      </c>
      <c r="G1676" s="26">
        <v>1.89</v>
      </c>
      <c r="H1676" s="1" t="s">
        <v>774</v>
      </c>
      <c r="I1676" s="9">
        <v>1000</v>
      </c>
      <c r="J1676" s="36">
        <v>0.06</v>
      </c>
    </row>
    <row r="1677" spans="2:10" s="44" customFormat="1" x14ac:dyDescent="0.35">
      <c r="B1677" s="9">
        <v>6505001603</v>
      </c>
      <c r="C1677" s="5" t="s">
        <v>2861</v>
      </c>
      <c r="D1677" s="5" t="s">
        <v>3565</v>
      </c>
      <c r="E1677" s="5" t="s">
        <v>2862</v>
      </c>
      <c r="F1677" s="34" t="s">
        <v>3574</v>
      </c>
      <c r="G1677" s="26">
        <v>0.37200000000000005</v>
      </c>
      <c r="H1677" s="1" t="s">
        <v>774</v>
      </c>
      <c r="I1677" s="9">
        <v>100</v>
      </c>
      <c r="J1677" s="36">
        <v>0.06</v>
      </c>
    </row>
    <row r="1678" spans="2:10" s="44" customFormat="1" x14ac:dyDescent="0.35">
      <c r="B1678" s="9">
        <v>6505001803</v>
      </c>
      <c r="C1678" s="5" t="s">
        <v>1670</v>
      </c>
      <c r="D1678" s="5" t="s">
        <v>3565</v>
      </c>
      <c r="E1678" s="5" t="s">
        <v>1671</v>
      </c>
      <c r="F1678" s="34" t="s">
        <v>3574</v>
      </c>
      <c r="G1678" s="26">
        <v>0.39</v>
      </c>
      <c r="H1678" s="1" t="s">
        <v>774</v>
      </c>
      <c r="I1678" s="9">
        <v>100</v>
      </c>
      <c r="J1678" s="36">
        <v>0.06</v>
      </c>
    </row>
    <row r="1679" spans="2:10" s="44" customFormat="1" x14ac:dyDescent="0.35">
      <c r="B1679" s="9">
        <v>6505002208</v>
      </c>
      <c r="C1679" s="5" t="s">
        <v>1820</v>
      </c>
      <c r="D1679" s="5" t="s">
        <v>3565</v>
      </c>
      <c r="E1679" s="5" t="s">
        <v>2556</v>
      </c>
      <c r="F1679" s="34" t="s">
        <v>3574</v>
      </c>
      <c r="G1679" s="26">
        <v>0.51500000000000001</v>
      </c>
      <c r="H1679" s="1" t="s">
        <v>774</v>
      </c>
      <c r="I1679" s="9">
        <v>100</v>
      </c>
      <c r="J1679" s="36">
        <v>0.06</v>
      </c>
    </row>
    <row r="1680" spans="2:10" s="44" customFormat="1" x14ac:dyDescent="0.35">
      <c r="B1680" s="9">
        <v>6505003001</v>
      </c>
      <c r="C1680" s="5" t="s">
        <v>2863</v>
      </c>
      <c r="D1680" s="5" t="s">
        <v>3565</v>
      </c>
      <c r="E1680" s="5" t="s">
        <v>2864</v>
      </c>
      <c r="F1680" s="34" t="s">
        <v>3574</v>
      </c>
      <c r="G1680" s="26">
        <v>1.5759999999999998</v>
      </c>
      <c r="H1680" s="1" t="s">
        <v>774</v>
      </c>
      <c r="I1680" s="9">
        <v>100</v>
      </c>
      <c r="J1680" s="36">
        <v>0.06</v>
      </c>
    </row>
    <row r="1681" spans="2:10" s="44" customFormat="1" x14ac:dyDescent="0.35">
      <c r="B1681" s="9">
        <v>6505003008</v>
      </c>
      <c r="C1681" s="5" t="s">
        <v>2557</v>
      </c>
      <c r="D1681" s="5" t="s">
        <v>3565</v>
      </c>
      <c r="E1681" s="5" t="s">
        <v>2558</v>
      </c>
      <c r="F1681" s="34" t="s">
        <v>3574</v>
      </c>
      <c r="G1681" s="26">
        <v>0.92700000000000005</v>
      </c>
      <c r="H1681" s="1" t="s">
        <v>774</v>
      </c>
      <c r="I1681" s="9">
        <v>100</v>
      </c>
      <c r="J1681" s="36">
        <v>0.06</v>
      </c>
    </row>
    <row r="1682" spans="2:10" s="44" customFormat="1" x14ac:dyDescent="0.35">
      <c r="B1682" s="9">
        <v>6506001209</v>
      </c>
      <c r="C1682" s="5" t="s">
        <v>1458</v>
      </c>
      <c r="D1682" s="5" t="s">
        <v>3565</v>
      </c>
      <c r="E1682" s="5" t="s">
        <v>1443</v>
      </c>
      <c r="F1682" s="34" t="s">
        <v>3574</v>
      </c>
      <c r="G1682" s="26">
        <v>0.77899999999999991</v>
      </c>
      <c r="H1682" s="1" t="s">
        <v>774</v>
      </c>
      <c r="I1682" s="9">
        <v>100</v>
      </c>
      <c r="J1682" s="36">
        <v>0.06</v>
      </c>
    </row>
    <row r="1683" spans="2:10" s="44" customFormat="1" x14ac:dyDescent="0.35">
      <c r="B1683" s="9">
        <v>6506001403</v>
      </c>
      <c r="C1683" s="5" t="s">
        <v>2933</v>
      </c>
      <c r="D1683" s="5" t="s">
        <v>3565</v>
      </c>
      <c r="E1683" s="11" t="s">
        <v>3573</v>
      </c>
      <c r="F1683" s="34" t="s">
        <v>3574</v>
      </c>
      <c r="G1683" s="26">
        <v>0.47899999999999998</v>
      </c>
      <c r="H1683" s="1" t="s">
        <v>774</v>
      </c>
      <c r="I1683" s="9">
        <v>100</v>
      </c>
      <c r="J1683" s="36">
        <v>0.06</v>
      </c>
    </row>
    <row r="1684" spans="2:10" s="44" customFormat="1" x14ac:dyDescent="0.35">
      <c r="B1684" s="9">
        <v>6506001809</v>
      </c>
      <c r="C1684" s="5" t="s">
        <v>1795</v>
      </c>
      <c r="D1684" s="5" t="s">
        <v>3565</v>
      </c>
      <c r="E1684" s="5">
        <v>6176775</v>
      </c>
      <c r="F1684" s="34" t="s">
        <v>3574</v>
      </c>
      <c r="G1684" s="26">
        <v>3.45</v>
      </c>
      <c r="H1684" s="1" t="s">
        <v>774</v>
      </c>
      <c r="I1684" s="9">
        <v>100</v>
      </c>
      <c r="J1684" s="36">
        <v>0.06</v>
      </c>
    </row>
    <row r="1685" spans="2:10" s="44" customFormat="1" x14ac:dyDescent="0.35">
      <c r="B1685" s="9">
        <v>6506002509</v>
      </c>
      <c r="C1685" s="5" t="s">
        <v>1682</v>
      </c>
      <c r="D1685" s="5" t="s">
        <v>3565</v>
      </c>
      <c r="E1685" s="5" t="s">
        <v>1683</v>
      </c>
      <c r="F1685" s="34" t="s">
        <v>3574</v>
      </c>
      <c r="G1685" s="26">
        <v>0.95299999999999996</v>
      </c>
      <c r="H1685" s="1" t="s">
        <v>774</v>
      </c>
      <c r="I1685" s="9">
        <v>100</v>
      </c>
      <c r="J1685" s="36">
        <v>0.06</v>
      </c>
    </row>
    <row r="1686" spans="2:10" s="44" customFormat="1" x14ac:dyDescent="0.35">
      <c r="B1686" s="9">
        <v>6506003009</v>
      </c>
      <c r="C1686" s="5" t="s">
        <v>2165</v>
      </c>
      <c r="D1686" s="5" t="s">
        <v>3565</v>
      </c>
      <c r="E1686" s="11" t="s">
        <v>3573</v>
      </c>
      <c r="F1686" s="34" t="s">
        <v>3574</v>
      </c>
      <c r="G1686" s="26">
        <v>0.441</v>
      </c>
      <c r="H1686" s="1" t="s">
        <v>774</v>
      </c>
      <c r="I1686" s="9">
        <v>100</v>
      </c>
      <c r="J1686" s="36">
        <v>0.06</v>
      </c>
    </row>
    <row r="1687" spans="2:10" s="44" customFormat="1" x14ac:dyDescent="0.35">
      <c r="B1687" s="9">
        <v>6506003508</v>
      </c>
      <c r="C1687" s="5" t="s">
        <v>2384</v>
      </c>
      <c r="D1687" s="5" t="s">
        <v>3565</v>
      </c>
      <c r="E1687" s="5" t="s">
        <v>2385</v>
      </c>
      <c r="F1687" s="34" t="s">
        <v>3574</v>
      </c>
      <c r="G1687" s="26">
        <v>0.84</v>
      </c>
      <c r="H1687" s="1" t="s">
        <v>774</v>
      </c>
      <c r="I1687" s="9">
        <v>100</v>
      </c>
      <c r="J1687" s="36">
        <v>0.06</v>
      </c>
    </row>
    <row r="1688" spans="2:10" s="44" customFormat="1" x14ac:dyDescent="0.35">
      <c r="B1688" s="9">
        <v>6506004008</v>
      </c>
      <c r="C1688" s="5" t="s">
        <v>2566</v>
      </c>
      <c r="D1688" s="5" t="s">
        <v>3565</v>
      </c>
      <c r="E1688" s="11" t="s">
        <v>3573</v>
      </c>
      <c r="F1688" s="34" t="s">
        <v>3574</v>
      </c>
      <c r="G1688" s="26">
        <v>1.1950000000000001</v>
      </c>
      <c r="H1688" s="1" t="s">
        <v>774</v>
      </c>
      <c r="I1688" s="9">
        <v>100</v>
      </c>
      <c r="J1688" s="36">
        <v>0.06</v>
      </c>
    </row>
    <row r="1689" spans="2:10" s="44" customFormat="1" x14ac:dyDescent="0.35">
      <c r="B1689" s="9">
        <v>6506004508</v>
      </c>
      <c r="C1689" s="5" t="s">
        <v>2204</v>
      </c>
      <c r="D1689" s="5" t="s">
        <v>3565</v>
      </c>
      <c r="E1689" s="5" t="s">
        <v>2205</v>
      </c>
      <c r="F1689" s="34" t="s">
        <v>3574</v>
      </c>
      <c r="G1689" s="26">
        <v>1.754</v>
      </c>
      <c r="H1689" s="1" t="s">
        <v>774</v>
      </c>
      <c r="I1689" s="9">
        <v>100</v>
      </c>
      <c r="J1689" s="36">
        <v>0.06</v>
      </c>
    </row>
    <row r="1690" spans="2:10" s="44" customFormat="1" x14ac:dyDescent="0.35">
      <c r="B1690" s="9">
        <v>6506005008</v>
      </c>
      <c r="C1690" s="5" t="s">
        <v>1768</v>
      </c>
      <c r="D1690" s="5" t="s">
        <v>3565</v>
      </c>
      <c r="E1690" s="5" t="s">
        <v>745</v>
      </c>
      <c r="F1690" s="34" t="s">
        <v>3574</v>
      </c>
      <c r="G1690" s="26">
        <v>0.82699999999999985</v>
      </c>
      <c r="H1690" s="1" t="s">
        <v>774</v>
      </c>
      <c r="I1690" s="9">
        <v>100</v>
      </c>
      <c r="J1690" s="36">
        <v>0.06</v>
      </c>
    </row>
    <row r="1691" spans="2:10" s="44" customFormat="1" x14ac:dyDescent="0.35">
      <c r="B1691" s="9">
        <v>6508001603</v>
      </c>
      <c r="C1691" s="5" t="s">
        <v>2879</v>
      </c>
      <c r="D1691" s="5" t="s">
        <v>3565</v>
      </c>
      <c r="E1691" s="5" t="s">
        <v>2880</v>
      </c>
      <c r="F1691" s="34" t="s">
        <v>3574</v>
      </c>
      <c r="G1691" s="26">
        <v>0.82400000000000007</v>
      </c>
      <c r="H1691" s="1" t="s">
        <v>774</v>
      </c>
      <c r="I1691" s="9">
        <v>100</v>
      </c>
      <c r="J1691" s="36">
        <v>0.06</v>
      </c>
    </row>
    <row r="1692" spans="2:10" s="44" customFormat="1" x14ac:dyDescent="0.35">
      <c r="B1692" s="9">
        <v>6508001609</v>
      </c>
      <c r="C1692" s="5" t="s">
        <v>2159</v>
      </c>
      <c r="D1692" s="5" t="s">
        <v>3565</v>
      </c>
      <c r="E1692" s="11" t="s">
        <v>3573</v>
      </c>
      <c r="F1692" s="34" t="s">
        <v>3574</v>
      </c>
      <c r="G1692" s="26">
        <v>0.65099999999999991</v>
      </c>
      <c r="H1692" s="1" t="s">
        <v>774</v>
      </c>
      <c r="I1692" s="9">
        <v>100</v>
      </c>
      <c r="J1692" s="36">
        <v>0.06</v>
      </c>
    </row>
    <row r="1693" spans="2:10" s="44" customFormat="1" x14ac:dyDescent="0.35">
      <c r="B1693" s="9">
        <v>6508002503</v>
      </c>
      <c r="C1693" s="5" t="s">
        <v>2881</v>
      </c>
      <c r="D1693" s="5" t="s">
        <v>3565</v>
      </c>
      <c r="E1693" s="5" t="s">
        <v>2882</v>
      </c>
      <c r="F1693" s="34" t="s">
        <v>3574</v>
      </c>
      <c r="G1693" s="26">
        <v>0.83399999999999996</v>
      </c>
      <c r="H1693" s="1" t="s">
        <v>774</v>
      </c>
      <c r="I1693" s="9">
        <v>100</v>
      </c>
      <c r="J1693" s="36">
        <v>0.06</v>
      </c>
    </row>
    <row r="1694" spans="2:10" s="44" customFormat="1" x14ac:dyDescent="0.35">
      <c r="B1694" s="9">
        <v>6508004008</v>
      </c>
      <c r="C1694" s="5" t="s">
        <v>1963</v>
      </c>
      <c r="D1694" s="5" t="s">
        <v>3565</v>
      </c>
      <c r="E1694" s="5" t="s">
        <v>1964</v>
      </c>
      <c r="F1694" s="34" t="s">
        <v>3574</v>
      </c>
      <c r="G1694" s="26">
        <v>1.113</v>
      </c>
      <c r="H1694" s="1" t="s">
        <v>774</v>
      </c>
      <c r="I1694" s="9">
        <v>100</v>
      </c>
      <c r="J1694" s="36">
        <v>0.06</v>
      </c>
    </row>
    <row r="1695" spans="2:10" s="44" customFormat="1" x14ac:dyDescent="0.35">
      <c r="B1695" s="9">
        <v>6510001607</v>
      </c>
      <c r="C1695" s="5" t="s">
        <v>1174</v>
      </c>
      <c r="D1695" s="5" t="s">
        <v>3565</v>
      </c>
      <c r="E1695" s="5" t="s">
        <v>1175</v>
      </c>
      <c r="F1695" s="34" t="s">
        <v>3574</v>
      </c>
      <c r="G1695" s="26">
        <v>1.6909999999999998</v>
      </c>
      <c r="H1695" s="1" t="s">
        <v>774</v>
      </c>
      <c r="I1695" s="9">
        <v>100</v>
      </c>
      <c r="J1695" s="36">
        <v>0.06</v>
      </c>
    </row>
    <row r="1696" spans="2:10" s="44" customFormat="1" x14ac:dyDescent="0.35">
      <c r="B1696" s="9">
        <v>6510002003</v>
      </c>
      <c r="C1696" s="5" t="s">
        <v>2883</v>
      </c>
      <c r="D1696" s="5" t="s">
        <v>3565</v>
      </c>
      <c r="E1696" s="5" t="s">
        <v>2884</v>
      </c>
      <c r="F1696" s="34" t="s">
        <v>3574</v>
      </c>
      <c r="G1696" s="26">
        <v>1.5449999999999999</v>
      </c>
      <c r="H1696" s="1" t="s">
        <v>774</v>
      </c>
      <c r="I1696" s="9">
        <v>100</v>
      </c>
      <c r="J1696" s="36">
        <v>0.06</v>
      </c>
    </row>
    <row r="1697" spans="2:10" s="44" customFormat="1" x14ac:dyDescent="0.35">
      <c r="B1697" s="9">
        <v>6510002508</v>
      </c>
      <c r="C1697" s="5" t="s">
        <v>1121</v>
      </c>
      <c r="D1697" s="5" t="s">
        <v>3565</v>
      </c>
      <c r="E1697" s="5" t="s">
        <v>745</v>
      </c>
      <c r="F1697" s="34" t="s">
        <v>3574</v>
      </c>
      <c r="G1697" s="26">
        <v>2.7440000000000002</v>
      </c>
      <c r="H1697" s="1" t="s">
        <v>774</v>
      </c>
      <c r="I1697" s="9">
        <v>100</v>
      </c>
      <c r="J1697" s="36">
        <v>0.06</v>
      </c>
    </row>
    <row r="1698" spans="2:10" s="44" customFormat="1" x14ac:dyDescent="0.35">
      <c r="B1698" s="9">
        <v>6510005008</v>
      </c>
      <c r="C1698" s="5" t="s">
        <v>2928</v>
      </c>
      <c r="D1698" s="5" t="s">
        <v>3565</v>
      </c>
      <c r="E1698" s="11" t="s">
        <v>3573</v>
      </c>
      <c r="F1698" s="34" t="s">
        <v>3574</v>
      </c>
      <c r="G1698" s="26">
        <v>2.8839999999999999</v>
      </c>
      <c r="H1698" s="1" t="s">
        <v>774</v>
      </c>
      <c r="I1698" s="9">
        <v>100</v>
      </c>
      <c r="J1698" s="36">
        <v>0.06</v>
      </c>
    </row>
    <row r="1699" spans="2:10" s="44" customFormat="1" x14ac:dyDescent="0.35">
      <c r="B1699" s="9">
        <v>6510008008</v>
      </c>
      <c r="C1699" s="5" t="s">
        <v>1897</v>
      </c>
      <c r="D1699" s="5" t="s">
        <v>3565</v>
      </c>
      <c r="E1699" s="5" t="s">
        <v>1898</v>
      </c>
      <c r="F1699" s="34" t="s">
        <v>3574</v>
      </c>
      <c r="G1699" s="26">
        <v>5.5650000000000004</v>
      </c>
      <c r="H1699" s="1" t="s">
        <v>774</v>
      </c>
      <c r="I1699" s="9">
        <v>50</v>
      </c>
      <c r="J1699" s="36">
        <v>0.06</v>
      </c>
    </row>
    <row r="1700" spans="2:10" s="44" customFormat="1" x14ac:dyDescent="0.35">
      <c r="B1700" s="9">
        <v>6512002007</v>
      </c>
      <c r="C1700" s="5" t="s">
        <v>2378</v>
      </c>
      <c r="D1700" s="5" t="s">
        <v>3565</v>
      </c>
      <c r="E1700" s="5" t="s">
        <v>2379</v>
      </c>
      <c r="F1700" s="34" t="s">
        <v>3574</v>
      </c>
      <c r="G1700" s="26">
        <v>2.31</v>
      </c>
      <c r="H1700" s="1" t="s">
        <v>774</v>
      </c>
      <c r="I1700" s="9">
        <v>50</v>
      </c>
      <c r="J1700" s="36">
        <v>0.06</v>
      </c>
    </row>
    <row r="1701" spans="2:10" s="44" customFormat="1" x14ac:dyDescent="0.35">
      <c r="B1701" s="9">
        <v>6512002507</v>
      </c>
      <c r="C1701" s="5" t="s">
        <v>1176</v>
      </c>
      <c r="D1701" s="5" t="s">
        <v>3565</v>
      </c>
      <c r="E1701" s="5" t="s">
        <v>1175</v>
      </c>
      <c r="F1701" s="34" t="s">
        <v>3574</v>
      </c>
      <c r="G1701" s="26">
        <v>3.1430000000000002</v>
      </c>
      <c r="H1701" s="1" t="s">
        <v>774</v>
      </c>
      <c r="I1701" s="9">
        <v>100</v>
      </c>
      <c r="J1701" s="36">
        <v>0.06</v>
      </c>
    </row>
    <row r="1702" spans="2:10" s="44" customFormat="1" x14ac:dyDescent="0.35">
      <c r="B1702" s="9">
        <v>6512003007</v>
      </c>
      <c r="C1702" s="5" t="s">
        <v>1177</v>
      </c>
      <c r="D1702" s="5" t="s">
        <v>3565</v>
      </c>
      <c r="E1702" s="5" t="s">
        <v>1175</v>
      </c>
      <c r="F1702" s="34" t="s">
        <v>3574</v>
      </c>
      <c r="G1702" s="26">
        <v>3.2920000000000003</v>
      </c>
      <c r="H1702" s="1" t="s">
        <v>774</v>
      </c>
      <c r="I1702" s="9">
        <v>100</v>
      </c>
      <c r="J1702" s="36">
        <v>0.06</v>
      </c>
    </row>
    <row r="1703" spans="2:10" s="44" customFormat="1" x14ac:dyDescent="0.35">
      <c r="B1703" s="9">
        <v>6512003507</v>
      </c>
      <c r="C1703" s="5" t="s">
        <v>1178</v>
      </c>
      <c r="D1703" s="5" t="s">
        <v>3565</v>
      </c>
      <c r="E1703" s="5" t="s">
        <v>1175</v>
      </c>
      <c r="F1703" s="34" t="s">
        <v>3574</v>
      </c>
      <c r="G1703" s="26">
        <v>4.0810000000000004</v>
      </c>
      <c r="H1703" s="1" t="s">
        <v>774</v>
      </c>
      <c r="I1703" s="9">
        <v>50</v>
      </c>
      <c r="J1703" s="36">
        <v>0.06</v>
      </c>
    </row>
    <row r="1704" spans="2:10" s="44" customFormat="1" x14ac:dyDescent="0.35">
      <c r="B1704" s="9">
        <v>6512004007</v>
      </c>
      <c r="C1704" s="5" t="s">
        <v>1179</v>
      </c>
      <c r="D1704" s="5" t="s">
        <v>3565</v>
      </c>
      <c r="E1704" s="5" t="s">
        <v>1175</v>
      </c>
      <c r="F1704" s="34" t="s">
        <v>3574</v>
      </c>
      <c r="G1704" s="26">
        <v>3.8410000000000002</v>
      </c>
      <c r="H1704" s="1" t="s">
        <v>774</v>
      </c>
      <c r="I1704" s="9">
        <v>50</v>
      </c>
      <c r="J1704" s="36">
        <v>0.06</v>
      </c>
    </row>
    <row r="1705" spans="2:10" s="44" customFormat="1" x14ac:dyDescent="0.35">
      <c r="B1705" s="9">
        <v>6512004008</v>
      </c>
      <c r="C1705" s="5" t="s">
        <v>1548</v>
      </c>
      <c r="D1705" s="5" t="s">
        <v>3565</v>
      </c>
      <c r="E1705" s="5" t="s">
        <v>1549</v>
      </c>
      <c r="F1705" s="34" t="s">
        <v>3574</v>
      </c>
      <c r="G1705" s="26">
        <v>4.7880000000000003</v>
      </c>
      <c r="H1705" s="1" t="s">
        <v>774</v>
      </c>
      <c r="I1705" s="9">
        <v>50</v>
      </c>
      <c r="J1705" s="36">
        <v>0.06</v>
      </c>
    </row>
    <row r="1706" spans="2:10" s="44" customFormat="1" x14ac:dyDescent="0.35">
      <c r="B1706" s="9">
        <v>6512005007</v>
      </c>
      <c r="C1706" s="5" t="s">
        <v>1180</v>
      </c>
      <c r="D1706" s="5" t="s">
        <v>3565</v>
      </c>
      <c r="E1706" s="5">
        <v>1238272</v>
      </c>
      <c r="F1706" s="34" t="s">
        <v>3574</v>
      </c>
      <c r="G1706" s="26">
        <v>4.4749999999999996</v>
      </c>
      <c r="H1706" s="1" t="s">
        <v>774</v>
      </c>
      <c r="I1706" s="9">
        <v>100</v>
      </c>
      <c r="J1706" s="36">
        <v>0.06</v>
      </c>
    </row>
    <row r="1707" spans="2:10" s="44" customFormat="1" x14ac:dyDescent="0.35">
      <c r="B1707" s="9">
        <v>6706320001</v>
      </c>
      <c r="C1707" s="5" t="s">
        <v>2245</v>
      </c>
      <c r="D1707" s="5" t="s">
        <v>3565</v>
      </c>
      <c r="E1707" s="11" t="s">
        <v>3573</v>
      </c>
      <c r="F1707" s="34" t="s">
        <v>3574</v>
      </c>
      <c r="G1707" s="26">
        <v>0.52500000000000002</v>
      </c>
      <c r="H1707" s="1" t="s">
        <v>774</v>
      </c>
      <c r="I1707" s="9">
        <v>100</v>
      </c>
      <c r="J1707" s="36">
        <v>0.06</v>
      </c>
    </row>
    <row r="1708" spans="2:10" s="44" customFormat="1" x14ac:dyDescent="0.35">
      <c r="B1708" s="9">
        <v>6714200001</v>
      </c>
      <c r="C1708" s="5" t="s">
        <v>2352</v>
      </c>
      <c r="D1708" s="5" t="s">
        <v>3565</v>
      </c>
      <c r="E1708" s="5" t="s">
        <v>2353</v>
      </c>
      <c r="F1708" s="34" t="s">
        <v>3574</v>
      </c>
      <c r="G1708" s="26">
        <v>1.155</v>
      </c>
      <c r="H1708" s="1" t="s">
        <v>774</v>
      </c>
      <c r="I1708" s="9">
        <v>100</v>
      </c>
      <c r="J1708" s="36">
        <v>0.06</v>
      </c>
    </row>
    <row r="1709" spans="2:10" s="44" customFormat="1" x14ac:dyDescent="0.35">
      <c r="B1709" s="9">
        <v>6804401404</v>
      </c>
      <c r="C1709" s="5" t="s">
        <v>2563</v>
      </c>
      <c r="D1709" s="5" t="s">
        <v>3565</v>
      </c>
      <c r="E1709" s="5" t="s">
        <v>2564</v>
      </c>
      <c r="F1709" s="34" t="s">
        <v>3574</v>
      </c>
      <c r="G1709" s="26">
        <v>0.20600000000000002</v>
      </c>
      <c r="H1709" s="1" t="s">
        <v>774</v>
      </c>
      <c r="I1709" s="9">
        <v>100</v>
      </c>
      <c r="J1709" s="36">
        <v>0.06</v>
      </c>
    </row>
    <row r="1710" spans="2:10" s="44" customFormat="1" x14ac:dyDescent="0.35">
      <c r="B1710" s="9">
        <v>6804403804</v>
      </c>
      <c r="C1710" s="5" t="s">
        <v>3186</v>
      </c>
      <c r="D1710" s="5" t="s">
        <v>3565</v>
      </c>
      <c r="E1710" s="5" t="s">
        <v>3187</v>
      </c>
      <c r="F1710" s="34" t="s">
        <v>3574</v>
      </c>
      <c r="G1710" s="26">
        <v>0.12</v>
      </c>
      <c r="H1710" s="1" t="s">
        <v>774</v>
      </c>
      <c r="I1710" s="9">
        <v>500</v>
      </c>
      <c r="J1710" s="36">
        <v>0.06</v>
      </c>
    </row>
    <row r="1711" spans="2:10" s="44" customFormat="1" x14ac:dyDescent="0.35">
      <c r="B1711" s="9">
        <v>6806321008</v>
      </c>
      <c r="C1711" s="5" t="s">
        <v>2354</v>
      </c>
      <c r="D1711" s="5" t="s">
        <v>3565</v>
      </c>
      <c r="E1711" s="5" t="s">
        <v>2355</v>
      </c>
      <c r="F1711" s="34" t="s">
        <v>3574</v>
      </c>
      <c r="G1711" s="26">
        <v>0.94499999999999995</v>
      </c>
      <c r="H1711" s="1" t="s">
        <v>774</v>
      </c>
      <c r="I1711" s="9">
        <v>100</v>
      </c>
      <c r="J1711" s="36">
        <v>0.06</v>
      </c>
    </row>
    <row r="1712" spans="2:10" s="44" customFormat="1" x14ac:dyDescent="0.35">
      <c r="B1712" s="9">
        <v>6806321201</v>
      </c>
      <c r="C1712" s="5" t="s">
        <v>2354</v>
      </c>
      <c r="D1712" s="5" t="s">
        <v>3565</v>
      </c>
      <c r="E1712" s="5" t="s">
        <v>2356</v>
      </c>
      <c r="F1712" s="34" t="s">
        <v>3574</v>
      </c>
      <c r="G1712" s="26">
        <v>0.65099999999999991</v>
      </c>
      <c r="H1712" s="1" t="s">
        <v>774</v>
      </c>
      <c r="I1712" s="9">
        <v>100</v>
      </c>
      <c r="J1712" s="36">
        <v>0.06</v>
      </c>
    </row>
    <row r="1713" spans="2:10" s="44" customFormat="1" x14ac:dyDescent="0.35">
      <c r="B1713" s="9">
        <v>6806321408</v>
      </c>
      <c r="C1713" s="5" t="s">
        <v>1876</v>
      </c>
      <c r="D1713" s="5" t="s">
        <v>3565</v>
      </c>
      <c r="E1713" s="5" t="s">
        <v>1883</v>
      </c>
      <c r="F1713" s="34" t="s">
        <v>3574</v>
      </c>
      <c r="G1713" s="26">
        <v>0.42</v>
      </c>
      <c r="H1713" s="1" t="s">
        <v>774</v>
      </c>
      <c r="I1713" s="9">
        <v>1000</v>
      </c>
      <c r="J1713" s="36">
        <v>0.06</v>
      </c>
    </row>
    <row r="1714" spans="2:10" s="44" customFormat="1" x14ac:dyDescent="0.35">
      <c r="B1714" s="9">
        <v>6806323808</v>
      </c>
      <c r="C1714" s="5" t="s">
        <v>3188</v>
      </c>
      <c r="D1714" s="5" t="s">
        <v>3565</v>
      </c>
      <c r="E1714" s="5" t="s">
        <v>3189</v>
      </c>
      <c r="F1714" s="34" t="s">
        <v>3574</v>
      </c>
      <c r="G1714" s="26">
        <v>0.5</v>
      </c>
      <c r="H1714" s="1" t="s">
        <v>774</v>
      </c>
      <c r="I1714" s="9">
        <v>500</v>
      </c>
      <c r="J1714" s="36">
        <v>0.06</v>
      </c>
    </row>
    <row r="1715" spans="2:10" s="44" customFormat="1" x14ac:dyDescent="0.35">
      <c r="B1715" s="9">
        <v>6806323809</v>
      </c>
      <c r="C1715" s="5" t="s">
        <v>2634</v>
      </c>
      <c r="D1715" s="5" t="s">
        <v>3565</v>
      </c>
      <c r="E1715" s="5" t="s">
        <v>2635</v>
      </c>
      <c r="F1715" s="34" t="s">
        <v>3574</v>
      </c>
      <c r="G1715" s="26">
        <v>1.5449999999999999</v>
      </c>
      <c r="H1715" s="1" t="s">
        <v>774</v>
      </c>
      <c r="I1715" s="9">
        <v>100</v>
      </c>
      <c r="J1715" s="36">
        <v>0.06</v>
      </c>
    </row>
    <row r="1716" spans="2:10" s="44" customFormat="1" x14ac:dyDescent="0.35">
      <c r="B1716" s="9">
        <v>6808321008</v>
      </c>
      <c r="C1716" s="5" t="s">
        <v>3144</v>
      </c>
      <c r="D1716" s="5" t="s">
        <v>3565</v>
      </c>
      <c r="E1716" s="5" t="s">
        <v>3145</v>
      </c>
      <c r="F1716" s="34" t="s">
        <v>3574</v>
      </c>
      <c r="G1716" s="26">
        <v>0.76500000000000001</v>
      </c>
      <c r="H1716" s="1" t="s">
        <v>774</v>
      </c>
      <c r="I1716" s="9">
        <v>100</v>
      </c>
      <c r="J1716" s="36">
        <v>0.06</v>
      </c>
    </row>
    <row r="1717" spans="2:10" s="44" customFormat="1" x14ac:dyDescent="0.35">
      <c r="B1717" s="9">
        <v>6808321201</v>
      </c>
      <c r="C1717" s="5" t="s">
        <v>1757</v>
      </c>
      <c r="D1717" s="5" t="s">
        <v>3565</v>
      </c>
      <c r="E1717" s="5" t="s">
        <v>1758</v>
      </c>
      <c r="F1717" s="34" t="s">
        <v>3574</v>
      </c>
      <c r="G1717" s="26">
        <v>0.45</v>
      </c>
      <c r="H1717" s="1" t="s">
        <v>774</v>
      </c>
      <c r="I1717" s="9">
        <v>100</v>
      </c>
      <c r="J1717" s="36">
        <v>0.06</v>
      </c>
    </row>
    <row r="1718" spans="2:10" s="44" customFormat="1" x14ac:dyDescent="0.35">
      <c r="B1718" s="9">
        <v>6808323208</v>
      </c>
      <c r="C1718" s="5" t="s">
        <v>2363</v>
      </c>
      <c r="D1718" s="5" t="s">
        <v>3565</v>
      </c>
      <c r="E1718" s="5" t="s">
        <v>2364</v>
      </c>
      <c r="F1718" s="34" t="s">
        <v>3574</v>
      </c>
      <c r="G1718" s="26">
        <v>2.1</v>
      </c>
      <c r="H1718" s="1" t="s">
        <v>774</v>
      </c>
      <c r="I1718" s="9">
        <v>100</v>
      </c>
      <c r="J1718" s="36">
        <v>0.06</v>
      </c>
    </row>
    <row r="1719" spans="2:10" s="44" customFormat="1" x14ac:dyDescent="0.35">
      <c r="B1719" s="9">
        <v>6808323609</v>
      </c>
      <c r="C1719" s="5" t="s">
        <v>1752</v>
      </c>
      <c r="D1719" s="5" t="s">
        <v>3565</v>
      </c>
      <c r="E1719" s="5" t="s">
        <v>1753</v>
      </c>
      <c r="F1719" s="34" t="s">
        <v>3574</v>
      </c>
      <c r="G1719" s="26">
        <v>0.67</v>
      </c>
      <c r="H1719" s="1" t="s">
        <v>774</v>
      </c>
      <c r="I1719" s="9">
        <v>100</v>
      </c>
      <c r="J1719" s="36">
        <v>0.06</v>
      </c>
    </row>
    <row r="1720" spans="2:10" s="44" customFormat="1" x14ac:dyDescent="0.35">
      <c r="B1720" s="9">
        <v>6808323808</v>
      </c>
      <c r="C1720" s="5" t="s">
        <v>1750</v>
      </c>
      <c r="D1720" s="5" t="s">
        <v>3565</v>
      </c>
      <c r="E1720" s="5" t="s">
        <v>1751</v>
      </c>
      <c r="F1720" s="34" t="s">
        <v>3574</v>
      </c>
      <c r="G1720" s="26">
        <v>0.46899999999999997</v>
      </c>
      <c r="H1720" s="1" t="s">
        <v>774</v>
      </c>
      <c r="I1720" s="9">
        <v>100</v>
      </c>
      <c r="J1720" s="36">
        <v>0.06</v>
      </c>
    </row>
    <row r="1721" spans="2:10" s="44" customFormat="1" x14ac:dyDescent="0.35">
      <c r="B1721" s="9">
        <v>6808325808</v>
      </c>
      <c r="C1721" s="5" t="s">
        <v>3146</v>
      </c>
      <c r="D1721" s="5" t="s">
        <v>3565</v>
      </c>
      <c r="E1721" s="5" t="s">
        <v>3147</v>
      </c>
      <c r="F1721" s="34" t="s">
        <v>3574</v>
      </c>
      <c r="G1721" s="26">
        <v>0.65</v>
      </c>
      <c r="H1721" s="1" t="s">
        <v>774</v>
      </c>
      <c r="I1721" s="9">
        <v>100</v>
      </c>
      <c r="J1721" s="36">
        <v>0.06</v>
      </c>
    </row>
    <row r="1722" spans="2:10" s="44" customFormat="1" x14ac:dyDescent="0.35">
      <c r="B1722" s="9">
        <v>6810321208</v>
      </c>
      <c r="C1722" s="5" t="s">
        <v>2348</v>
      </c>
      <c r="D1722" s="5" t="s">
        <v>3565</v>
      </c>
      <c r="E1722" s="5" t="s">
        <v>2349</v>
      </c>
      <c r="F1722" s="34" t="s">
        <v>3574</v>
      </c>
      <c r="G1722" s="26">
        <v>1.575</v>
      </c>
      <c r="H1722" s="1" t="s">
        <v>774</v>
      </c>
      <c r="I1722" s="9">
        <v>100</v>
      </c>
      <c r="J1722" s="36">
        <v>0.06</v>
      </c>
    </row>
    <row r="1723" spans="2:10" s="44" customFormat="1" x14ac:dyDescent="0.35">
      <c r="B1723" s="9">
        <v>6810321404</v>
      </c>
      <c r="C1723" s="5" t="s">
        <v>3148</v>
      </c>
      <c r="D1723" s="5" t="s">
        <v>3565</v>
      </c>
      <c r="E1723" s="5" t="s">
        <v>3149</v>
      </c>
      <c r="F1723" s="34" t="s">
        <v>3574</v>
      </c>
      <c r="G1723" s="26">
        <v>0.62</v>
      </c>
      <c r="H1723" s="1" t="s">
        <v>774</v>
      </c>
      <c r="I1723" s="9">
        <v>100</v>
      </c>
      <c r="J1723" s="36">
        <v>0.06</v>
      </c>
    </row>
    <row r="1724" spans="2:10" s="44" customFormat="1" x14ac:dyDescent="0.35">
      <c r="B1724" s="9">
        <v>6810321408</v>
      </c>
      <c r="C1724" s="5" t="s">
        <v>2365</v>
      </c>
      <c r="D1724" s="5" t="s">
        <v>3565</v>
      </c>
      <c r="E1724" s="5" t="s">
        <v>2366</v>
      </c>
      <c r="F1724" s="34" t="s">
        <v>3574</v>
      </c>
      <c r="G1724" s="26">
        <v>1.4179999999999999</v>
      </c>
      <c r="H1724" s="1" t="s">
        <v>774</v>
      </c>
      <c r="I1724" s="9">
        <v>1000</v>
      </c>
      <c r="J1724" s="36">
        <v>0.06</v>
      </c>
    </row>
    <row r="1725" spans="2:10" s="44" customFormat="1" x14ac:dyDescent="0.35">
      <c r="B1725" s="9">
        <v>6810323804</v>
      </c>
      <c r="C1725" s="5" t="s">
        <v>2357</v>
      </c>
      <c r="D1725" s="5" t="s">
        <v>3565</v>
      </c>
      <c r="E1725" s="5" t="s">
        <v>2358</v>
      </c>
      <c r="F1725" s="34" t="s">
        <v>3574</v>
      </c>
      <c r="G1725" s="26">
        <v>1.4179999999999999</v>
      </c>
      <c r="H1725" s="1" t="s">
        <v>774</v>
      </c>
      <c r="I1725" s="9">
        <v>100</v>
      </c>
      <c r="J1725" s="36">
        <v>0.06</v>
      </c>
    </row>
    <row r="1726" spans="2:10" s="44" customFormat="1" x14ac:dyDescent="0.35">
      <c r="B1726" s="9">
        <v>6810325608</v>
      </c>
      <c r="C1726" s="5" t="s">
        <v>1813</v>
      </c>
      <c r="D1726" s="5" t="s">
        <v>3565</v>
      </c>
      <c r="E1726" s="5" t="s">
        <v>1814</v>
      </c>
      <c r="F1726" s="34" t="s">
        <v>3574</v>
      </c>
      <c r="G1726" s="26">
        <v>0.63</v>
      </c>
      <c r="H1726" s="1" t="s">
        <v>774</v>
      </c>
      <c r="I1726" s="9">
        <v>100</v>
      </c>
      <c r="J1726" s="36">
        <v>0.06</v>
      </c>
    </row>
    <row r="1727" spans="2:10" s="44" customFormat="1" x14ac:dyDescent="0.35">
      <c r="B1727" s="9">
        <v>6814201208</v>
      </c>
      <c r="C1727" s="5" t="s">
        <v>2354</v>
      </c>
      <c r="D1727" s="5" t="s">
        <v>3565</v>
      </c>
      <c r="E1727" s="5" t="s">
        <v>2359</v>
      </c>
      <c r="F1727" s="34" t="s">
        <v>3574</v>
      </c>
      <c r="G1727" s="26">
        <v>1.05</v>
      </c>
      <c r="H1727" s="1" t="s">
        <v>774</v>
      </c>
      <c r="I1727" s="9">
        <v>500</v>
      </c>
      <c r="J1727" s="36">
        <v>0.06</v>
      </c>
    </row>
    <row r="1728" spans="2:10" s="44" customFormat="1" x14ac:dyDescent="0.35">
      <c r="B1728" s="9">
        <v>6814203804</v>
      </c>
      <c r="C1728" s="5" t="s">
        <v>1796</v>
      </c>
      <c r="D1728" s="5" t="s">
        <v>3565</v>
      </c>
      <c r="E1728" s="5">
        <v>6176776</v>
      </c>
      <c r="F1728" s="34" t="s">
        <v>3574</v>
      </c>
      <c r="G1728" s="26">
        <v>1.3319999999999999</v>
      </c>
      <c r="H1728" s="1" t="s">
        <v>774</v>
      </c>
      <c r="I1728" s="9">
        <v>100</v>
      </c>
      <c r="J1728" s="36">
        <v>0.06</v>
      </c>
    </row>
    <row r="1729" spans="2:10" s="44" customFormat="1" x14ac:dyDescent="0.35">
      <c r="B1729" s="9">
        <v>8000000644</v>
      </c>
      <c r="C1729" s="5" t="s">
        <v>2831</v>
      </c>
      <c r="D1729" s="5" t="s">
        <v>3565</v>
      </c>
      <c r="E1729" s="5" t="s">
        <v>129</v>
      </c>
      <c r="F1729" s="34" t="s">
        <v>3574</v>
      </c>
      <c r="G1729" s="26">
        <v>1.7</v>
      </c>
      <c r="H1729" s="1" t="s">
        <v>774</v>
      </c>
      <c r="I1729" s="9">
        <v>1000</v>
      </c>
      <c r="J1729" s="36">
        <v>0.06</v>
      </c>
    </row>
    <row r="1730" spans="2:10" s="44" customFormat="1" x14ac:dyDescent="0.35">
      <c r="B1730" s="9">
        <v>8000008251</v>
      </c>
      <c r="C1730" s="5" t="s">
        <v>2918</v>
      </c>
      <c r="D1730" s="5" t="s">
        <v>3565</v>
      </c>
      <c r="E1730" s="5" t="s">
        <v>720</v>
      </c>
      <c r="F1730" s="34" t="s">
        <v>3574</v>
      </c>
      <c r="G1730" s="26">
        <v>0.433</v>
      </c>
      <c r="H1730" s="1" t="s">
        <v>774</v>
      </c>
      <c r="I1730" s="9">
        <v>200</v>
      </c>
      <c r="J1730" s="36">
        <v>0.06</v>
      </c>
    </row>
    <row r="1731" spans="2:10" s="44" customFormat="1" x14ac:dyDescent="0.35">
      <c r="B1731" s="9" t="s">
        <v>803</v>
      </c>
      <c r="C1731" s="5" t="s">
        <v>804</v>
      </c>
      <c r="D1731" s="5" t="s">
        <v>3564</v>
      </c>
      <c r="E1731" s="5">
        <v>10144587</v>
      </c>
      <c r="F1731" s="34" t="s">
        <v>3552</v>
      </c>
      <c r="G1731" s="26">
        <v>93.45</v>
      </c>
      <c r="H1731" s="1" t="s">
        <v>774</v>
      </c>
      <c r="I1731" s="9">
        <v>1</v>
      </c>
      <c r="J1731" s="36">
        <v>0.1</v>
      </c>
    </row>
    <row r="1732" spans="2:10" s="44" customFormat="1" x14ac:dyDescent="0.35">
      <c r="B1732" s="5" t="s">
        <v>824</v>
      </c>
      <c r="C1732" s="5" t="s">
        <v>825</v>
      </c>
      <c r="D1732" s="5" t="s">
        <v>3564</v>
      </c>
      <c r="E1732" s="5" t="s">
        <v>824</v>
      </c>
      <c r="F1732" s="34" t="s">
        <v>3552</v>
      </c>
      <c r="G1732" s="26">
        <v>9.65</v>
      </c>
      <c r="H1732" s="1" t="s">
        <v>774</v>
      </c>
      <c r="I1732" s="9">
        <v>1</v>
      </c>
      <c r="J1732" s="36">
        <v>0.1</v>
      </c>
    </row>
    <row r="1733" spans="2:10" s="44" customFormat="1" x14ac:dyDescent="0.35">
      <c r="B1733" s="9" t="s">
        <v>829</v>
      </c>
      <c r="C1733" s="5" t="s">
        <v>830</v>
      </c>
      <c r="D1733" s="5" t="s">
        <v>3564</v>
      </c>
      <c r="E1733" s="5" t="s">
        <v>823</v>
      </c>
      <c r="F1733" s="34" t="s">
        <v>3552</v>
      </c>
      <c r="G1733" s="26">
        <v>1416.1</v>
      </c>
      <c r="H1733" s="1" t="s">
        <v>774</v>
      </c>
      <c r="I1733" s="9">
        <v>1</v>
      </c>
      <c r="J1733" s="36">
        <v>0.1</v>
      </c>
    </row>
    <row r="1734" spans="2:10" s="44" customFormat="1" x14ac:dyDescent="0.35">
      <c r="B1734" s="9">
        <v>1121010</v>
      </c>
      <c r="C1734" s="5" t="s">
        <v>1522</v>
      </c>
      <c r="D1734" s="5" t="s">
        <v>3565</v>
      </c>
      <c r="E1734" s="5" t="s">
        <v>1523</v>
      </c>
      <c r="F1734" s="34" t="s">
        <v>3574</v>
      </c>
      <c r="G1734" s="26">
        <v>0.10800000000000001</v>
      </c>
      <c r="H1734" s="1" t="s">
        <v>774</v>
      </c>
      <c r="I1734" s="9">
        <v>200</v>
      </c>
      <c r="J1734" s="36">
        <v>0.06</v>
      </c>
    </row>
    <row r="1735" spans="2:10" s="44" customFormat="1" x14ac:dyDescent="0.35">
      <c r="B1735" s="9" t="s">
        <v>3578</v>
      </c>
      <c r="C1735" s="5" t="s">
        <v>1522</v>
      </c>
      <c r="D1735" s="5" t="s">
        <v>3565</v>
      </c>
      <c r="E1735" s="5" t="s">
        <v>1523</v>
      </c>
      <c r="F1735" s="34" t="s">
        <v>3574</v>
      </c>
      <c r="G1735" s="26">
        <v>0.10800000000000001</v>
      </c>
      <c r="H1735" s="1" t="s">
        <v>774</v>
      </c>
      <c r="I1735" s="9">
        <v>200</v>
      </c>
      <c r="J1735" s="36">
        <v>0.06</v>
      </c>
    </row>
    <row r="1736" spans="2:10" s="44" customFormat="1" x14ac:dyDescent="0.35">
      <c r="B1736" s="9">
        <v>1121176</v>
      </c>
      <c r="C1736" s="5" t="s">
        <v>1575</v>
      </c>
      <c r="D1736" s="5" t="s">
        <v>3565</v>
      </c>
      <c r="E1736" s="5" t="s">
        <v>1576</v>
      </c>
      <c r="F1736" s="34" t="s">
        <v>3574</v>
      </c>
      <c r="G1736" s="26">
        <v>0.44300000000000006</v>
      </c>
      <c r="H1736" s="1" t="s">
        <v>774</v>
      </c>
      <c r="I1736" s="9">
        <v>100</v>
      </c>
      <c r="J1736" s="36">
        <v>0.06</v>
      </c>
    </row>
    <row r="1737" spans="2:10" s="44" customFormat="1" x14ac:dyDescent="0.35">
      <c r="B1737" s="9">
        <v>1121018</v>
      </c>
      <c r="C1737" s="5" t="s">
        <v>1575</v>
      </c>
      <c r="D1737" s="5" t="s">
        <v>3565</v>
      </c>
      <c r="E1737" s="5" t="s">
        <v>1576</v>
      </c>
      <c r="F1737" s="34" t="s">
        <v>3574</v>
      </c>
      <c r="G1737" s="26">
        <v>0.44300000000000006</v>
      </c>
      <c r="H1737" s="1" t="s">
        <v>774</v>
      </c>
      <c r="I1737" s="9">
        <v>100</v>
      </c>
      <c r="J1737" s="36">
        <v>0.06</v>
      </c>
    </row>
    <row r="1738" spans="2:10" s="44" customFormat="1" x14ac:dyDescent="0.35">
      <c r="B1738" s="9">
        <v>1130174</v>
      </c>
      <c r="C1738" s="5" t="s">
        <v>1510</v>
      </c>
      <c r="D1738" s="5" t="s">
        <v>3565</v>
      </c>
      <c r="E1738" s="5" t="s">
        <v>1511</v>
      </c>
      <c r="F1738" s="34" t="s">
        <v>3574</v>
      </c>
      <c r="G1738" s="26">
        <v>0.45</v>
      </c>
      <c r="H1738" s="1" t="s">
        <v>774</v>
      </c>
      <c r="I1738" s="9">
        <v>100</v>
      </c>
      <c r="J1738" s="36">
        <v>0.06</v>
      </c>
    </row>
    <row r="1739" spans="2:10" s="44" customFormat="1" x14ac:dyDescent="0.35">
      <c r="B1739" s="9">
        <v>1492021</v>
      </c>
      <c r="C1739" s="5" t="s">
        <v>1510</v>
      </c>
      <c r="D1739" s="5" t="s">
        <v>3565</v>
      </c>
      <c r="E1739" s="5" t="s">
        <v>1511</v>
      </c>
      <c r="F1739" s="34" t="s">
        <v>3574</v>
      </c>
      <c r="G1739" s="26">
        <v>0.45</v>
      </c>
      <c r="H1739" s="1" t="s">
        <v>774</v>
      </c>
      <c r="I1739" s="9">
        <v>100</v>
      </c>
      <c r="J1739" s="36">
        <v>0.06</v>
      </c>
    </row>
    <row r="1740" spans="2:10" s="44" customFormat="1" x14ac:dyDescent="0.35">
      <c r="B1740" s="9">
        <v>1145419</v>
      </c>
      <c r="C1740" s="5" t="s">
        <v>958</v>
      </c>
      <c r="D1740" s="5" t="s">
        <v>3565</v>
      </c>
      <c r="E1740" s="5" t="s">
        <v>959</v>
      </c>
      <c r="F1740" s="34" t="s">
        <v>3574</v>
      </c>
      <c r="G1740" s="26">
        <v>0.16200000000000003</v>
      </c>
      <c r="H1740" s="1" t="s">
        <v>774</v>
      </c>
      <c r="I1740" s="9">
        <v>100</v>
      </c>
      <c r="J1740" s="36">
        <v>0.06</v>
      </c>
    </row>
    <row r="1741" spans="2:10" s="44" customFormat="1" x14ac:dyDescent="0.35">
      <c r="B1741" s="9">
        <v>1146243</v>
      </c>
      <c r="C1741" s="5" t="s">
        <v>958</v>
      </c>
      <c r="D1741" s="5" t="s">
        <v>3565</v>
      </c>
      <c r="E1741" s="5" t="s">
        <v>959</v>
      </c>
      <c r="F1741" s="34" t="s">
        <v>3574</v>
      </c>
      <c r="G1741" s="26">
        <v>0.16200000000000003</v>
      </c>
      <c r="H1741" s="1" t="s">
        <v>774</v>
      </c>
      <c r="I1741" s="9">
        <v>100</v>
      </c>
      <c r="J1741" s="36">
        <v>0.06</v>
      </c>
    </row>
    <row r="1742" spans="2:10" s="44" customFormat="1" x14ac:dyDescent="0.35">
      <c r="B1742" s="9">
        <v>1145420</v>
      </c>
      <c r="C1742" s="5" t="s">
        <v>2199</v>
      </c>
      <c r="D1742" s="5" t="s">
        <v>3565</v>
      </c>
      <c r="E1742" s="5" t="s">
        <v>2200</v>
      </c>
      <c r="F1742" s="34" t="s">
        <v>3574</v>
      </c>
      <c r="G1742" s="26">
        <v>0.52500000000000002</v>
      </c>
      <c r="H1742" s="1" t="s">
        <v>774</v>
      </c>
      <c r="I1742" s="9">
        <v>100</v>
      </c>
      <c r="J1742" s="36">
        <v>0.06</v>
      </c>
    </row>
    <row r="1743" spans="2:10" s="44" customFormat="1" x14ac:dyDescent="0.35">
      <c r="B1743" s="9">
        <v>1146295</v>
      </c>
      <c r="C1743" s="5" t="s">
        <v>2199</v>
      </c>
      <c r="D1743" s="5" t="s">
        <v>3565</v>
      </c>
      <c r="E1743" s="5" t="s">
        <v>2200</v>
      </c>
      <c r="F1743" s="34" t="s">
        <v>3574</v>
      </c>
      <c r="G1743" s="26">
        <v>0.52500000000000002</v>
      </c>
      <c r="H1743" s="1" t="s">
        <v>774</v>
      </c>
      <c r="I1743" s="9">
        <v>100</v>
      </c>
      <c r="J1743" s="36">
        <v>0.06</v>
      </c>
    </row>
    <row r="1744" spans="2:10" s="44" customFormat="1" x14ac:dyDescent="0.35">
      <c r="B1744" s="9">
        <v>1145623</v>
      </c>
      <c r="C1744" s="5" t="s">
        <v>2742</v>
      </c>
      <c r="D1744" s="5" t="s">
        <v>3565</v>
      </c>
      <c r="E1744" s="5" t="s">
        <v>2743</v>
      </c>
      <c r="F1744" s="34" t="s">
        <v>3574</v>
      </c>
      <c r="G1744" s="26">
        <v>0.46399999999999997</v>
      </c>
      <c r="H1744" s="1" t="s">
        <v>774</v>
      </c>
      <c r="I1744" s="9">
        <v>100</v>
      </c>
      <c r="J1744" s="36">
        <v>0.06</v>
      </c>
    </row>
    <row r="1745" spans="2:10" s="44" customFormat="1" x14ac:dyDescent="0.35">
      <c r="B1745" s="9">
        <v>6506001203</v>
      </c>
      <c r="C1745" s="5" t="s">
        <v>2742</v>
      </c>
      <c r="D1745" s="5" t="s">
        <v>3565</v>
      </c>
      <c r="E1745" s="5" t="s">
        <v>2743</v>
      </c>
      <c r="F1745" s="34" t="s">
        <v>3574</v>
      </c>
      <c r="G1745" s="26">
        <v>0.46399999999999997</v>
      </c>
      <c r="H1745" s="1" t="s">
        <v>774</v>
      </c>
      <c r="I1745" s="9">
        <v>100</v>
      </c>
      <c r="J1745" s="36">
        <v>0.06</v>
      </c>
    </row>
    <row r="1746" spans="2:10" s="44" customFormat="1" x14ac:dyDescent="0.35">
      <c r="B1746" s="9">
        <v>1146171</v>
      </c>
      <c r="C1746" s="5" t="s">
        <v>752</v>
      </c>
      <c r="D1746" s="5" t="s">
        <v>3565</v>
      </c>
      <c r="E1746" s="11" t="s">
        <v>3573</v>
      </c>
      <c r="F1746" s="34" t="s">
        <v>3574</v>
      </c>
      <c r="G1746" s="26">
        <v>0.124</v>
      </c>
      <c r="H1746" s="1" t="s">
        <v>774</v>
      </c>
      <c r="I1746" s="9">
        <v>100</v>
      </c>
      <c r="J1746" s="36">
        <v>0.06</v>
      </c>
    </row>
    <row r="1747" spans="2:10" s="44" customFormat="1" x14ac:dyDescent="0.35">
      <c r="B1747" s="9">
        <v>1147092</v>
      </c>
      <c r="C1747" s="5" t="s">
        <v>752</v>
      </c>
      <c r="D1747" s="5" t="s">
        <v>3565</v>
      </c>
      <c r="E1747" s="11" t="s">
        <v>3573</v>
      </c>
      <c r="F1747" s="34" t="s">
        <v>3574</v>
      </c>
      <c r="G1747" s="26">
        <v>0.124</v>
      </c>
      <c r="H1747" s="1" t="s">
        <v>774</v>
      </c>
      <c r="I1747" s="9">
        <v>100</v>
      </c>
      <c r="J1747" s="36">
        <v>0.06</v>
      </c>
    </row>
    <row r="1748" spans="2:10" s="44" customFormat="1" x14ac:dyDescent="0.35">
      <c r="B1748" s="9">
        <v>1146239</v>
      </c>
      <c r="C1748" s="5" t="s">
        <v>1100</v>
      </c>
      <c r="D1748" s="5" t="s">
        <v>3565</v>
      </c>
      <c r="E1748" s="5" t="s">
        <v>1101</v>
      </c>
      <c r="F1748" s="34" t="s">
        <v>3574</v>
      </c>
      <c r="G1748" s="26">
        <v>0.221</v>
      </c>
      <c r="H1748" s="1" t="s">
        <v>774</v>
      </c>
      <c r="I1748" s="9">
        <v>100</v>
      </c>
      <c r="J1748" s="36">
        <v>0.06</v>
      </c>
    </row>
    <row r="1749" spans="2:10" s="44" customFormat="1" x14ac:dyDescent="0.35">
      <c r="B1749" s="9">
        <v>6503001008</v>
      </c>
      <c r="C1749" s="5" t="s">
        <v>1100</v>
      </c>
      <c r="D1749" s="5" t="s">
        <v>3565</v>
      </c>
      <c r="E1749" s="5" t="s">
        <v>1101</v>
      </c>
      <c r="F1749" s="34" t="s">
        <v>3574</v>
      </c>
      <c r="G1749" s="26">
        <v>0.221</v>
      </c>
      <c r="H1749" s="1" t="s">
        <v>774</v>
      </c>
      <c r="I1749" s="9">
        <v>100</v>
      </c>
      <c r="J1749" s="36">
        <v>0.06</v>
      </c>
    </row>
    <row r="1750" spans="2:10" s="44" customFormat="1" x14ac:dyDescent="0.35">
      <c r="B1750" s="9">
        <v>1146241</v>
      </c>
      <c r="C1750" s="5" t="s">
        <v>2388</v>
      </c>
      <c r="D1750" s="5" t="s">
        <v>3565</v>
      </c>
      <c r="E1750" s="5" t="s">
        <v>2389</v>
      </c>
      <c r="F1750" s="34" t="s">
        <v>3574</v>
      </c>
      <c r="G1750" s="26">
        <v>0.158</v>
      </c>
      <c r="H1750" s="1" t="s">
        <v>774</v>
      </c>
      <c r="I1750" s="9">
        <v>100</v>
      </c>
      <c r="J1750" s="36">
        <v>0.06</v>
      </c>
    </row>
    <row r="1751" spans="2:10" s="44" customFormat="1" x14ac:dyDescent="0.35">
      <c r="B1751" s="9">
        <v>1130474</v>
      </c>
      <c r="C1751" s="5" t="s">
        <v>2388</v>
      </c>
      <c r="D1751" s="5" t="s">
        <v>3565</v>
      </c>
      <c r="E1751" s="5" t="s">
        <v>2389</v>
      </c>
      <c r="F1751" s="34" t="s">
        <v>3574</v>
      </c>
      <c r="G1751" s="26">
        <v>0.158</v>
      </c>
      <c r="H1751" s="1" t="s">
        <v>774</v>
      </c>
      <c r="I1751" s="9">
        <v>100</v>
      </c>
      <c r="J1751" s="36">
        <v>0.06</v>
      </c>
    </row>
    <row r="1752" spans="2:10" s="44" customFormat="1" x14ac:dyDescent="0.35">
      <c r="B1752" s="9">
        <v>1146280</v>
      </c>
      <c r="C1752" s="5" t="s">
        <v>1096</v>
      </c>
      <c r="D1752" s="5" t="s">
        <v>3565</v>
      </c>
      <c r="E1752" s="5" t="s">
        <v>1097</v>
      </c>
      <c r="F1752" s="34" t="s">
        <v>3574</v>
      </c>
      <c r="G1752" s="26">
        <v>5.8999999999999997E-2</v>
      </c>
      <c r="H1752" s="1" t="s">
        <v>774</v>
      </c>
      <c r="I1752" s="9">
        <v>100</v>
      </c>
      <c r="J1752" s="36">
        <v>0.06</v>
      </c>
    </row>
    <row r="1753" spans="2:10" s="44" customFormat="1" x14ac:dyDescent="0.35">
      <c r="B1753" s="9">
        <v>1145411</v>
      </c>
      <c r="C1753" s="5" t="s">
        <v>1096</v>
      </c>
      <c r="D1753" s="5" t="s">
        <v>3565</v>
      </c>
      <c r="E1753" s="5" t="s">
        <v>1097</v>
      </c>
      <c r="F1753" s="34" t="s">
        <v>3574</v>
      </c>
      <c r="G1753" s="26">
        <v>5.8999999999999997E-2</v>
      </c>
      <c r="H1753" s="1" t="s">
        <v>774</v>
      </c>
      <c r="I1753" s="9">
        <v>100</v>
      </c>
      <c r="J1753" s="36">
        <v>0.06</v>
      </c>
    </row>
    <row r="1754" spans="2:10" s="44" customFormat="1" x14ac:dyDescent="0.35">
      <c r="B1754" s="9">
        <v>1146286</v>
      </c>
      <c r="C1754" s="5" t="s">
        <v>1102</v>
      </c>
      <c r="D1754" s="5" t="s">
        <v>3565</v>
      </c>
      <c r="E1754" s="5" t="s">
        <v>745</v>
      </c>
      <c r="F1754" s="34" t="s">
        <v>3574</v>
      </c>
      <c r="G1754" s="26">
        <v>0.64399999999999991</v>
      </c>
      <c r="H1754" s="1" t="s">
        <v>774</v>
      </c>
      <c r="I1754" s="9">
        <v>100</v>
      </c>
      <c r="J1754" s="36">
        <v>0.06</v>
      </c>
    </row>
    <row r="1755" spans="2:10" s="44" customFormat="1" x14ac:dyDescent="0.35">
      <c r="B1755" s="9">
        <v>6503001208</v>
      </c>
      <c r="C1755" s="5" t="s">
        <v>1102</v>
      </c>
      <c r="D1755" s="5" t="s">
        <v>3565</v>
      </c>
      <c r="E1755" s="5" t="s">
        <v>745</v>
      </c>
      <c r="F1755" s="34" t="s">
        <v>3574</v>
      </c>
      <c r="G1755" s="26">
        <v>0.64399999999999991</v>
      </c>
      <c r="H1755" s="1" t="s">
        <v>774</v>
      </c>
      <c r="I1755" s="9">
        <v>100</v>
      </c>
      <c r="J1755" s="36">
        <v>0.06</v>
      </c>
    </row>
    <row r="1756" spans="2:10" s="44" customFormat="1" x14ac:dyDescent="0.35">
      <c r="B1756" s="9">
        <v>1146542</v>
      </c>
      <c r="C1756" s="5" t="s">
        <v>2431</v>
      </c>
      <c r="D1756" s="5" t="s">
        <v>3565</v>
      </c>
      <c r="E1756" s="5" t="s">
        <v>2432</v>
      </c>
      <c r="F1756" s="34" t="s">
        <v>3574</v>
      </c>
      <c r="G1756" s="26">
        <v>8.4000000000000005E-2</v>
      </c>
      <c r="H1756" s="1" t="s">
        <v>774</v>
      </c>
      <c r="I1756" s="9">
        <v>100</v>
      </c>
      <c r="J1756" s="36">
        <v>0.06</v>
      </c>
    </row>
    <row r="1757" spans="2:10" s="44" customFormat="1" x14ac:dyDescent="0.35">
      <c r="B1757" s="9">
        <v>1146633</v>
      </c>
      <c r="C1757" s="5" t="s">
        <v>2431</v>
      </c>
      <c r="D1757" s="5" t="s">
        <v>3565</v>
      </c>
      <c r="E1757" s="5" t="s">
        <v>2432</v>
      </c>
      <c r="F1757" s="34" t="s">
        <v>3574</v>
      </c>
      <c r="G1757" s="26">
        <v>8.4000000000000005E-2</v>
      </c>
      <c r="H1757" s="1" t="s">
        <v>774</v>
      </c>
      <c r="I1757" s="9">
        <v>100</v>
      </c>
      <c r="J1757" s="36">
        <v>0.06</v>
      </c>
    </row>
    <row r="1758" spans="2:10" s="44" customFormat="1" x14ac:dyDescent="0.35">
      <c r="B1758" s="9">
        <v>1146575</v>
      </c>
      <c r="C1758" s="5" t="s">
        <v>2340</v>
      </c>
      <c r="D1758" s="5" t="s">
        <v>3565</v>
      </c>
      <c r="E1758" s="5" t="s">
        <v>2341</v>
      </c>
      <c r="F1758" s="34" t="s">
        <v>3574</v>
      </c>
      <c r="G1758" s="26">
        <v>0.73499999999999999</v>
      </c>
      <c r="H1758" s="1" t="s">
        <v>774</v>
      </c>
      <c r="I1758" s="9">
        <v>100</v>
      </c>
      <c r="J1758" s="36">
        <v>0.06</v>
      </c>
    </row>
    <row r="1759" spans="2:10" s="44" customFormat="1" x14ac:dyDescent="0.35">
      <c r="B1759" s="9">
        <v>1145570</v>
      </c>
      <c r="C1759" s="5" t="s">
        <v>2340</v>
      </c>
      <c r="D1759" s="5" t="s">
        <v>3565</v>
      </c>
      <c r="E1759" s="5" t="s">
        <v>2341</v>
      </c>
      <c r="F1759" s="34" t="s">
        <v>3574</v>
      </c>
      <c r="G1759" s="26">
        <v>0.73499999999999999</v>
      </c>
      <c r="H1759" s="1" t="s">
        <v>774</v>
      </c>
      <c r="I1759" s="9">
        <v>100</v>
      </c>
      <c r="J1759" s="36">
        <v>0.06</v>
      </c>
    </row>
    <row r="1760" spans="2:10" s="44" customFormat="1" x14ac:dyDescent="0.35">
      <c r="B1760" s="9">
        <v>1146764</v>
      </c>
      <c r="C1760" s="5" t="s">
        <v>1520</v>
      </c>
      <c r="D1760" s="5" t="s">
        <v>3565</v>
      </c>
      <c r="E1760" s="5" t="s">
        <v>1521</v>
      </c>
      <c r="F1760" s="34" t="s">
        <v>3574</v>
      </c>
      <c r="G1760" s="26">
        <v>0.2</v>
      </c>
      <c r="H1760" s="1" t="s">
        <v>774</v>
      </c>
      <c r="I1760" s="9">
        <v>100</v>
      </c>
      <c r="J1760" s="36">
        <v>0.06</v>
      </c>
    </row>
    <row r="1761" spans="2:10" s="44" customFormat="1" x14ac:dyDescent="0.35">
      <c r="B1761" s="9">
        <v>1586431</v>
      </c>
      <c r="C1761" s="5" t="s">
        <v>1520</v>
      </c>
      <c r="D1761" s="5" t="s">
        <v>3565</v>
      </c>
      <c r="E1761" s="5" t="s">
        <v>1521</v>
      </c>
      <c r="F1761" s="34" t="s">
        <v>3574</v>
      </c>
      <c r="G1761" s="26">
        <v>0.2</v>
      </c>
      <c r="H1761" s="1" t="s">
        <v>774</v>
      </c>
      <c r="I1761" s="9">
        <v>100</v>
      </c>
      <c r="J1761" s="36">
        <v>0.06</v>
      </c>
    </row>
    <row r="1762" spans="2:10" s="44" customFormat="1" x14ac:dyDescent="0.35">
      <c r="B1762" s="9">
        <v>1147086</v>
      </c>
      <c r="C1762" s="5" t="s">
        <v>2914</v>
      </c>
      <c r="D1762" s="5" t="s">
        <v>3565</v>
      </c>
      <c r="E1762" s="5" t="s">
        <v>2915</v>
      </c>
      <c r="F1762" s="34" t="s">
        <v>3574</v>
      </c>
      <c r="G1762" s="26">
        <v>9.799999999999999E-2</v>
      </c>
      <c r="H1762" s="1" t="s">
        <v>774</v>
      </c>
      <c r="I1762" s="9">
        <v>100</v>
      </c>
      <c r="J1762" s="36">
        <v>0.06</v>
      </c>
    </row>
    <row r="1763" spans="2:10" s="44" customFormat="1" x14ac:dyDescent="0.35">
      <c r="B1763" s="9">
        <v>1145554</v>
      </c>
      <c r="C1763" s="5" t="s">
        <v>2914</v>
      </c>
      <c r="D1763" s="5" t="s">
        <v>3565</v>
      </c>
      <c r="E1763" s="5" t="s">
        <v>2915</v>
      </c>
      <c r="F1763" s="34" t="s">
        <v>3574</v>
      </c>
      <c r="G1763" s="26">
        <v>9.799999999999999E-2</v>
      </c>
      <c r="H1763" s="1" t="s">
        <v>774</v>
      </c>
      <c r="I1763" s="9">
        <v>100</v>
      </c>
      <c r="J1763" s="36">
        <v>0.06</v>
      </c>
    </row>
    <row r="1764" spans="2:10" s="44" customFormat="1" x14ac:dyDescent="0.35">
      <c r="B1764" s="9">
        <v>6503000603</v>
      </c>
      <c r="C1764" s="5" t="s">
        <v>2914</v>
      </c>
      <c r="D1764" s="5" t="s">
        <v>3565</v>
      </c>
      <c r="E1764" s="5" t="s">
        <v>2915</v>
      </c>
      <c r="F1764" s="34" t="s">
        <v>3574</v>
      </c>
      <c r="G1764" s="26">
        <v>9.799999999999999E-2</v>
      </c>
      <c r="H1764" s="1" t="s">
        <v>774</v>
      </c>
      <c r="I1764" s="9">
        <v>100</v>
      </c>
      <c r="J1764" s="36">
        <v>0.06</v>
      </c>
    </row>
    <row r="1765" spans="2:10" s="44" customFormat="1" x14ac:dyDescent="0.35">
      <c r="B1765" s="9">
        <v>1155211</v>
      </c>
      <c r="C1765" s="5" t="s">
        <v>1408</v>
      </c>
      <c r="D1765" s="5" t="s">
        <v>3565</v>
      </c>
      <c r="E1765" s="5" t="s">
        <v>701</v>
      </c>
      <c r="F1765" s="34" t="s">
        <v>3574</v>
      </c>
      <c r="G1765" s="26">
        <v>0.435</v>
      </c>
      <c r="H1765" s="1" t="s">
        <v>774</v>
      </c>
      <c r="I1765" s="9">
        <v>100</v>
      </c>
      <c r="J1765" s="36">
        <v>0.06</v>
      </c>
    </row>
    <row r="1766" spans="2:10" s="44" customFormat="1" x14ac:dyDescent="0.35">
      <c r="B1766" s="9">
        <v>1152137</v>
      </c>
      <c r="C1766" s="5" t="s">
        <v>1408</v>
      </c>
      <c r="D1766" s="5" t="s">
        <v>3565</v>
      </c>
      <c r="E1766" s="5" t="s">
        <v>701</v>
      </c>
      <c r="F1766" s="34" t="s">
        <v>3574</v>
      </c>
      <c r="G1766" s="26">
        <v>0.435</v>
      </c>
      <c r="H1766" s="1" t="s">
        <v>774</v>
      </c>
      <c r="I1766" s="9">
        <v>100</v>
      </c>
      <c r="J1766" s="36">
        <v>0.06</v>
      </c>
    </row>
    <row r="1767" spans="2:10" s="44" customFormat="1" x14ac:dyDescent="0.35">
      <c r="B1767" s="9">
        <v>1502111</v>
      </c>
      <c r="C1767" s="5" t="s">
        <v>1185</v>
      </c>
      <c r="D1767" s="5" t="s">
        <v>3565</v>
      </c>
      <c r="E1767" s="5" t="s">
        <v>1186</v>
      </c>
      <c r="F1767" s="34" t="s">
        <v>3574</v>
      </c>
      <c r="G1767" s="26">
        <v>5.8999999999999997E-2</v>
      </c>
      <c r="H1767" s="1" t="s">
        <v>774</v>
      </c>
      <c r="I1767" s="9">
        <v>100</v>
      </c>
      <c r="J1767" s="36">
        <v>0.06</v>
      </c>
    </row>
    <row r="1768" spans="2:10" s="44" customFormat="1" x14ac:dyDescent="0.35">
      <c r="B1768" s="9">
        <v>1118052</v>
      </c>
      <c r="C1768" s="5" t="s">
        <v>1185</v>
      </c>
      <c r="D1768" s="5" t="s">
        <v>3565</v>
      </c>
      <c r="E1768" s="5" t="s">
        <v>1186</v>
      </c>
      <c r="F1768" s="34" t="s">
        <v>3574</v>
      </c>
      <c r="G1768" s="26">
        <v>5.8999999999999997E-2</v>
      </c>
      <c r="H1768" s="1" t="s">
        <v>774</v>
      </c>
      <c r="I1768" s="9">
        <v>100</v>
      </c>
      <c r="J1768" s="36">
        <v>0.06</v>
      </c>
    </row>
    <row r="1769" spans="2:10" s="44" customFormat="1" x14ac:dyDescent="0.35">
      <c r="B1769" s="9">
        <v>1585892</v>
      </c>
      <c r="C1769" s="5" t="s">
        <v>2305</v>
      </c>
      <c r="D1769" s="5" t="s">
        <v>3565</v>
      </c>
      <c r="E1769" s="5" t="s">
        <v>2306</v>
      </c>
      <c r="F1769" s="34" t="s">
        <v>3574</v>
      </c>
      <c r="G1769" s="26">
        <v>0.26300000000000001</v>
      </c>
      <c r="H1769" s="1" t="s">
        <v>774</v>
      </c>
      <c r="I1769" s="9">
        <v>200</v>
      </c>
      <c r="J1769" s="36">
        <v>0.06</v>
      </c>
    </row>
    <row r="1770" spans="2:10" s="44" customFormat="1" x14ac:dyDescent="0.35">
      <c r="B1770" s="9" t="s">
        <v>3579</v>
      </c>
      <c r="C1770" s="5" t="s">
        <v>2305</v>
      </c>
      <c r="D1770" s="5" t="s">
        <v>3565</v>
      </c>
      <c r="E1770" s="5" t="s">
        <v>2306</v>
      </c>
      <c r="F1770" s="34" t="s">
        <v>3574</v>
      </c>
      <c r="G1770" s="26">
        <v>0.26300000000000001</v>
      </c>
      <c r="H1770" s="1" t="s">
        <v>774</v>
      </c>
      <c r="I1770" s="9">
        <v>200</v>
      </c>
      <c r="J1770" s="36">
        <v>0.06</v>
      </c>
    </row>
    <row r="1771" spans="2:10" s="44" customFormat="1" x14ac:dyDescent="0.35">
      <c r="B1771" s="9">
        <v>1586087</v>
      </c>
      <c r="C1771" s="5" t="s">
        <v>3581</v>
      </c>
      <c r="D1771" s="5" t="s">
        <v>3565</v>
      </c>
      <c r="E1771" s="5" t="s">
        <v>909</v>
      </c>
      <c r="F1771" s="34" t="s">
        <v>3574</v>
      </c>
      <c r="G1771" s="26">
        <v>2.0550000000000002</v>
      </c>
      <c r="H1771" s="1" t="s">
        <v>774</v>
      </c>
      <c r="I1771" s="9">
        <v>100</v>
      </c>
      <c r="J1771" s="36">
        <v>0.06</v>
      </c>
    </row>
    <row r="1772" spans="2:10" s="44" customFormat="1" x14ac:dyDescent="0.35">
      <c r="B1772" s="9" t="s">
        <v>3580</v>
      </c>
      <c r="C1772" s="5" t="s">
        <v>3581</v>
      </c>
      <c r="D1772" s="5" t="s">
        <v>3565</v>
      </c>
      <c r="E1772" s="5" t="s">
        <v>909</v>
      </c>
      <c r="F1772" s="34" t="s">
        <v>3574</v>
      </c>
      <c r="G1772" s="26">
        <v>2.0550000000000002</v>
      </c>
      <c r="H1772" s="1" t="s">
        <v>774</v>
      </c>
      <c r="I1772" s="9">
        <v>100</v>
      </c>
      <c r="J1772" s="36">
        <v>0.06</v>
      </c>
    </row>
    <row r="1773" spans="2:10" s="44" customFormat="1" x14ac:dyDescent="0.35">
      <c r="B1773" s="9">
        <v>1586435</v>
      </c>
      <c r="C1773" s="5" t="s">
        <v>2147</v>
      </c>
      <c r="D1773" s="5" t="s">
        <v>3565</v>
      </c>
      <c r="E1773" s="5" t="s">
        <v>2148</v>
      </c>
      <c r="F1773" s="34" t="s">
        <v>3574</v>
      </c>
      <c r="G1773" s="26">
        <v>0.20499999999999999</v>
      </c>
      <c r="H1773" s="1" t="s">
        <v>774</v>
      </c>
      <c r="I1773" s="9">
        <v>100</v>
      </c>
      <c r="J1773" s="36">
        <v>0.06</v>
      </c>
    </row>
    <row r="1774" spans="2:10" s="44" customFormat="1" x14ac:dyDescent="0.35">
      <c r="B1774" s="9" t="s">
        <v>3582</v>
      </c>
      <c r="C1774" s="5" t="s">
        <v>2147</v>
      </c>
      <c r="D1774" s="5" t="s">
        <v>3565</v>
      </c>
      <c r="E1774" s="5" t="s">
        <v>2148</v>
      </c>
      <c r="F1774" s="34" t="s">
        <v>3574</v>
      </c>
      <c r="G1774" s="26">
        <v>0.20499999999999999</v>
      </c>
      <c r="H1774" s="1" t="s">
        <v>774</v>
      </c>
      <c r="I1774" s="9">
        <v>100</v>
      </c>
      <c r="J1774" s="36">
        <v>0.06</v>
      </c>
    </row>
    <row r="1775" spans="2:10" s="44" customFormat="1" x14ac:dyDescent="0.35">
      <c r="B1775" s="9">
        <v>1586614</v>
      </c>
      <c r="C1775" s="5" t="s">
        <v>2310</v>
      </c>
      <c r="D1775" s="5" t="s">
        <v>3565</v>
      </c>
      <c r="E1775" s="5" t="s">
        <v>2311</v>
      </c>
      <c r="F1775" s="34" t="s">
        <v>3574</v>
      </c>
      <c r="G1775" s="26">
        <v>1.0469999999999999</v>
      </c>
      <c r="H1775" s="1" t="s">
        <v>774</v>
      </c>
      <c r="I1775" s="9">
        <v>100</v>
      </c>
      <c r="J1775" s="36">
        <v>0.06</v>
      </c>
    </row>
    <row r="1776" spans="2:10" s="44" customFormat="1" x14ac:dyDescent="0.35">
      <c r="B1776" s="9">
        <v>4000198</v>
      </c>
      <c r="C1776" s="5" t="s">
        <v>2310</v>
      </c>
      <c r="D1776" s="5" t="s">
        <v>3565</v>
      </c>
      <c r="E1776" s="5" t="s">
        <v>2311</v>
      </c>
      <c r="F1776" s="34" t="s">
        <v>3574</v>
      </c>
      <c r="G1776" s="26">
        <v>1.0469999999999999</v>
      </c>
      <c r="H1776" s="1" t="s">
        <v>774</v>
      </c>
      <c r="I1776" s="9">
        <v>100</v>
      </c>
      <c r="J1776" s="36">
        <v>0.06</v>
      </c>
    </row>
    <row r="1777" spans="2:10" s="44" customFormat="1" x14ac:dyDescent="0.35">
      <c r="B1777" s="9">
        <v>1586748</v>
      </c>
      <c r="C1777" s="5" t="s">
        <v>2104</v>
      </c>
      <c r="D1777" s="5" t="s">
        <v>3565</v>
      </c>
      <c r="E1777" s="5" t="s">
        <v>2105</v>
      </c>
      <c r="F1777" s="34" t="s">
        <v>3574</v>
      </c>
      <c r="G1777" s="26">
        <v>4.2</v>
      </c>
      <c r="H1777" s="1" t="s">
        <v>774</v>
      </c>
      <c r="I1777" s="9">
        <v>1</v>
      </c>
      <c r="J1777" s="36">
        <v>0.06</v>
      </c>
    </row>
    <row r="1778" spans="2:10" s="44" customFormat="1" x14ac:dyDescent="0.35">
      <c r="B1778" s="9">
        <v>1118028</v>
      </c>
      <c r="C1778" s="5" t="s">
        <v>2104</v>
      </c>
      <c r="D1778" s="5" t="s">
        <v>3565</v>
      </c>
      <c r="E1778" s="5" t="s">
        <v>2105</v>
      </c>
      <c r="F1778" s="34" t="s">
        <v>3574</v>
      </c>
      <c r="G1778" s="26">
        <v>4.2</v>
      </c>
      <c r="H1778" s="1" t="s">
        <v>774</v>
      </c>
      <c r="I1778" s="9">
        <v>1</v>
      </c>
      <c r="J1778" s="36">
        <v>0.06</v>
      </c>
    </row>
    <row r="1779" spans="2:10" s="44" customFormat="1" x14ac:dyDescent="0.35">
      <c r="B1779" s="9">
        <v>1700909</v>
      </c>
      <c r="C1779" s="5" t="s">
        <v>1977</v>
      </c>
      <c r="D1779" s="5" t="s">
        <v>3565</v>
      </c>
      <c r="E1779" s="5" t="s">
        <v>1978</v>
      </c>
      <c r="F1779" s="34" t="s">
        <v>3574</v>
      </c>
      <c r="G1779" s="26">
        <v>0.153</v>
      </c>
      <c r="H1779" s="1" t="s">
        <v>774</v>
      </c>
      <c r="I1779" s="9">
        <v>100</v>
      </c>
      <c r="J1779" s="36">
        <v>0.06</v>
      </c>
    </row>
    <row r="1780" spans="2:10" s="44" customFormat="1" x14ac:dyDescent="0.35">
      <c r="B1780" s="9">
        <v>4000197</v>
      </c>
      <c r="C1780" s="5" t="s">
        <v>1977</v>
      </c>
      <c r="D1780" s="5" t="s">
        <v>3565</v>
      </c>
      <c r="E1780" s="5" t="s">
        <v>1978</v>
      </c>
      <c r="F1780" s="34" t="s">
        <v>3574</v>
      </c>
      <c r="G1780" s="26">
        <v>0.153</v>
      </c>
      <c r="H1780" s="1" t="s">
        <v>774</v>
      </c>
      <c r="I1780" s="9">
        <v>100</v>
      </c>
      <c r="J1780" s="36">
        <v>0.06</v>
      </c>
    </row>
    <row r="1781" spans="2:10" s="44" customFormat="1" x14ac:dyDescent="0.35">
      <c r="B1781" s="9">
        <v>1700910</v>
      </c>
      <c r="C1781" s="5" t="s">
        <v>1976</v>
      </c>
      <c r="D1781" s="5" t="s">
        <v>3565</v>
      </c>
      <c r="E1781" s="5" t="s">
        <v>1724</v>
      </c>
      <c r="F1781" s="34" t="s">
        <v>3574</v>
      </c>
      <c r="G1781" s="26">
        <v>0.16200000000000003</v>
      </c>
      <c r="H1781" s="1" t="s">
        <v>774</v>
      </c>
      <c r="I1781" s="9">
        <v>100</v>
      </c>
      <c r="J1781" s="36">
        <v>0.06</v>
      </c>
    </row>
    <row r="1782" spans="2:10" s="44" customFormat="1" x14ac:dyDescent="0.35">
      <c r="B1782" s="9">
        <v>4000286</v>
      </c>
      <c r="C1782" s="5" t="s">
        <v>1976</v>
      </c>
      <c r="D1782" s="5" t="s">
        <v>3565</v>
      </c>
      <c r="E1782" s="5" t="s">
        <v>1724</v>
      </c>
      <c r="F1782" s="34" t="s">
        <v>3574</v>
      </c>
      <c r="G1782" s="26">
        <v>0.16200000000000003</v>
      </c>
      <c r="H1782" s="1" t="s">
        <v>774</v>
      </c>
      <c r="I1782" s="9">
        <v>100</v>
      </c>
      <c r="J1782" s="36">
        <v>0.06</v>
      </c>
    </row>
    <row r="1783" spans="2:10" s="44" customFormat="1" x14ac:dyDescent="0.35">
      <c r="B1783" s="9">
        <v>1700918</v>
      </c>
      <c r="C1783" s="5" t="s">
        <v>1212</v>
      </c>
      <c r="D1783" s="5" t="s">
        <v>3565</v>
      </c>
      <c r="E1783" s="5" t="s">
        <v>1211</v>
      </c>
      <c r="F1783" s="34" t="s">
        <v>3574</v>
      </c>
      <c r="G1783" s="26">
        <v>3.6000000000000004E-2</v>
      </c>
      <c r="H1783" s="1" t="s">
        <v>774</v>
      </c>
      <c r="I1783" s="9">
        <v>200</v>
      </c>
      <c r="J1783" s="36">
        <v>0.06</v>
      </c>
    </row>
    <row r="1784" spans="2:10" s="44" customFormat="1" x14ac:dyDescent="0.35">
      <c r="B1784" s="9" t="s">
        <v>3583</v>
      </c>
      <c r="C1784" s="5" t="s">
        <v>1212</v>
      </c>
      <c r="D1784" s="5" t="s">
        <v>3565</v>
      </c>
      <c r="E1784" s="5" t="s">
        <v>1211</v>
      </c>
      <c r="F1784" s="34" t="s">
        <v>3574</v>
      </c>
      <c r="G1784" s="26">
        <v>3.6000000000000004E-2</v>
      </c>
      <c r="H1784" s="1" t="s">
        <v>774</v>
      </c>
      <c r="I1784" s="9">
        <v>200</v>
      </c>
      <c r="J1784" s="36">
        <v>0.06</v>
      </c>
    </row>
    <row r="1785" spans="2:10" s="44" customFormat="1" x14ac:dyDescent="0.35">
      <c r="B1785" s="9">
        <v>1701046</v>
      </c>
      <c r="C1785" s="5" t="s">
        <v>1181</v>
      </c>
      <c r="D1785" s="5" t="s">
        <v>3565</v>
      </c>
      <c r="E1785" s="5" t="s">
        <v>1182</v>
      </c>
      <c r="F1785" s="34" t="s">
        <v>3574</v>
      </c>
      <c r="G1785" s="26">
        <v>2.4E-2</v>
      </c>
      <c r="H1785" s="1" t="s">
        <v>774</v>
      </c>
      <c r="I1785" s="9">
        <v>100</v>
      </c>
      <c r="J1785" s="36">
        <v>0.06</v>
      </c>
    </row>
    <row r="1786" spans="2:10" s="44" customFormat="1" x14ac:dyDescent="0.35">
      <c r="B1786" s="9">
        <v>1118111</v>
      </c>
      <c r="C1786" s="5" t="s">
        <v>1181</v>
      </c>
      <c r="D1786" s="5" t="s">
        <v>3565</v>
      </c>
      <c r="E1786" s="5" t="s">
        <v>1182</v>
      </c>
      <c r="F1786" s="34" t="s">
        <v>3574</v>
      </c>
      <c r="G1786" s="26">
        <v>2.4E-2</v>
      </c>
      <c r="H1786" s="1" t="s">
        <v>774</v>
      </c>
      <c r="I1786" s="9">
        <v>100</v>
      </c>
      <c r="J1786" s="36">
        <v>0.06</v>
      </c>
    </row>
    <row r="1787" spans="2:10" s="44" customFormat="1" x14ac:dyDescent="0.35">
      <c r="B1787" s="9">
        <v>1701062</v>
      </c>
      <c r="C1787" s="5" t="s">
        <v>1208</v>
      </c>
      <c r="D1787" s="5" t="s">
        <v>3565</v>
      </c>
      <c r="E1787" s="5" t="s">
        <v>1209</v>
      </c>
      <c r="F1787" s="34" t="s">
        <v>3574</v>
      </c>
      <c r="G1787" s="26">
        <v>1.6E-2</v>
      </c>
      <c r="H1787" s="1" t="s">
        <v>774</v>
      </c>
      <c r="I1787" s="9">
        <v>200</v>
      </c>
      <c r="J1787" s="36">
        <v>0.06</v>
      </c>
    </row>
    <row r="1788" spans="2:10" s="44" customFormat="1" x14ac:dyDescent="0.35">
      <c r="B1788" s="9" t="s">
        <v>3584</v>
      </c>
      <c r="C1788" s="5" t="s">
        <v>1208</v>
      </c>
      <c r="D1788" s="5" t="s">
        <v>3565</v>
      </c>
      <c r="E1788" s="5" t="s">
        <v>1209</v>
      </c>
      <c r="F1788" s="34" t="s">
        <v>3574</v>
      </c>
      <c r="G1788" s="26">
        <v>1.6E-2</v>
      </c>
      <c r="H1788" s="1" t="s">
        <v>774</v>
      </c>
      <c r="I1788" s="9">
        <v>200</v>
      </c>
      <c r="J1788" s="36">
        <v>0.06</v>
      </c>
    </row>
    <row r="1789" spans="2:10" s="44" customFormat="1" x14ac:dyDescent="0.35">
      <c r="B1789" s="9">
        <v>4000062</v>
      </c>
      <c r="C1789" s="5" t="s">
        <v>1208</v>
      </c>
      <c r="D1789" s="5" t="s">
        <v>3565</v>
      </c>
      <c r="E1789" s="5" t="s">
        <v>1209</v>
      </c>
      <c r="F1789" s="34" t="s">
        <v>3574</v>
      </c>
      <c r="G1789" s="26">
        <v>1.6E-2</v>
      </c>
      <c r="H1789" s="1" t="s">
        <v>774</v>
      </c>
      <c r="I1789" s="9">
        <v>200</v>
      </c>
      <c r="J1789" s="36">
        <v>0.06</v>
      </c>
    </row>
    <row r="1790" spans="2:10" s="44" customFormat="1" x14ac:dyDescent="0.35">
      <c r="B1790" s="9">
        <v>1120108</v>
      </c>
      <c r="C1790" s="5" t="s">
        <v>1208</v>
      </c>
      <c r="D1790" s="5" t="s">
        <v>3565</v>
      </c>
      <c r="E1790" s="5" t="s">
        <v>1209</v>
      </c>
      <c r="F1790" s="34" t="s">
        <v>3574</v>
      </c>
      <c r="G1790" s="26">
        <v>1.6E-2</v>
      </c>
      <c r="H1790" s="1" t="s">
        <v>774</v>
      </c>
      <c r="I1790" s="9">
        <v>200</v>
      </c>
      <c r="J1790" s="36">
        <v>0.06</v>
      </c>
    </row>
    <row r="1791" spans="2:10" s="44" customFormat="1" x14ac:dyDescent="0.35">
      <c r="B1791" s="9">
        <v>1701065</v>
      </c>
      <c r="C1791" s="5" t="s">
        <v>1210</v>
      </c>
      <c r="D1791" s="5" t="s">
        <v>3565</v>
      </c>
      <c r="E1791" s="5" t="s">
        <v>1211</v>
      </c>
      <c r="F1791" s="34" t="s">
        <v>3574</v>
      </c>
      <c r="G1791" s="26">
        <v>4.2000000000000003E-2</v>
      </c>
      <c r="H1791" s="1" t="s">
        <v>774</v>
      </c>
      <c r="I1791" s="9">
        <v>200</v>
      </c>
      <c r="J1791" s="36">
        <v>0.06</v>
      </c>
    </row>
    <row r="1792" spans="2:10" s="44" customFormat="1" x14ac:dyDescent="0.35">
      <c r="B1792" s="9" t="s">
        <v>3585</v>
      </c>
      <c r="C1792" s="5" t="s">
        <v>1210</v>
      </c>
      <c r="D1792" s="5" t="s">
        <v>3565</v>
      </c>
      <c r="E1792" s="5" t="s">
        <v>1211</v>
      </c>
      <c r="F1792" s="34" t="s">
        <v>3574</v>
      </c>
      <c r="G1792" s="26">
        <v>4.2000000000000003E-2</v>
      </c>
      <c r="H1792" s="1" t="s">
        <v>774</v>
      </c>
      <c r="I1792" s="9">
        <v>200</v>
      </c>
      <c r="J1792" s="36">
        <v>0.06</v>
      </c>
    </row>
    <row r="1793" spans="2:10" s="44" customFormat="1" x14ac:dyDescent="0.35">
      <c r="B1793" s="9">
        <v>800001753</v>
      </c>
      <c r="C1793" s="5" t="s">
        <v>1210</v>
      </c>
      <c r="D1793" s="5" t="s">
        <v>3565</v>
      </c>
      <c r="E1793" s="5" t="s">
        <v>1211</v>
      </c>
      <c r="F1793" s="34" t="s">
        <v>3574</v>
      </c>
      <c r="G1793" s="26">
        <v>4.2000000000000003E-2</v>
      </c>
      <c r="H1793" s="1" t="s">
        <v>774</v>
      </c>
      <c r="I1793" s="9">
        <v>200</v>
      </c>
      <c r="J1793" s="36">
        <v>0.06</v>
      </c>
    </row>
    <row r="1794" spans="2:10" s="44" customFormat="1" x14ac:dyDescent="0.35">
      <c r="B1794" s="9">
        <v>1120114</v>
      </c>
      <c r="C1794" s="5" t="s">
        <v>1210</v>
      </c>
      <c r="D1794" s="5" t="s">
        <v>3565</v>
      </c>
      <c r="E1794" s="5" t="s">
        <v>1211</v>
      </c>
      <c r="F1794" s="34" t="s">
        <v>3574</v>
      </c>
      <c r="G1794" s="26">
        <v>4.2000000000000003E-2</v>
      </c>
      <c r="H1794" s="1" t="s">
        <v>774</v>
      </c>
      <c r="I1794" s="9">
        <v>200</v>
      </c>
      <c r="J1794" s="36">
        <v>0.06</v>
      </c>
    </row>
    <row r="1795" spans="2:10" s="44" customFormat="1" x14ac:dyDescent="0.35">
      <c r="B1795" s="9">
        <v>1701067</v>
      </c>
      <c r="C1795" s="5" t="s">
        <v>2408</v>
      </c>
      <c r="D1795" s="5" t="s">
        <v>3565</v>
      </c>
      <c r="E1795" s="5" t="s">
        <v>2409</v>
      </c>
      <c r="F1795" s="34" t="s">
        <v>3574</v>
      </c>
      <c r="G1795" s="26">
        <v>0.2</v>
      </c>
      <c r="H1795" s="1" t="s">
        <v>774</v>
      </c>
      <c r="I1795" s="9">
        <v>100</v>
      </c>
      <c r="J1795" s="36">
        <v>0.06</v>
      </c>
    </row>
    <row r="1796" spans="2:10" s="44" customFormat="1" x14ac:dyDescent="0.35">
      <c r="B1796" s="9">
        <v>1702968</v>
      </c>
      <c r="C1796" s="5" t="s">
        <v>2408</v>
      </c>
      <c r="D1796" s="5" t="s">
        <v>3565</v>
      </c>
      <c r="E1796" s="5" t="s">
        <v>2409</v>
      </c>
      <c r="F1796" s="34" t="s">
        <v>3574</v>
      </c>
      <c r="G1796" s="26">
        <v>0.2</v>
      </c>
      <c r="H1796" s="1" t="s">
        <v>774</v>
      </c>
      <c r="I1796" s="9">
        <v>100</v>
      </c>
      <c r="J1796" s="36">
        <v>0.06</v>
      </c>
    </row>
    <row r="1797" spans="2:10" s="44" customFormat="1" x14ac:dyDescent="0.35">
      <c r="B1797" s="9">
        <v>1701164</v>
      </c>
      <c r="C1797" s="5" t="s">
        <v>1726</v>
      </c>
      <c r="D1797" s="5" t="s">
        <v>3565</v>
      </c>
      <c r="E1797" s="5" t="s">
        <v>1724</v>
      </c>
      <c r="F1797" s="34" t="s">
        <v>3574</v>
      </c>
      <c r="G1797" s="26">
        <v>0.1</v>
      </c>
      <c r="H1797" s="1" t="s">
        <v>774</v>
      </c>
      <c r="I1797" s="9">
        <v>100</v>
      </c>
      <c r="J1797" s="36">
        <v>0.06</v>
      </c>
    </row>
    <row r="1798" spans="2:10" s="44" customFormat="1" x14ac:dyDescent="0.35">
      <c r="B1798" s="9">
        <v>4000110</v>
      </c>
      <c r="C1798" s="5" t="s">
        <v>1726</v>
      </c>
      <c r="D1798" s="5" t="s">
        <v>3565</v>
      </c>
      <c r="E1798" s="5" t="s">
        <v>1724</v>
      </c>
      <c r="F1798" s="34" t="s">
        <v>3574</v>
      </c>
      <c r="G1798" s="26">
        <v>0.1</v>
      </c>
      <c r="H1798" s="1" t="s">
        <v>774</v>
      </c>
      <c r="I1798" s="9">
        <v>100</v>
      </c>
      <c r="J1798" s="36">
        <v>0.06</v>
      </c>
    </row>
    <row r="1799" spans="2:10" s="44" customFormat="1" x14ac:dyDescent="0.35">
      <c r="B1799" s="9">
        <v>1701165</v>
      </c>
      <c r="C1799" s="5" t="s">
        <v>1725</v>
      </c>
      <c r="D1799" s="5" t="s">
        <v>3565</v>
      </c>
      <c r="E1799" s="5" t="s">
        <v>1211</v>
      </c>
      <c r="F1799" s="34" t="s">
        <v>3574</v>
      </c>
      <c r="G1799" s="26">
        <v>4.2000000000000003E-2</v>
      </c>
      <c r="H1799" s="1" t="s">
        <v>774</v>
      </c>
      <c r="I1799" s="9">
        <v>100</v>
      </c>
      <c r="J1799" s="36">
        <v>0.06</v>
      </c>
    </row>
    <row r="1800" spans="2:10" s="44" customFormat="1" x14ac:dyDescent="0.35">
      <c r="B1800" s="9" t="s">
        <v>3586</v>
      </c>
      <c r="C1800" s="5" t="s">
        <v>1725</v>
      </c>
      <c r="D1800" s="5" t="s">
        <v>3565</v>
      </c>
      <c r="E1800" s="5" t="s">
        <v>1211</v>
      </c>
      <c r="F1800" s="34" t="s">
        <v>3574</v>
      </c>
      <c r="G1800" s="26">
        <v>4.2000000000000003E-2</v>
      </c>
      <c r="H1800" s="1" t="s">
        <v>774</v>
      </c>
      <c r="I1800" s="9">
        <v>100</v>
      </c>
      <c r="J1800" s="36">
        <v>0.06</v>
      </c>
    </row>
    <row r="1801" spans="2:10" s="44" customFormat="1" x14ac:dyDescent="0.35">
      <c r="B1801" s="9">
        <v>1701721</v>
      </c>
      <c r="C1801" s="5" t="s">
        <v>1658</v>
      </c>
      <c r="D1801" s="5" t="s">
        <v>3565</v>
      </c>
      <c r="E1801" s="5" t="s">
        <v>1242</v>
      </c>
      <c r="F1801" s="34" t="s">
        <v>3574</v>
      </c>
      <c r="G1801" s="26">
        <v>0.13500000000000001</v>
      </c>
      <c r="H1801" s="1" t="s">
        <v>774</v>
      </c>
      <c r="I1801" s="9">
        <v>200</v>
      </c>
      <c r="J1801" s="36">
        <v>0.06</v>
      </c>
    </row>
    <row r="1802" spans="2:10" s="44" customFormat="1" x14ac:dyDescent="0.35">
      <c r="B1802" s="9">
        <v>1140004</v>
      </c>
      <c r="C1802" s="5" t="s">
        <v>1658</v>
      </c>
      <c r="D1802" s="5" t="s">
        <v>3565</v>
      </c>
      <c r="E1802" s="5" t="s">
        <v>1242</v>
      </c>
      <c r="F1802" s="34" t="s">
        <v>3574</v>
      </c>
      <c r="G1802" s="26">
        <v>0.13500000000000001</v>
      </c>
      <c r="H1802" s="1" t="s">
        <v>774</v>
      </c>
      <c r="I1802" s="9">
        <v>200</v>
      </c>
      <c r="J1802" s="36">
        <v>0.06</v>
      </c>
    </row>
    <row r="1803" spans="2:10" s="44" customFormat="1" x14ac:dyDescent="0.35">
      <c r="B1803" s="9">
        <v>1701805</v>
      </c>
      <c r="C1803" s="5" t="s">
        <v>1145</v>
      </c>
      <c r="D1803" s="5" t="s">
        <v>3565</v>
      </c>
      <c r="E1803" s="5" t="s">
        <v>1146</v>
      </c>
      <c r="F1803" s="34" t="s">
        <v>3574</v>
      </c>
      <c r="G1803" s="26">
        <v>0.11299999999999999</v>
      </c>
      <c r="H1803" s="1" t="s">
        <v>774</v>
      </c>
      <c r="I1803" s="9">
        <v>100</v>
      </c>
      <c r="J1803" s="36">
        <v>0.06</v>
      </c>
    </row>
    <row r="1804" spans="2:10" s="44" customFormat="1" x14ac:dyDescent="0.35">
      <c r="B1804" s="9">
        <v>1146040</v>
      </c>
      <c r="C1804" s="5" t="s">
        <v>1145</v>
      </c>
      <c r="D1804" s="5" t="s">
        <v>3565</v>
      </c>
      <c r="E1804" s="5" t="s">
        <v>1146</v>
      </c>
      <c r="F1804" s="34" t="s">
        <v>3574</v>
      </c>
      <c r="G1804" s="26">
        <v>0.11299999999999999</v>
      </c>
      <c r="H1804" s="1" t="s">
        <v>774</v>
      </c>
      <c r="I1804" s="9">
        <v>100</v>
      </c>
      <c r="J1804" s="36">
        <v>0.06</v>
      </c>
    </row>
    <row r="1805" spans="2:10" s="44" customFormat="1" x14ac:dyDescent="0.35">
      <c r="B1805" s="9">
        <v>1702386</v>
      </c>
      <c r="C1805" s="5" t="s">
        <v>978</v>
      </c>
      <c r="D1805" s="5" t="s">
        <v>3565</v>
      </c>
      <c r="E1805" s="5" t="s">
        <v>976</v>
      </c>
      <c r="F1805" s="34" t="s">
        <v>3574</v>
      </c>
      <c r="G1805" s="26">
        <v>4.8000000000000001E-2</v>
      </c>
      <c r="H1805" s="1" t="s">
        <v>774</v>
      </c>
      <c r="I1805" s="9">
        <v>200</v>
      </c>
      <c r="J1805" s="36">
        <v>0.06</v>
      </c>
    </row>
    <row r="1806" spans="2:10" s="44" customFormat="1" x14ac:dyDescent="0.35">
      <c r="B1806" s="9">
        <v>4000146</v>
      </c>
      <c r="C1806" s="5" t="s">
        <v>978</v>
      </c>
      <c r="D1806" s="5" t="s">
        <v>3565</v>
      </c>
      <c r="E1806" s="5" t="s">
        <v>976</v>
      </c>
      <c r="F1806" s="34" t="s">
        <v>3574</v>
      </c>
      <c r="G1806" s="26">
        <v>4.8000000000000001E-2</v>
      </c>
      <c r="H1806" s="1" t="s">
        <v>774</v>
      </c>
      <c r="I1806" s="9">
        <v>200</v>
      </c>
      <c r="J1806" s="36">
        <v>0.06</v>
      </c>
    </row>
    <row r="1807" spans="2:10" s="44" customFormat="1" x14ac:dyDescent="0.35">
      <c r="B1807" s="9">
        <v>1703055</v>
      </c>
      <c r="C1807" s="5" t="s">
        <v>1526</v>
      </c>
      <c r="D1807" s="5" t="s">
        <v>3565</v>
      </c>
      <c r="E1807" s="5" t="s">
        <v>924</v>
      </c>
      <c r="F1807" s="34" t="s">
        <v>3574</v>
      </c>
      <c r="G1807" s="26">
        <v>7.0999999999999994E-2</v>
      </c>
      <c r="H1807" s="1" t="s">
        <v>774</v>
      </c>
      <c r="I1807" s="9">
        <v>100</v>
      </c>
      <c r="J1807" s="36">
        <v>0.06</v>
      </c>
    </row>
    <row r="1808" spans="2:10" s="44" customFormat="1" x14ac:dyDescent="0.35">
      <c r="B1808" s="9">
        <v>1131159</v>
      </c>
      <c r="C1808" s="5" t="s">
        <v>1526</v>
      </c>
      <c r="D1808" s="5" t="s">
        <v>3565</v>
      </c>
      <c r="E1808" s="5" t="s">
        <v>924</v>
      </c>
      <c r="F1808" s="34" t="s">
        <v>3574</v>
      </c>
      <c r="G1808" s="26">
        <v>7.0999999999999994E-2</v>
      </c>
      <c r="H1808" s="1" t="s">
        <v>774</v>
      </c>
      <c r="I1808" s="9">
        <v>100</v>
      </c>
      <c r="J1808" s="36">
        <v>0.06</v>
      </c>
    </row>
    <row r="1809" spans="2:10" s="44" customFormat="1" x14ac:dyDescent="0.35">
      <c r="B1809" s="9">
        <v>1749005</v>
      </c>
      <c r="C1809" s="5" t="s">
        <v>2697</v>
      </c>
      <c r="D1809" s="5" t="s">
        <v>3565</v>
      </c>
      <c r="E1809" s="5" t="s">
        <v>2698</v>
      </c>
      <c r="F1809" s="34" t="s">
        <v>3574</v>
      </c>
      <c r="G1809" s="26">
        <v>0.14699999999999999</v>
      </c>
      <c r="H1809" s="1" t="s">
        <v>774</v>
      </c>
      <c r="I1809" s="9">
        <v>100</v>
      </c>
      <c r="J1809" s="36">
        <v>0.06</v>
      </c>
    </row>
    <row r="1810" spans="2:10" s="44" customFormat="1" x14ac:dyDescent="0.35">
      <c r="B1810" s="9" t="s">
        <v>3352</v>
      </c>
      <c r="C1810" s="5" t="s">
        <v>3353</v>
      </c>
      <c r="D1810" s="5" t="s">
        <v>3565</v>
      </c>
      <c r="E1810" s="5" t="s">
        <v>3354</v>
      </c>
      <c r="F1810" s="34" t="s">
        <v>3574</v>
      </c>
      <c r="G1810" s="26">
        <v>0.31</v>
      </c>
      <c r="H1810" s="1" t="s">
        <v>774</v>
      </c>
      <c r="I1810" s="9">
        <v>100</v>
      </c>
      <c r="J1810" s="36">
        <v>0.06</v>
      </c>
    </row>
    <row r="1811" spans="2:10" s="44" customFormat="1" x14ac:dyDescent="0.35">
      <c r="B1811" s="9">
        <v>1146666</v>
      </c>
      <c r="C1811" s="5" t="s">
        <v>2697</v>
      </c>
      <c r="D1811" s="5" t="s">
        <v>3565</v>
      </c>
      <c r="E1811" s="5" t="s">
        <v>2698</v>
      </c>
      <c r="F1811" s="34" t="s">
        <v>3574</v>
      </c>
      <c r="G1811" s="26">
        <v>0.14699999999999999</v>
      </c>
      <c r="H1811" s="1" t="s">
        <v>774</v>
      </c>
      <c r="I1811" s="9">
        <v>100</v>
      </c>
      <c r="J1811" s="36">
        <v>0.06</v>
      </c>
    </row>
    <row r="1812" spans="2:10" s="44" customFormat="1" x14ac:dyDescent="0.35">
      <c r="B1812" s="9">
        <v>4000080</v>
      </c>
      <c r="C1812" s="5" t="s">
        <v>2850</v>
      </c>
      <c r="D1812" s="5" t="s">
        <v>3565</v>
      </c>
      <c r="E1812" s="5" t="s">
        <v>2851</v>
      </c>
      <c r="F1812" s="34" t="s">
        <v>3574</v>
      </c>
      <c r="G1812" s="26">
        <v>0.105</v>
      </c>
      <c r="H1812" s="1" t="s">
        <v>774</v>
      </c>
      <c r="I1812" s="9">
        <v>100</v>
      </c>
      <c r="J1812" s="36">
        <v>0.06</v>
      </c>
    </row>
    <row r="1813" spans="2:10" s="44" customFormat="1" x14ac:dyDescent="0.35">
      <c r="B1813" s="9">
        <v>800011638</v>
      </c>
      <c r="C1813" s="5" t="s">
        <v>2850</v>
      </c>
      <c r="D1813" s="5" t="s">
        <v>3565</v>
      </c>
      <c r="E1813" s="5" t="s">
        <v>2851</v>
      </c>
      <c r="F1813" s="34" t="s">
        <v>3574</v>
      </c>
      <c r="G1813" s="26">
        <v>0.105</v>
      </c>
      <c r="H1813" s="1" t="s">
        <v>774</v>
      </c>
      <c r="I1813" s="9">
        <v>100</v>
      </c>
      <c r="J1813" s="36">
        <v>0.06</v>
      </c>
    </row>
    <row r="1814" spans="2:10" s="44" customFormat="1" x14ac:dyDescent="0.35">
      <c r="B1814" s="9">
        <v>4000095</v>
      </c>
      <c r="C1814" s="5" t="s">
        <v>1201</v>
      </c>
      <c r="D1814" s="5" t="s">
        <v>3565</v>
      </c>
      <c r="E1814" s="5" t="s">
        <v>1202</v>
      </c>
      <c r="F1814" s="34" t="s">
        <v>3574</v>
      </c>
      <c r="G1814" s="26">
        <v>5.0999999999999997E-2</v>
      </c>
      <c r="H1814" s="1" t="s">
        <v>774</v>
      </c>
      <c r="I1814" s="9">
        <v>200</v>
      </c>
      <c r="J1814" s="36">
        <v>0.06</v>
      </c>
    </row>
    <row r="1815" spans="2:10" s="44" customFormat="1" x14ac:dyDescent="0.35">
      <c r="B1815" s="9" t="s">
        <v>3587</v>
      </c>
      <c r="C1815" s="5" t="s">
        <v>1201</v>
      </c>
      <c r="D1815" s="5" t="s">
        <v>3565</v>
      </c>
      <c r="E1815" s="5" t="s">
        <v>1202</v>
      </c>
      <c r="F1815" s="34" t="s">
        <v>3574</v>
      </c>
      <c r="G1815" s="26">
        <v>5.0999999999999997E-2</v>
      </c>
      <c r="H1815" s="1" t="s">
        <v>774</v>
      </c>
      <c r="I1815" s="9">
        <v>200</v>
      </c>
      <c r="J1815" s="36">
        <v>0.06</v>
      </c>
    </row>
    <row r="1816" spans="2:10" s="44" customFormat="1" x14ac:dyDescent="0.35">
      <c r="B1816" s="9">
        <v>4000249</v>
      </c>
      <c r="C1816" s="5" t="s">
        <v>1038</v>
      </c>
      <c r="D1816" s="5" t="s">
        <v>3565</v>
      </c>
      <c r="E1816" s="5" t="s">
        <v>1039</v>
      </c>
      <c r="F1816" s="34" t="s">
        <v>3574</v>
      </c>
      <c r="G1816" s="26">
        <v>1.4999999999999999E-2</v>
      </c>
      <c r="H1816" s="1" t="s">
        <v>774</v>
      </c>
      <c r="I1816" s="9">
        <v>200</v>
      </c>
      <c r="J1816" s="36">
        <v>0.06</v>
      </c>
    </row>
    <row r="1817" spans="2:10" s="44" customFormat="1" x14ac:dyDescent="0.35">
      <c r="B1817" s="9" t="s">
        <v>3588</v>
      </c>
      <c r="C1817" s="5" t="s">
        <v>1038</v>
      </c>
      <c r="D1817" s="5" t="s">
        <v>3565</v>
      </c>
      <c r="E1817" s="5" t="s">
        <v>1039</v>
      </c>
      <c r="F1817" s="34" t="s">
        <v>3574</v>
      </c>
      <c r="G1817" s="26">
        <v>1.4999999999999999E-2</v>
      </c>
      <c r="H1817" s="1" t="s">
        <v>774</v>
      </c>
      <c r="I1817" s="9">
        <v>200</v>
      </c>
      <c r="J1817" s="36">
        <v>0.06</v>
      </c>
    </row>
    <row r="1818" spans="2:10" s="44" customFormat="1" x14ac:dyDescent="0.35">
      <c r="B1818" s="9">
        <v>4002249</v>
      </c>
      <c r="C1818" s="5" t="s">
        <v>1030</v>
      </c>
      <c r="D1818" s="5" t="s">
        <v>3565</v>
      </c>
      <c r="E1818" s="5" t="s">
        <v>924</v>
      </c>
      <c r="F1818" s="34" t="s">
        <v>3574</v>
      </c>
      <c r="G1818" s="26">
        <v>0.44</v>
      </c>
      <c r="H1818" s="1" t="s">
        <v>774</v>
      </c>
      <c r="I1818" s="9">
        <v>100</v>
      </c>
      <c r="J1818" s="36">
        <v>0.06</v>
      </c>
    </row>
    <row r="1819" spans="2:10" s="44" customFormat="1" x14ac:dyDescent="0.35">
      <c r="B1819" s="9">
        <v>1135655</v>
      </c>
      <c r="C1819" s="5" t="s">
        <v>1030</v>
      </c>
      <c r="D1819" s="5" t="s">
        <v>3565</v>
      </c>
      <c r="E1819" s="5" t="s">
        <v>924</v>
      </c>
      <c r="F1819" s="34" t="s">
        <v>3574</v>
      </c>
      <c r="G1819" s="26">
        <v>0.44</v>
      </c>
      <c r="H1819" s="1" t="s">
        <v>774</v>
      </c>
      <c r="I1819" s="9">
        <v>100</v>
      </c>
      <c r="J1819" s="36">
        <v>0.06</v>
      </c>
    </row>
    <row r="1820" spans="2:10" s="44" customFormat="1" x14ac:dyDescent="0.35">
      <c r="B1820" s="9">
        <v>4002251</v>
      </c>
      <c r="C1820" s="5" t="s">
        <v>1028</v>
      </c>
      <c r="D1820" s="5" t="s">
        <v>3565</v>
      </c>
      <c r="E1820" s="5" t="s">
        <v>924</v>
      </c>
      <c r="F1820" s="34" t="s">
        <v>3574</v>
      </c>
      <c r="G1820" s="26">
        <v>0.36899999999999999</v>
      </c>
      <c r="H1820" s="1" t="s">
        <v>774</v>
      </c>
      <c r="I1820" s="9">
        <v>100</v>
      </c>
      <c r="J1820" s="36">
        <v>0.06</v>
      </c>
    </row>
    <row r="1821" spans="2:10" s="44" customFormat="1" x14ac:dyDescent="0.35">
      <c r="B1821" s="9">
        <v>800001736</v>
      </c>
      <c r="C1821" s="5" t="s">
        <v>1028</v>
      </c>
      <c r="D1821" s="5" t="s">
        <v>3565</v>
      </c>
      <c r="E1821" s="5" t="s">
        <v>924</v>
      </c>
      <c r="F1821" s="34" t="s">
        <v>3574</v>
      </c>
      <c r="G1821" s="26">
        <v>0.36899999999999999</v>
      </c>
      <c r="H1821" s="1" t="s">
        <v>774</v>
      </c>
      <c r="I1821" s="9">
        <v>100</v>
      </c>
      <c r="J1821" s="36">
        <v>0.06</v>
      </c>
    </row>
    <row r="1822" spans="2:10" s="44" customFormat="1" x14ac:dyDescent="0.35">
      <c r="B1822" s="9">
        <v>4002252</v>
      </c>
      <c r="C1822" s="5" t="s">
        <v>1669</v>
      </c>
      <c r="D1822" s="5" t="s">
        <v>3565</v>
      </c>
      <c r="E1822" s="5" t="s">
        <v>924</v>
      </c>
      <c r="F1822" s="34" t="s">
        <v>3574</v>
      </c>
      <c r="G1822" s="26">
        <v>0.41300000000000003</v>
      </c>
      <c r="H1822" s="1" t="s">
        <v>774</v>
      </c>
      <c r="I1822" s="9">
        <v>100</v>
      </c>
      <c r="J1822" s="36">
        <v>0.06</v>
      </c>
    </row>
    <row r="1823" spans="2:10" s="44" customFormat="1" x14ac:dyDescent="0.35">
      <c r="B1823" s="9">
        <v>800001737</v>
      </c>
      <c r="C1823" s="5" t="s">
        <v>1669</v>
      </c>
      <c r="D1823" s="5" t="s">
        <v>3565</v>
      </c>
      <c r="E1823" s="5" t="s">
        <v>924</v>
      </c>
      <c r="F1823" s="34" t="s">
        <v>3574</v>
      </c>
      <c r="G1823" s="26">
        <v>0.41300000000000003</v>
      </c>
      <c r="H1823" s="1" t="s">
        <v>774</v>
      </c>
      <c r="I1823" s="9">
        <v>100</v>
      </c>
      <c r="J1823" s="36">
        <v>0.06</v>
      </c>
    </row>
    <row r="1824" spans="2:10" s="44" customFormat="1" x14ac:dyDescent="0.35">
      <c r="B1824" s="9">
        <v>4002256</v>
      </c>
      <c r="C1824" s="5" t="s">
        <v>929</v>
      </c>
      <c r="D1824" s="5" t="s">
        <v>3565</v>
      </c>
      <c r="E1824" s="5" t="s">
        <v>924</v>
      </c>
      <c r="F1824" s="34" t="s">
        <v>3574</v>
      </c>
      <c r="G1824" s="26">
        <v>0.20200000000000004</v>
      </c>
      <c r="H1824" s="1" t="s">
        <v>774</v>
      </c>
      <c r="I1824" s="9">
        <v>100</v>
      </c>
      <c r="J1824" s="36">
        <v>0.06</v>
      </c>
    </row>
    <row r="1825" spans="2:10" s="44" customFormat="1" x14ac:dyDescent="0.35">
      <c r="B1825" s="9">
        <v>800001738</v>
      </c>
      <c r="C1825" s="5" t="s">
        <v>929</v>
      </c>
      <c r="D1825" s="5" t="s">
        <v>3565</v>
      </c>
      <c r="E1825" s="5" t="s">
        <v>924</v>
      </c>
      <c r="F1825" s="34" t="s">
        <v>3574</v>
      </c>
      <c r="G1825" s="26">
        <v>0.20200000000000004</v>
      </c>
      <c r="H1825" s="1" t="s">
        <v>774</v>
      </c>
      <c r="I1825" s="9">
        <v>100</v>
      </c>
      <c r="J1825" s="36">
        <v>0.06</v>
      </c>
    </row>
    <row r="1826" spans="2:10" s="44" customFormat="1" x14ac:dyDescent="0.35">
      <c r="B1826" s="9">
        <v>4002259</v>
      </c>
      <c r="C1826" s="5" t="s">
        <v>1525</v>
      </c>
      <c r="D1826" s="5" t="s">
        <v>3565</v>
      </c>
      <c r="E1826" s="5" t="s">
        <v>924</v>
      </c>
      <c r="F1826" s="34" t="s">
        <v>3574</v>
      </c>
      <c r="G1826" s="26">
        <v>0.20899999999999999</v>
      </c>
      <c r="H1826" s="1" t="s">
        <v>774</v>
      </c>
      <c r="I1826" s="9">
        <v>100</v>
      </c>
      <c r="J1826" s="36">
        <v>0.06</v>
      </c>
    </row>
    <row r="1827" spans="2:10" s="44" customFormat="1" x14ac:dyDescent="0.35">
      <c r="B1827" s="9">
        <v>800001714</v>
      </c>
      <c r="C1827" s="5" t="s">
        <v>1525</v>
      </c>
      <c r="D1827" s="5" t="s">
        <v>3565</v>
      </c>
      <c r="E1827" s="5" t="s">
        <v>924</v>
      </c>
      <c r="F1827" s="34" t="s">
        <v>3574</v>
      </c>
      <c r="G1827" s="26">
        <v>0.20899999999999999</v>
      </c>
      <c r="H1827" s="1" t="s">
        <v>774</v>
      </c>
      <c r="I1827" s="9">
        <v>100</v>
      </c>
      <c r="J1827" s="36">
        <v>0.06</v>
      </c>
    </row>
    <row r="1828" spans="2:10" s="44" customFormat="1" x14ac:dyDescent="0.35">
      <c r="B1828" s="9">
        <v>4002262</v>
      </c>
      <c r="C1828" s="5" t="s">
        <v>927</v>
      </c>
      <c r="D1828" s="5" t="s">
        <v>3565</v>
      </c>
      <c r="E1828" s="5" t="s">
        <v>924</v>
      </c>
      <c r="F1828" s="34" t="s">
        <v>3574</v>
      </c>
      <c r="G1828" s="26">
        <v>0.32800000000000007</v>
      </c>
      <c r="H1828" s="1" t="s">
        <v>774</v>
      </c>
      <c r="I1828" s="9">
        <v>100</v>
      </c>
      <c r="J1828" s="36">
        <v>0.06</v>
      </c>
    </row>
    <row r="1829" spans="2:10" s="44" customFormat="1" x14ac:dyDescent="0.35">
      <c r="B1829" s="9">
        <v>800001735</v>
      </c>
      <c r="C1829" s="5" t="s">
        <v>927</v>
      </c>
      <c r="D1829" s="5" t="s">
        <v>3565</v>
      </c>
      <c r="E1829" s="5" t="s">
        <v>924</v>
      </c>
      <c r="F1829" s="34" t="s">
        <v>3574</v>
      </c>
      <c r="G1829" s="26">
        <v>0.32800000000000007</v>
      </c>
      <c r="H1829" s="1" t="s">
        <v>774</v>
      </c>
      <c r="I1829" s="9">
        <v>100</v>
      </c>
      <c r="J1829" s="36">
        <v>0.06</v>
      </c>
    </row>
    <row r="1830" spans="2:10" s="44" customFormat="1" x14ac:dyDescent="0.35">
      <c r="B1830" s="9">
        <v>4002517</v>
      </c>
      <c r="C1830" s="5" t="s">
        <v>2303</v>
      </c>
      <c r="D1830" s="5" t="s">
        <v>3565</v>
      </c>
      <c r="E1830" s="5" t="s">
        <v>2304</v>
      </c>
      <c r="F1830" s="34" t="s">
        <v>3574</v>
      </c>
      <c r="G1830" s="26">
        <v>0.29399999999999998</v>
      </c>
      <c r="H1830" s="1" t="s">
        <v>774</v>
      </c>
      <c r="I1830" s="9">
        <v>100</v>
      </c>
      <c r="J1830" s="36">
        <v>0.06</v>
      </c>
    </row>
    <row r="1831" spans="2:10" s="44" customFormat="1" x14ac:dyDescent="0.35">
      <c r="B1831" s="9" t="s">
        <v>3589</v>
      </c>
      <c r="C1831" s="5" t="s">
        <v>2303</v>
      </c>
      <c r="D1831" s="5" t="s">
        <v>3565</v>
      </c>
      <c r="E1831" s="5" t="s">
        <v>2304</v>
      </c>
      <c r="F1831" s="34" t="s">
        <v>3574</v>
      </c>
      <c r="G1831" s="26">
        <v>0.29399999999999998</v>
      </c>
      <c r="H1831" s="1" t="s">
        <v>774</v>
      </c>
      <c r="I1831" s="9">
        <v>100</v>
      </c>
      <c r="J1831" s="36">
        <v>0.06</v>
      </c>
    </row>
    <row r="1832" spans="2:10" s="44" customFormat="1" x14ac:dyDescent="0.35">
      <c r="B1832" s="9">
        <v>4040304</v>
      </c>
      <c r="C1832" s="5" t="s">
        <v>1716</v>
      </c>
      <c r="D1832" s="5" t="s">
        <v>3565</v>
      </c>
      <c r="E1832" s="5" t="s">
        <v>1717</v>
      </c>
      <c r="F1832" s="34" t="s">
        <v>3574</v>
      </c>
      <c r="G1832" s="26">
        <v>3.6000000000000004E-2</v>
      </c>
      <c r="H1832" s="1" t="s">
        <v>774</v>
      </c>
      <c r="I1832" s="9">
        <v>200</v>
      </c>
      <c r="J1832" s="36">
        <v>0.06</v>
      </c>
    </row>
    <row r="1833" spans="2:10" s="44" customFormat="1" x14ac:dyDescent="0.35">
      <c r="B1833" s="9" t="s">
        <v>3590</v>
      </c>
      <c r="C1833" s="5" t="s">
        <v>1716</v>
      </c>
      <c r="D1833" s="5" t="s">
        <v>3565</v>
      </c>
      <c r="E1833" s="5" t="s">
        <v>1717</v>
      </c>
      <c r="F1833" s="34" t="s">
        <v>3574</v>
      </c>
      <c r="G1833" s="26">
        <v>3.6000000000000004E-2</v>
      </c>
      <c r="H1833" s="1" t="s">
        <v>774</v>
      </c>
      <c r="I1833" s="9">
        <v>200</v>
      </c>
      <c r="J1833" s="36">
        <v>0.06</v>
      </c>
    </row>
    <row r="1834" spans="2:10" s="44" customFormat="1" x14ac:dyDescent="0.35">
      <c r="B1834" s="9">
        <v>6502000601</v>
      </c>
      <c r="C1834" s="5" t="s">
        <v>2244</v>
      </c>
      <c r="D1834" s="5" t="s">
        <v>3565</v>
      </c>
      <c r="E1834" s="11" t="s">
        <v>3573</v>
      </c>
      <c r="F1834" s="34" t="s">
        <v>3574</v>
      </c>
      <c r="G1834" s="26">
        <v>7.3999999999999996E-2</v>
      </c>
      <c r="H1834" s="1" t="s">
        <v>774</v>
      </c>
      <c r="I1834" s="9">
        <v>100</v>
      </c>
      <c r="J1834" s="36">
        <v>0.06</v>
      </c>
    </row>
    <row r="1835" spans="2:10" s="44" customFormat="1" x14ac:dyDescent="0.35">
      <c r="B1835" s="9">
        <v>800001876</v>
      </c>
      <c r="C1835" s="5" t="s">
        <v>2244</v>
      </c>
      <c r="D1835" s="5" t="s">
        <v>3565</v>
      </c>
      <c r="E1835" s="11" t="s">
        <v>3573</v>
      </c>
      <c r="F1835" s="34" t="s">
        <v>3574</v>
      </c>
      <c r="G1835" s="26">
        <v>7.3999999999999996E-2</v>
      </c>
      <c r="H1835" s="1" t="s">
        <v>774</v>
      </c>
      <c r="I1835" s="9">
        <v>100</v>
      </c>
      <c r="J1835" s="36">
        <v>0.06</v>
      </c>
    </row>
    <row r="1836" spans="2:10" s="44" customFormat="1" x14ac:dyDescent="0.35">
      <c r="B1836" s="9">
        <v>6502000801</v>
      </c>
      <c r="C1836" s="5" t="s">
        <v>2932</v>
      </c>
      <c r="D1836" s="5" t="s">
        <v>3565</v>
      </c>
      <c r="E1836" s="11" t="s">
        <v>3573</v>
      </c>
      <c r="F1836" s="34" t="s">
        <v>3574</v>
      </c>
      <c r="G1836" s="26">
        <v>9.0999999999999998E-2</v>
      </c>
      <c r="H1836" s="1" t="s">
        <v>774</v>
      </c>
      <c r="I1836" s="9">
        <v>100</v>
      </c>
      <c r="J1836" s="36">
        <v>0.06</v>
      </c>
    </row>
    <row r="1837" spans="2:10" s="44" customFormat="1" x14ac:dyDescent="0.35">
      <c r="B1837" s="9">
        <v>800001914</v>
      </c>
      <c r="C1837" s="5" t="s">
        <v>2932</v>
      </c>
      <c r="D1837" s="5" t="s">
        <v>3565</v>
      </c>
      <c r="E1837" s="11" t="s">
        <v>3573</v>
      </c>
      <c r="F1837" s="34" t="s">
        <v>3574</v>
      </c>
      <c r="G1837" s="26">
        <v>9.0999999999999998E-2</v>
      </c>
      <c r="H1837" s="1" t="s">
        <v>774</v>
      </c>
      <c r="I1837" s="9">
        <v>100</v>
      </c>
      <c r="J1837" s="36">
        <v>0.06</v>
      </c>
    </row>
    <row r="1838" spans="2:10" s="44" customFormat="1" x14ac:dyDescent="0.35">
      <c r="B1838" s="9">
        <v>6502001008</v>
      </c>
      <c r="C1838" s="5" t="s">
        <v>1536</v>
      </c>
      <c r="D1838" s="5" t="s">
        <v>3565</v>
      </c>
      <c r="E1838" s="5" t="s">
        <v>1097</v>
      </c>
      <c r="F1838" s="34" t="s">
        <v>3574</v>
      </c>
      <c r="G1838" s="26">
        <v>9.9000000000000005E-2</v>
      </c>
      <c r="H1838" s="1" t="s">
        <v>774</v>
      </c>
      <c r="I1838" s="9">
        <v>100</v>
      </c>
      <c r="J1838" s="36">
        <v>0.06</v>
      </c>
    </row>
    <row r="1839" spans="2:10" s="44" customFormat="1" x14ac:dyDescent="0.35">
      <c r="B1839" s="9">
        <v>1145404</v>
      </c>
      <c r="C1839" s="5" t="s">
        <v>1536</v>
      </c>
      <c r="D1839" s="5" t="s">
        <v>3565</v>
      </c>
      <c r="E1839" s="5" t="s">
        <v>1097</v>
      </c>
      <c r="F1839" s="34" t="s">
        <v>3574</v>
      </c>
      <c r="G1839" s="26">
        <v>9.9000000000000005E-2</v>
      </c>
      <c r="H1839" s="1" t="s">
        <v>774</v>
      </c>
      <c r="I1839" s="9">
        <v>100</v>
      </c>
      <c r="J1839" s="36">
        <v>0.06</v>
      </c>
    </row>
    <row r="1840" spans="2:10" s="44" customFormat="1" x14ac:dyDescent="0.35">
      <c r="B1840" s="9">
        <v>6502500408</v>
      </c>
      <c r="C1840" s="5" t="s">
        <v>1539</v>
      </c>
      <c r="D1840" s="5" t="s">
        <v>3565</v>
      </c>
      <c r="E1840" s="5" t="s">
        <v>1097</v>
      </c>
      <c r="F1840" s="34" t="s">
        <v>3574</v>
      </c>
      <c r="G1840" s="26">
        <v>0.16600000000000001</v>
      </c>
      <c r="H1840" s="1" t="s">
        <v>774</v>
      </c>
      <c r="I1840" s="9">
        <v>100</v>
      </c>
      <c r="J1840" s="36">
        <v>0.06</v>
      </c>
    </row>
    <row r="1841" spans="2:10" s="44" customFormat="1" x14ac:dyDescent="0.35">
      <c r="B1841" s="9">
        <v>1145406</v>
      </c>
      <c r="C1841" s="5" t="s">
        <v>1539</v>
      </c>
      <c r="D1841" s="5" t="s">
        <v>3565</v>
      </c>
      <c r="E1841" s="5" t="s">
        <v>1097</v>
      </c>
      <c r="F1841" s="34" t="s">
        <v>3574</v>
      </c>
      <c r="G1841" s="26">
        <v>0.16600000000000001</v>
      </c>
      <c r="H1841" s="1" t="s">
        <v>774</v>
      </c>
      <c r="I1841" s="9">
        <v>100</v>
      </c>
      <c r="J1841" s="36">
        <v>0.06</v>
      </c>
    </row>
    <row r="1842" spans="2:10" s="44" customFormat="1" x14ac:dyDescent="0.35">
      <c r="B1842" s="9">
        <v>6503000509</v>
      </c>
      <c r="C1842" s="5" t="s">
        <v>1660</v>
      </c>
      <c r="D1842" s="5" t="s">
        <v>3565</v>
      </c>
      <c r="E1842" s="5" t="s">
        <v>1443</v>
      </c>
      <c r="F1842" s="34" t="s">
        <v>3574</v>
      </c>
      <c r="G1842" s="26">
        <v>0.04</v>
      </c>
      <c r="H1842" s="1" t="s">
        <v>774</v>
      </c>
      <c r="I1842" s="9">
        <v>100</v>
      </c>
      <c r="J1842" s="36">
        <v>0.06</v>
      </c>
    </row>
    <row r="1843" spans="2:10" s="44" customFormat="1" x14ac:dyDescent="0.35">
      <c r="B1843" s="9">
        <v>1131536</v>
      </c>
      <c r="C1843" s="5" t="s">
        <v>1660</v>
      </c>
      <c r="D1843" s="5" t="s">
        <v>3565</v>
      </c>
      <c r="E1843" s="5" t="s">
        <v>1443</v>
      </c>
      <c r="F1843" s="34" t="s">
        <v>3574</v>
      </c>
      <c r="G1843" s="26">
        <v>0.04</v>
      </c>
      <c r="H1843" s="1" t="s">
        <v>774</v>
      </c>
      <c r="I1843" s="9">
        <v>100</v>
      </c>
      <c r="J1843" s="36">
        <v>0.06</v>
      </c>
    </row>
    <row r="1844" spans="2:10" s="44" customFormat="1" x14ac:dyDescent="0.35">
      <c r="B1844" s="9">
        <v>6503000601</v>
      </c>
      <c r="C1844" s="5" t="s">
        <v>2838</v>
      </c>
      <c r="D1844" s="5" t="s">
        <v>3565</v>
      </c>
      <c r="E1844" s="5" t="s">
        <v>2839</v>
      </c>
      <c r="F1844" s="34" t="s">
        <v>3574</v>
      </c>
      <c r="G1844" s="26">
        <v>0.114</v>
      </c>
      <c r="H1844" s="1" t="s">
        <v>774</v>
      </c>
      <c r="I1844" s="9">
        <v>100</v>
      </c>
      <c r="J1844" s="36">
        <v>0.06</v>
      </c>
    </row>
    <row r="1845" spans="2:10" s="44" customFormat="1" x14ac:dyDescent="0.35">
      <c r="B1845" s="9">
        <v>800001699</v>
      </c>
      <c r="C1845" s="5" t="s">
        <v>2838</v>
      </c>
      <c r="D1845" s="5" t="s">
        <v>3565</v>
      </c>
      <c r="E1845" s="5" t="s">
        <v>2839</v>
      </c>
      <c r="F1845" s="34" t="s">
        <v>3574</v>
      </c>
      <c r="G1845" s="26">
        <v>0.114</v>
      </c>
      <c r="H1845" s="1" t="s">
        <v>774</v>
      </c>
      <c r="I1845" s="9">
        <v>100</v>
      </c>
      <c r="J1845" s="36">
        <v>0.06</v>
      </c>
    </row>
    <row r="1846" spans="2:10" s="44" customFormat="1" x14ac:dyDescent="0.35">
      <c r="B1846" s="9">
        <v>6503000801</v>
      </c>
      <c r="C1846" s="5" t="s">
        <v>2184</v>
      </c>
      <c r="D1846" s="5" t="s">
        <v>3565</v>
      </c>
      <c r="E1846" s="5" t="s">
        <v>2185</v>
      </c>
      <c r="F1846" s="34" t="s">
        <v>3574</v>
      </c>
      <c r="G1846" s="26">
        <v>7.9000000000000001E-2</v>
      </c>
      <c r="H1846" s="1" t="s">
        <v>774</v>
      </c>
      <c r="I1846" s="9">
        <v>100</v>
      </c>
      <c r="J1846" s="36">
        <v>0.06</v>
      </c>
    </row>
    <row r="1847" spans="2:10" s="44" customFormat="1" x14ac:dyDescent="0.35">
      <c r="B1847" s="9">
        <v>800001700</v>
      </c>
      <c r="C1847" s="5" t="s">
        <v>2184</v>
      </c>
      <c r="D1847" s="5" t="s">
        <v>3565</v>
      </c>
      <c r="E1847" s="5" t="s">
        <v>2185</v>
      </c>
      <c r="F1847" s="34" t="s">
        <v>3574</v>
      </c>
      <c r="G1847" s="26">
        <v>7.9000000000000001E-2</v>
      </c>
      <c r="H1847" s="1" t="s">
        <v>774</v>
      </c>
      <c r="I1847" s="9">
        <v>100</v>
      </c>
      <c r="J1847" s="36">
        <v>0.06</v>
      </c>
    </row>
    <row r="1848" spans="2:10" s="44" customFormat="1" x14ac:dyDescent="0.35">
      <c r="B1848" s="9">
        <v>6503000803</v>
      </c>
      <c r="C1848" s="5" t="s">
        <v>916</v>
      </c>
      <c r="D1848" s="5" t="s">
        <v>3565</v>
      </c>
      <c r="E1848" s="5" t="s">
        <v>917</v>
      </c>
      <c r="F1848" s="34" t="s">
        <v>3574</v>
      </c>
      <c r="G1848" s="26">
        <v>0.161</v>
      </c>
      <c r="H1848" s="1" t="s">
        <v>774</v>
      </c>
      <c r="I1848" s="9">
        <v>100</v>
      </c>
      <c r="J1848" s="36">
        <v>0.06</v>
      </c>
    </row>
    <row r="1849" spans="2:10" s="44" customFormat="1" x14ac:dyDescent="0.35">
      <c r="B1849" s="9">
        <v>1146959</v>
      </c>
      <c r="C1849" s="5" t="s">
        <v>916</v>
      </c>
      <c r="D1849" s="5" t="s">
        <v>3565</v>
      </c>
      <c r="E1849" s="5" t="s">
        <v>917</v>
      </c>
      <c r="F1849" s="34" t="s">
        <v>3574</v>
      </c>
      <c r="G1849" s="26">
        <v>0.161</v>
      </c>
      <c r="H1849" s="1" t="s">
        <v>774</v>
      </c>
      <c r="I1849" s="9">
        <v>100</v>
      </c>
      <c r="J1849" s="36">
        <v>0.06</v>
      </c>
    </row>
    <row r="1850" spans="2:10" s="44" customFormat="1" x14ac:dyDescent="0.35">
      <c r="B1850" s="9">
        <v>6503000809</v>
      </c>
      <c r="C1850" s="5" t="s">
        <v>1442</v>
      </c>
      <c r="D1850" s="5" t="s">
        <v>3565</v>
      </c>
      <c r="E1850" s="5" t="s">
        <v>1443</v>
      </c>
      <c r="F1850" s="34" t="s">
        <v>3574</v>
      </c>
      <c r="G1850" s="26">
        <v>0.191</v>
      </c>
      <c r="H1850" s="1" t="s">
        <v>774</v>
      </c>
      <c r="I1850" s="9">
        <v>100</v>
      </c>
      <c r="J1850" s="36">
        <v>0.06</v>
      </c>
    </row>
    <row r="1851" spans="2:10" s="44" customFormat="1" x14ac:dyDescent="0.35">
      <c r="B1851" s="9">
        <v>1146538</v>
      </c>
      <c r="C1851" s="5" t="s">
        <v>1442</v>
      </c>
      <c r="D1851" s="5" t="s">
        <v>3565</v>
      </c>
      <c r="E1851" s="5" t="s">
        <v>1443</v>
      </c>
      <c r="F1851" s="34" t="s">
        <v>3574</v>
      </c>
      <c r="G1851" s="26">
        <v>0.191</v>
      </c>
      <c r="H1851" s="1" t="s">
        <v>774</v>
      </c>
      <c r="I1851" s="9">
        <v>100</v>
      </c>
      <c r="J1851" s="36">
        <v>0.06</v>
      </c>
    </row>
    <row r="1852" spans="2:10" s="44" customFormat="1" x14ac:dyDescent="0.35">
      <c r="B1852" s="9">
        <v>6503001203</v>
      </c>
      <c r="C1852" s="5" t="s">
        <v>918</v>
      </c>
      <c r="D1852" s="5" t="s">
        <v>3565</v>
      </c>
      <c r="E1852" s="5" t="s">
        <v>917</v>
      </c>
      <c r="F1852" s="34" t="s">
        <v>3574</v>
      </c>
      <c r="G1852" s="26">
        <v>5.2999999999999999E-2</v>
      </c>
      <c r="H1852" s="1" t="s">
        <v>774</v>
      </c>
      <c r="I1852" s="9">
        <v>100</v>
      </c>
      <c r="J1852" s="36">
        <v>0.06</v>
      </c>
    </row>
    <row r="1853" spans="2:10" s="44" customFormat="1" x14ac:dyDescent="0.35">
      <c r="B1853" s="9">
        <v>1146153</v>
      </c>
      <c r="C1853" s="5" t="s">
        <v>918</v>
      </c>
      <c r="D1853" s="5" t="s">
        <v>3565</v>
      </c>
      <c r="E1853" s="5" t="s">
        <v>917</v>
      </c>
      <c r="F1853" s="34" t="s">
        <v>3574</v>
      </c>
      <c r="G1853" s="26">
        <v>5.2999999999999999E-2</v>
      </c>
      <c r="H1853" s="1" t="s">
        <v>774</v>
      </c>
      <c r="I1853" s="9">
        <v>100</v>
      </c>
      <c r="J1853" s="36">
        <v>0.06</v>
      </c>
    </row>
    <row r="1854" spans="2:10" s="44" customFormat="1" x14ac:dyDescent="0.35">
      <c r="B1854" s="9">
        <v>6504000608</v>
      </c>
      <c r="C1854" s="5" t="s">
        <v>1103</v>
      </c>
      <c r="D1854" s="5" t="s">
        <v>3565</v>
      </c>
      <c r="E1854" s="5" t="s">
        <v>963</v>
      </c>
      <c r="F1854" s="34" t="s">
        <v>3574</v>
      </c>
      <c r="G1854" s="26">
        <v>0.11</v>
      </c>
      <c r="H1854" s="1" t="s">
        <v>774</v>
      </c>
      <c r="I1854" s="9">
        <v>100</v>
      </c>
      <c r="J1854" s="36">
        <v>0.06</v>
      </c>
    </row>
    <row r="1855" spans="2:10" s="44" customFormat="1" x14ac:dyDescent="0.35">
      <c r="B1855" s="9">
        <v>1146301</v>
      </c>
      <c r="C1855" s="5" t="s">
        <v>1103</v>
      </c>
      <c r="D1855" s="5" t="s">
        <v>3565</v>
      </c>
      <c r="E1855" s="5" t="s">
        <v>963</v>
      </c>
      <c r="F1855" s="34" t="s">
        <v>3574</v>
      </c>
      <c r="G1855" s="26">
        <v>0.11</v>
      </c>
      <c r="H1855" s="1" t="s">
        <v>774</v>
      </c>
      <c r="I1855" s="9">
        <v>100</v>
      </c>
      <c r="J1855" s="36">
        <v>0.06</v>
      </c>
    </row>
    <row r="1856" spans="2:10" s="44" customFormat="1" x14ac:dyDescent="0.35">
      <c r="B1856" s="9">
        <v>6504000609</v>
      </c>
      <c r="C1856" s="5" t="s">
        <v>1666</v>
      </c>
      <c r="D1856" s="5" t="s">
        <v>3565</v>
      </c>
      <c r="E1856" s="5" t="s">
        <v>1441</v>
      </c>
      <c r="F1856" s="34" t="s">
        <v>3574</v>
      </c>
      <c r="G1856" s="26">
        <v>9.0999999999999998E-2</v>
      </c>
      <c r="H1856" s="1" t="s">
        <v>774</v>
      </c>
      <c r="I1856" s="9">
        <v>100</v>
      </c>
      <c r="J1856" s="36">
        <v>0.06</v>
      </c>
    </row>
    <row r="1857" spans="2:10" s="44" customFormat="1" x14ac:dyDescent="0.35">
      <c r="B1857" s="9">
        <v>1146653</v>
      </c>
      <c r="C1857" s="5" t="s">
        <v>1666</v>
      </c>
      <c r="D1857" s="5" t="s">
        <v>3565</v>
      </c>
      <c r="E1857" s="5" t="s">
        <v>1441</v>
      </c>
      <c r="F1857" s="34" t="s">
        <v>3574</v>
      </c>
      <c r="G1857" s="26">
        <v>9.0999999999999998E-2</v>
      </c>
      <c r="H1857" s="1" t="s">
        <v>774</v>
      </c>
      <c r="I1857" s="9">
        <v>100</v>
      </c>
      <c r="J1857" s="36">
        <v>0.06</v>
      </c>
    </row>
    <row r="1858" spans="2:10" s="44" customFormat="1" x14ac:dyDescent="0.35">
      <c r="B1858" s="9">
        <v>6504000803</v>
      </c>
      <c r="C1858" s="5" t="s">
        <v>1129</v>
      </c>
      <c r="D1858" s="5" t="s">
        <v>3565</v>
      </c>
      <c r="E1858" s="5" t="s">
        <v>920</v>
      </c>
      <c r="F1858" s="34" t="s">
        <v>3574</v>
      </c>
      <c r="G1858" s="26">
        <v>8.5999999999999993E-2</v>
      </c>
      <c r="H1858" s="1" t="s">
        <v>774</v>
      </c>
      <c r="I1858" s="9">
        <v>100</v>
      </c>
      <c r="J1858" s="36">
        <v>0.06</v>
      </c>
    </row>
    <row r="1859" spans="2:10" s="44" customFormat="1" x14ac:dyDescent="0.35">
      <c r="B1859" s="9">
        <v>1147091</v>
      </c>
      <c r="C1859" s="5" t="s">
        <v>1129</v>
      </c>
      <c r="D1859" s="5" t="s">
        <v>3565</v>
      </c>
      <c r="E1859" s="5" t="s">
        <v>920</v>
      </c>
      <c r="F1859" s="34" t="s">
        <v>3574</v>
      </c>
      <c r="G1859" s="26">
        <v>8.5999999999999993E-2</v>
      </c>
      <c r="H1859" s="1" t="s">
        <v>774</v>
      </c>
      <c r="I1859" s="9">
        <v>100</v>
      </c>
      <c r="J1859" s="36">
        <v>0.06</v>
      </c>
    </row>
    <row r="1860" spans="2:10" s="44" customFormat="1" x14ac:dyDescent="0.35">
      <c r="B1860" s="9">
        <v>6504000808</v>
      </c>
      <c r="C1860" s="5" t="s">
        <v>1104</v>
      </c>
      <c r="D1860" s="5" t="s">
        <v>3565</v>
      </c>
      <c r="E1860" s="5" t="s">
        <v>745</v>
      </c>
      <c r="F1860" s="34" t="s">
        <v>3574</v>
      </c>
      <c r="G1860" s="26">
        <v>0.107</v>
      </c>
      <c r="H1860" s="1" t="s">
        <v>774</v>
      </c>
      <c r="I1860" s="9">
        <v>100</v>
      </c>
      <c r="J1860" s="36">
        <v>0.06</v>
      </c>
    </row>
    <row r="1861" spans="2:10" s="44" customFormat="1" x14ac:dyDescent="0.35">
      <c r="B1861" s="9">
        <v>1146302</v>
      </c>
      <c r="C1861" s="5" t="s">
        <v>1104</v>
      </c>
      <c r="D1861" s="5" t="s">
        <v>3565</v>
      </c>
      <c r="E1861" s="5" t="s">
        <v>745</v>
      </c>
      <c r="F1861" s="34" t="s">
        <v>3574</v>
      </c>
      <c r="G1861" s="26">
        <v>0.107</v>
      </c>
      <c r="H1861" s="1" t="s">
        <v>774</v>
      </c>
      <c r="I1861" s="9">
        <v>100</v>
      </c>
      <c r="J1861" s="36">
        <v>0.06</v>
      </c>
    </row>
    <row r="1862" spans="2:10" s="44" customFormat="1" x14ac:dyDescent="0.35">
      <c r="B1862" s="9">
        <v>6504001009</v>
      </c>
      <c r="C1862" s="5" t="s">
        <v>1447</v>
      </c>
      <c r="D1862" s="5" t="s">
        <v>3565</v>
      </c>
      <c r="E1862" s="5" t="s">
        <v>1443</v>
      </c>
      <c r="F1862" s="34" t="s">
        <v>3574</v>
      </c>
      <c r="G1862" s="26">
        <v>0.153</v>
      </c>
      <c r="H1862" s="1" t="s">
        <v>774</v>
      </c>
      <c r="I1862" s="9">
        <v>100</v>
      </c>
      <c r="J1862" s="36">
        <v>0.06</v>
      </c>
    </row>
    <row r="1863" spans="2:10" s="44" customFormat="1" x14ac:dyDescent="0.35">
      <c r="B1863" s="9">
        <v>1146509</v>
      </c>
      <c r="C1863" s="5" t="s">
        <v>1447</v>
      </c>
      <c r="D1863" s="5" t="s">
        <v>3565</v>
      </c>
      <c r="E1863" s="5" t="s">
        <v>1443</v>
      </c>
      <c r="F1863" s="34" t="s">
        <v>3574</v>
      </c>
      <c r="G1863" s="26">
        <v>0.153</v>
      </c>
      <c r="H1863" s="1" t="s">
        <v>774</v>
      </c>
      <c r="I1863" s="9">
        <v>100</v>
      </c>
      <c r="J1863" s="36">
        <v>0.06</v>
      </c>
    </row>
    <row r="1864" spans="2:10" s="44" customFormat="1" x14ac:dyDescent="0.35">
      <c r="B1864" s="9">
        <v>6504001203</v>
      </c>
      <c r="C1864" s="5" t="s">
        <v>1130</v>
      </c>
      <c r="D1864" s="5" t="s">
        <v>3565</v>
      </c>
      <c r="E1864" s="5" t="s">
        <v>920</v>
      </c>
      <c r="F1864" s="34" t="s">
        <v>3574</v>
      </c>
      <c r="G1864" s="26">
        <v>0.16</v>
      </c>
      <c r="H1864" s="1" t="s">
        <v>774</v>
      </c>
      <c r="I1864" s="9">
        <v>100</v>
      </c>
      <c r="J1864" s="36">
        <v>0.06</v>
      </c>
    </row>
    <row r="1865" spans="2:10" s="44" customFormat="1" x14ac:dyDescent="0.35">
      <c r="B1865" s="9">
        <v>1147075</v>
      </c>
      <c r="C1865" s="5" t="s">
        <v>1130</v>
      </c>
      <c r="D1865" s="5" t="s">
        <v>3565</v>
      </c>
      <c r="E1865" s="5" t="s">
        <v>920</v>
      </c>
      <c r="F1865" s="34" t="s">
        <v>3574</v>
      </c>
      <c r="G1865" s="26">
        <v>0.16</v>
      </c>
      <c r="H1865" s="1" t="s">
        <v>774</v>
      </c>
      <c r="I1865" s="9">
        <v>100</v>
      </c>
      <c r="J1865" s="36">
        <v>0.06</v>
      </c>
    </row>
    <row r="1866" spans="2:10" s="44" customFormat="1" x14ac:dyDescent="0.35">
      <c r="B1866" s="9">
        <v>6504001208</v>
      </c>
      <c r="C1866" s="5" t="s">
        <v>1106</v>
      </c>
      <c r="D1866" s="5" t="s">
        <v>3565</v>
      </c>
      <c r="E1866" s="5" t="s">
        <v>745</v>
      </c>
      <c r="F1866" s="34" t="s">
        <v>3574</v>
      </c>
      <c r="G1866" s="26">
        <v>0.21200000000000002</v>
      </c>
      <c r="H1866" s="1" t="s">
        <v>774</v>
      </c>
      <c r="I1866" s="9">
        <v>100</v>
      </c>
      <c r="J1866" s="36">
        <v>0.06</v>
      </c>
    </row>
    <row r="1867" spans="2:10" s="44" customFormat="1" x14ac:dyDescent="0.35">
      <c r="B1867" s="9">
        <v>1146306</v>
      </c>
      <c r="C1867" s="5" t="s">
        <v>1106</v>
      </c>
      <c r="D1867" s="5" t="s">
        <v>3565</v>
      </c>
      <c r="E1867" s="5" t="s">
        <v>745</v>
      </c>
      <c r="F1867" s="34" t="s">
        <v>3574</v>
      </c>
      <c r="G1867" s="26">
        <v>0.21200000000000002</v>
      </c>
      <c r="H1867" s="1" t="s">
        <v>774</v>
      </c>
      <c r="I1867" s="9">
        <v>100</v>
      </c>
      <c r="J1867" s="36">
        <v>0.06</v>
      </c>
    </row>
    <row r="1868" spans="2:10" s="44" customFormat="1" x14ac:dyDescent="0.35">
      <c r="B1868" s="9">
        <v>6504001209</v>
      </c>
      <c r="C1868" s="5" t="s">
        <v>1448</v>
      </c>
      <c r="D1868" s="5" t="s">
        <v>3565</v>
      </c>
      <c r="E1868" s="5" t="s">
        <v>1443</v>
      </c>
      <c r="F1868" s="34" t="s">
        <v>3574</v>
      </c>
      <c r="G1868" s="26">
        <v>0.28000000000000003</v>
      </c>
      <c r="H1868" s="1" t="s">
        <v>774</v>
      </c>
      <c r="I1868" s="9">
        <v>100</v>
      </c>
      <c r="J1868" s="36">
        <v>0.06</v>
      </c>
    </row>
    <row r="1869" spans="2:10" s="44" customFormat="1" x14ac:dyDescent="0.35">
      <c r="B1869" s="9">
        <v>1146510</v>
      </c>
      <c r="C1869" s="5" t="s">
        <v>1448</v>
      </c>
      <c r="D1869" s="5" t="s">
        <v>3565</v>
      </c>
      <c r="E1869" s="5" t="s">
        <v>1443</v>
      </c>
      <c r="F1869" s="34" t="s">
        <v>3574</v>
      </c>
      <c r="G1869" s="26">
        <v>0.28000000000000003</v>
      </c>
      <c r="H1869" s="1" t="s">
        <v>774</v>
      </c>
      <c r="I1869" s="9">
        <v>100</v>
      </c>
      <c r="J1869" s="36">
        <v>0.06</v>
      </c>
    </row>
    <row r="1870" spans="2:10" s="44" customFormat="1" x14ac:dyDescent="0.35">
      <c r="B1870" s="9">
        <v>6504001408</v>
      </c>
      <c r="C1870" s="5" t="s">
        <v>960</v>
      </c>
      <c r="D1870" s="5" t="s">
        <v>3565</v>
      </c>
      <c r="E1870" s="5" t="s">
        <v>745</v>
      </c>
      <c r="F1870" s="34" t="s">
        <v>3574</v>
      </c>
      <c r="G1870" s="26">
        <v>0.23100000000000001</v>
      </c>
      <c r="H1870" s="1" t="s">
        <v>774</v>
      </c>
      <c r="I1870" s="9">
        <v>100</v>
      </c>
      <c r="J1870" s="36">
        <v>0.06</v>
      </c>
    </row>
    <row r="1871" spans="2:10" s="44" customFormat="1" x14ac:dyDescent="0.35">
      <c r="B1871" s="9">
        <v>1146307</v>
      </c>
      <c r="C1871" s="5" t="s">
        <v>960</v>
      </c>
      <c r="D1871" s="5" t="s">
        <v>3565</v>
      </c>
      <c r="E1871" s="5" t="s">
        <v>745</v>
      </c>
      <c r="F1871" s="34" t="s">
        <v>3574</v>
      </c>
      <c r="G1871" s="26">
        <v>0.23100000000000001</v>
      </c>
      <c r="H1871" s="1" t="s">
        <v>774</v>
      </c>
      <c r="I1871" s="9">
        <v>100</v>
      </c>
      <c r="J1871" s="36">
        <v>0.06</v>
      </c>
    </row>
    <row r="1872" spans="2:10" s="44" customFormat="1" x14ac:dyDescent="0.35">
      <c r="B1872" s="9">
        <v>6504001608</v>
      </c>
      <c r="C1872" s="5" t="s">
        <v>35</v>
      </c>
      <c r="D1872" s="5" t="s">
        <v>3565</v>
      </c>
      <c r="E1872" s="5" t="s">
        <v>1107</v>
      </c>
      <c r="F1872" s="34" t="s">
        <v>3574</v>
      </c>
      <c r="G1872" s="26">
        <v>0.191</v>
      </c>
      <c r="H1872" s="1" t="s">
        <v>774</v>
      </c>
      <c r="I1872" s="9">
        <v>100</v>
      </c>
      <c r="J1872" s="36">
        <v>0.06</v>
      </c>
    </row>
    <row r="1873" spans="2:10" s="44" customFormat="1" x14ac:dyDescent="0.35">
      <c r="B1873" s="9">
        <v>1146308</v>
      </c>
      <c r="C1873" s="5" t="s">
        <v>35</v>
      </c>
      <c r="D1873" s="5" t="s">
        <v>3565</v>
      </c>
      <c r="E1873" s="5" t="s">
        <v>1107</v>
      </c>
      <c r="F1873" s="34" t="s">
        <v>3574</v>
      </c>
      <c r="G1873" s="26">
        <v>0.191</v>
      </c>
      <c r="H1873" s="1" t="s">
        <v>774</v>
      </c>
      <c r="I1873" s="9">
        <v>100</v>
      </c>
      <c r="J1873" s="36">
        <v>0.06</v>
      </c>
    </row>
    <row r="1874" spans="2:10" s="44" customFormat="1" x14ac:dyDescent="0.35">
      <c r="B1874" s="9">
        <v>1146325</v>
      </c>
      <c r="C1874" s="5" t="s">
        <v>35</v>
      </c>
      <c r="D1874" s="5" t="s">
        <v>3565</v>
      </c>
      <c r="E1874" s="5" t="s">
        <v>1107</v>
      </c>
      <c r="F1874" s="34" t="s">
        <v>3574</v>
      </c>
      <c r="G1874" s="26">
        <v>0.191</v>
      </c>
      <c r="H1874" s="1" t="s">
        <v>774</v>
      </c>
      <c r="I1874" s="9">
        <v>100</v>
      </c>
      <c r="J1874" s="36">
        <v>0.06</v>
      </c>
    </row>
    <row r="1875" spans="2:10" s="44" customFormat="1" x14ac:dyDescent="0.35">
      <c r="B1875" s="9">
        <v>6504001609</v>
      </c>
      <c r="C1875" s="5" t="s">
        <v>1451</v>
      </c>
      <c r="D1875" s="5" t="s">
        <v>3565</v>
      </c>
      <c r="E1875" s="5" t="s">
        <v>1443</v>
      </c>
      <c r="F1875" s="34" t="s">
        <v>3574</v>
      </c>
      <c r="G1875" s="26">
        <v>0.126</v>
      </c>
      <c r="H1875" s="1" t="s">
        <v>774</v>
      </c>
      <c r="I1875" s="9">
        <v>100</v>
      </c>
      <c r="J1875" s="36">
        <v>0.06</v>
      </c>
    </row>
    <row r="1876" spans="2:10" s="44" customFormat="1" x14ac:dyDescent="0.35">
      <c r="B1876" s="9">
        <v>1130675</v>
      </c>
      <c r="C1876" s="5" t="s">
        <v>1451</v>
      </c>
      <c r="D1876" s="5" t="s">
        <v>3565</v>
      </c>
      <c r="E1876" s="5" t="s">
        <v>1443</v>
      </c>
      <c r="F1876" s="34" t="s">
        <v>3574</v>
      </c>
      <c r="G1876" s="26">
        <v>0.126</v>
      </c>
      <c r="H1876" s="1" t="s">
        <v>774</v>
      </c>
      <c r="I1876" s="9">
        <v>100</v>
      </c>
      <c r="J1876" s="36">
        <v>0.06</v>
      </c>
    </row>
    <row r="1877" spans="2:10" s="44" customFormat="1" x14ac:dyDescent="0.35">
      <c r="B1877" s="9">
        <v>6504001808</v>
      </c>
      <c r="C1877" s="5" t="s">
        <v>961</v>
      </c>
      <c r="D1877" s="5" t="s">
        <v>3565</v>
      </c>
      <c r="E1877" s="5" t="s">
        <v>745</v>
      </c>
      <c r="F1877" s="34" t="s">
        <v>3574</v>
      </c>
      <c r="G1877" s="26">
        <v>0.19700000000000004</v>
      </c>
      <c r="H1877" s="1" t="s">
        <v>774</v>
      </c>
      <c r="I1877" s="9">
        <v>100</v>
      </c>
      <c r="J1877" s="36">
        <v>0.06</v>
      </c>
    </row>
    <row r="1878" spans="2:10" s="44" customFormat="1" x14ac:dyDescent="0.35">
      <c r="B1878" s="9">
        <v>1146309</v>
      </c>
      <c r="C1878" s="5" t="s">
        <v>961</v>
      </c>
      <c r="D1878" s="5" t="s">
        <v>3565</v>
      </c>
      <c r="E1878" s="5" t="s">
        <v>745</v>
      </c>
      <c r="F1878" s="34" t="s">
        <v>3574</v>
      </c>
      <c r="G1878" s="26">
        <v>0.19700000000000004</v>
      </c>
      <c r="H1878" s="1" t="s">
        <v>774</v>
      </c>
      <c r="I1878" s="9">
        <v>100</v>
      </c>
      <c r="J1878" s="36">
        <v>0.06</v>
      </c>
    </row>
    <row r="1879" spans="2:10" s="44" customFormat="1" x14ac:dyDescent="0.35">
      <c r="B1879" s="9">
        <v>6504002008</v>
      </c>
      <c r="C1879" s="5" t="s">
        <v>1108</v>
      </c>
      <c r="D1879" s="5" t="s">
        <v>3565</v>
      </c>
      <c r="E1879" s="5" t="s">
        <v>745</v>
      </c>
      <c r="F1879" s="34" t="s">
        <v>3574</v>
      </c>
      <c r="G1879" s="26">
        <v>0.191</v>
      </c>
      <c r="H1879" s="1" t="s">
        <v>774</v>
      </c>
      <c r="I1879" s="9">
        <v>100</v>
      </c>
      <c r="J1879" s="36">
        <v>0.06</v>
      </c>
    </row>
    <row r="1880" spans="2:10" s="44" customFormat="1" x14ac:dyDescent="0.35">
      <c r="B1880" s="9">
        <v>1146310</v>
      </c>
      <c r="C1880" s="5" t="s">
        <v>1108</v>
      </c>
      <c r="D1880" s="5" t="s">
        <v>3565</v>
      </c>
      <c r="E1880" s="5" t="s">
        <v>745</v>
      </c>
      <c r="F1880" s="34" t="s">
        <v>3574</v>
      </c>
      <c r="G1880" s="26">
        <v>0.191</v>
      </c>
      <c r="H1880" s="1" t="s">
        <v>774</v>
      </c>
      <c r="I1880" s="9">
        <v>100</v>
      </c>
      <c r="J1880" s="36">
        <v>0.06</v>
      </c>
    </row>
    <row r="1881" spans="2:10" s="44" customFormat="1" x14ac:dyDescent="0.35">
      <c r="B1881" s="9">
        <v>6504002009</v>
      </c>
      <c r="C1881" s="5" t="s">
        <v>1667</v>
      </c>
      <c r="D1881" s="5" t="s">
        <v>3565</v>
      </c>
      <c r="E1881" s="5" t="s">
        <v>1443</v>
      </c>
      <c r="F1881" s="34" t="s">
        <v>3574</v>
      </c>
      <c r="G1881" s="26">
        <v>0.57899999999999996</v>
      </c>
      <c r="H1881" s="1" t="s">
        <v>774</v>
      </c>
      <c r="I1881" s="9">
        <v>100</v>
      </c>
      <c r="J1881" s="36">
        <v>0.06</v>
      </c>
    </row>
    <row r="1882" spans="2:10" s="44" customFormat="1" x14ac:dyDescent="0.35">
      <c r="B1882" s="9">
        <v>1146654</v>
      </c>
      <c r="C1882" s="5" t="s">
        <v>1667</v>
      </c>
      <c r="D1882" s="5" t="s">
        <v>3565</v>
      </c>
      <c r="E1882" s="5" t="s">
        <v>1443</v>
      </c>
      <c r="F1882" s="34" t="s">
        <v>3574</v>
      </c>
      <c r="G1882" s="26">
        <v>0.57899999999999996</v>
      </c>
      <c r="H1882" s="1" t="s">
        <v>774</v>
      </c>
      <c r="I1882" s="9">
        <v>100</v>
      </c>
      <c r="J1882" s="36">
        <v>0.06</v>
      </c>
    </row>
    <row r="1883" spans="2:10" s="44" customFormat="1" x14ac:dyDescent="0.35">
      <c r="B1883" s="9">
        <v>6504002208</v>
      </c>
      <c r="C1883" s="5" t="s">
        <v>1695</v>
      </c>
      <c r="D1883" s="5" t="s">
        <v>3565</v>
      </c>
      <c r="E1883" s="5" t="s">
        <v>1696</v>
      </c>
      <c r="F1883" s="34" t="s">
        <v>3574</v>
      </c>
      <c r="G1883" s="26">
        <v>0.23499999999999999</v>
      </c>
      <c r="H1883" s="1" t="s">
        <v>774</v>
      </c>
      <c r="I1883" s="9">
        <v>100</v>
      </c>
      <c r="J1883" s="36">
        <v>0.06</v>
      </c>
    </row>
    <row r="1884" spans="2:10" s="44" customFormat="1" x14ac:dyDescent="0.35">
      <c r="B1884" s="9">
        <v>1146327</v>
      </c>
      <c r="C1884" s="5" t="s">
        <v>1695</v>
      </c>
      <c r="D1884" s="5" t="s">
        <v>3565</v>
      </c>
      <c r="E1884" s="5" t="s">
        <v>1696</v>
      </c>
      <c r="F1884" s="34" t="s">
        <v>3574</v>
      </c>
      <c r="G1884" s="26">
        <v>0.23499999999999999</v>
      </c>
      <c r="H1884" s="1" t="s">
        <v>774</v>
      </c>
      <c r="I1884" s="9">
        <v>100</v>
      </c>
      <c r="J1884" s="36">
        <v>0.06</v>
      </c>
    </row>
    <row r="1885" spans="2:10" s="44" customFormat="1" x14ac:dyDescent="0.35">
      <c r="B1885" s="9">
        <v>6504002508</v>
      </c>
      <c r="C1885" s="5" t="s">
        <v>897</v>
      </c>
      <c r="D1885" s="5" t="s">
        <v>3565</v>
      </c>
      <c r="E1885" s="5" t="s">
        <v>745</v>
      </c>
      <c r="F1885" s="34" t="s">
        <v>3574</v>
      </c>
      <c r="G1885" s="26">
        <v>0.30499999999999999</v>
      </c>
      <c r="H1885" s="1" t="s">
        <v>774</v>
      </c>
      <c r="I1885" s="9">
        <v>100</v>
      </c>
      <c r="J1885" s="36">
        <v>0.06</v>
      </c>
    </row>
    <row r="1886" spans="2:10" s="44" customFormat="1" x14ac:dyDescent="0.35">
      <c r="B1886" s="9">
        <v>1146397</v>
      </c>
      <c r="C1886" s="5" t="s">
        <v>897</v>
      </c>
      <c r="D1886" s="5" t="s">
        <v>3565</v>
      </c>
      <c r="E1886" s="5" t="s">
        <v>745</v>
      </c>
      <c r="F1886" s="34" t="s">
        <v>3574</v>
      </c>
      <c r="G1886" s="26">
        <v>0.30499999999999999</v>
      </c>
      <c r="H1886" s="1" t="s">
        <v>774</v>
      </c>
      <c r="I1886" s="9">
        <v>100</v>
      </c>
      <c r="J1886" s="36">
        <v>0.06</v>
      </c>
    </row>
    <row r="1887" spans="2:10" s="44" customFormat="1" x14ac:dyDescent="0.35">
      <c r="B1887" s="9">
        <v>6504003508</v>
      </c>
      <c r="C1887" s="5" t="s">
        <v>962</v>
      </c>
      <c r="D1887" s="5" t="s">
        <v>3565</v>
      </c>
      <c r="E1887" s="5" t="s">
        <v>963</v>
      </c>
      <c r="F1887" s="34" t="s">
        <v>3574</v>
      </c>
      <c r="G1887" s="26">
        <v>0.24100000000000002</v>
      </c>
      <c r="H1887" s="1" t="s">
        <v>774</v>
      </c>
      <c r="I1887" s="9">
        <v>100</v>
      </c>
      <c r="J1887" s="36">
        <v>0.06</v>
      </c>
    </row>
    <row r="1888" spans="2:10" s="44" customFormat="1" x14ac:dyDescent="0.35">
      <c r="B1888" s="9">
        <v>1146269</v>
      </c>
      <c r="C1888" s="5" t="s">
        <v>962</v>
      </c>
      <c r="D1888" s="5" t="s">
        <v>3565</v>
      </c>
      <c r="E1888" s="5" t="s">
        <v>963</v>
      </c>
      <c r="F1888" s="34" t="s">
        <v>3574</v>
      </c>
      <c r="G1888" s="26">
        <v>0.24100000000000002</v>
      </c>
      <c r="H1888" s="1" t="s">
        <v>774</v>
      </c>
      <c r="I1888" s="9">
        <v>100</v>
      </c>
      <c r="J1888" s="36">
        <v>0.06</v>
      </c>
    </row>
    <row r="1889" spans="2:10" s="44" customFormat="1" x14ac:dyDescent="0.35">
      <c r="B1889" s="9">
        <v>6504004008</v>
      </c>
      <c r="C1889" s="5" t="s">
        <v>964</v>
      </c>
      <c r="D1889" s="5" t="s">
        <v>3565</v>
      </c>
      <c r="E1889" s="5" t="s">
        <v>963</v>
      </c>
      <c r="F1889" s="34" t="s">
        <v>3574</v>
      </c>
      <c r="G1889" s="26">
        <v>0.45899999999999996</v>
      </c>
      <c r="H1889" s="1" t="s">
        <v>774</v>
      </c>
      <c r="I1889" s="9">
        <v>100</v>
      </c>
      <c r="J1889" s="36">
        <v>0.06</v>
      </c>
    </row>
    <row r="1890" spans="2:10" s="44" customFormat="1" x14ac:dyDescent="0.35">
      <c r="B1890" s="9">
        <v>1146399</v>
      </c>
      <c r="C1890" s="5" t="s">
        <v>964</v>
      </c>
      <c r="D1890" s="5" t="s">
        <v>3565</v>
      </c>
      <c r="E1890" s="5" t="s">
        <v>963</v>
      </c>
      <c r="F1890" s="34" t="s">
        <v>3574</v>
      </c>
      <c r="G1890" s="26">
        <v>0.45899999999999996</v>
      </c>
      <c r="H1890" s="1" t="s">
        <v>774</v>
      </c>
      <c r="I1890" s="9">
        <v>100</v>
      </c>
      <c r="J1890" s="36">
        <v>0.06</v>
      </c>
    </row>
    <row r="1891" spans="2:10" s="44" customFormat="1" x14ac:dyDescent="0.35">
      <c r="B1891" s="9">
        <v>6504004508</v>
      </c>
      <c r="C1891" s="5" t="s">
        <v>965</v>
      </c>
      <c r="D1891" s="5" t="s">
        <v>3565</v>
      </c>
      <c r="E1891" s="5" t="s">
        <v>966</v>
      </c>
      <c r="F1891" s="34" t="s">
        <v>3574</v>
      </c>
      <c r="G1891" s="26">
        <v>0.45200000000000001</v>
      </c>
      <c r="H1891" s="1" t="s">
        <v>774</v>
      </c>
      <c r="I1891" s="9">
        <v>100</v>
      </c>
      <c r="J1891" s="36">
        <v>0.06</v>
      </c>
    </row>
    <row r="1892" spans="2:10" s="44" customFormat="1" x14ac:dyDescent="0.35">
      <c r="B1892" s="9">
        <v>1146317</v>
      </c>
      <c r="C1892" s="5" t="s">
        <v>965</v>
      </c>
      <c r="D1892" s="5" t="s">
        <v>3565</v>
      </c>
      <c r="E1892" s="5" t="s">
        <v>966</v>
      </c>
      <c r="F1892" s="34" t="s">
        <v>3574</v>
      </c>
      <c r="G1892" s="26">
        <v>0.45200000000000001</v>
      </c>
      <c r="H1892" s="1" t="s">
        <v>774</v>
      </c>
      <c r="I1892" s="9">
        <v>100</v>
      </c>
      <c r="J1892" s="36">
        <v>0.06</v>
      </c>
    </row>
    <row r="1893" spans="2:10" s="44" customFormat="1" x14ac:dyDescent="0.35">
      <c r="B1893" s="9">
        <v>6505000608</v>
      </c>
      <c r="C1893" s="5" t="s">
        <v>1061</v>
      </c>
      <c r="D1893" s="5" t="s">
        <v>3565</v>
      </c>
      <c r="E1893" s="5" t="s">
        <v>745</v>
      </c>
      <c r="F1893" s="34" t="s">
        <v>3574</v>
      </c>
      <c r="G1893" s="26">
        <v>0.159</v>
      </c>
      <c r="H1893" s="1" t="s">
        <v>774</v>
      </c>
      <c r="I1893" s="9">
        <v>100</v>
      </c>
      <c r="J1893" s="36">
        <v>0.06</v>
      </c>
    </row>
    <row r="1894" spans="2:10" s="44" customFormat="1" x14ac:dyDescent="0.35">
      <c r="B1894" s="9">
        <v>1146330</v>
      </c>
      <c r="C1894" s="5" t="s">
        <v>1061</v>
      </c>
      <c r="D1894" s="5" t="s">
        <v>3565</v>
      </c>
      <c r="E1894" s="5" t="s">
        <v>745</v>
      </c>
      <c r="F1894" s="34" t="s">
        <v>3574</v>
      </c>
      <c r="G1894" s="26">
        <v>0.159</v>
      </c>
      <c r="H1894" s="1" t="s">
        <v>774</v>
      </c>
      <c r="I1894" s="9">
        <v>100</v>
      </c>
      <c r="J1894" s="36">
        <v>0.06</v>
      </c>
    </row>
    <row r="1895" spans="2:10" s="44" customFormat="1" x14ac:dyDescent="0.35">
      <c r="B1895" s="9">
        <v>6505000609</v>
      </c>
      <c r="C1895" s="5" t="s">
        <v>1803</v>
      </c>
      <c r="D1895" s="5" t="s">
        <v>3565</v>
      </c>
      <c r="E1895" s="5" t="s">
        <v>1441</v>
      </c>
      <c r="F1895" s="34" t="s">
        <v>3574</v>
      </c>
      <c r="G1895" s="26">
        <v>0.28499999999999998</v>
      </c>
      <c r="H1895" s="1" t="s">
        <v>774</v>
      </c>
      <c r="I1895" s="9">
        <v>100</v>
      </c>
      <c r="J1895" s="36">
        <v>0.06</v>
      </c>
    </row>
    <row r="1896" spans="2:10" s="44" customFormat="1" x14ac:dyDescent="0.35">
      <c r="B1896" s="9">
        <v>4002247</v>
      </c>
      <c r="C1896" s="5" t="s">
        <v>1803</v>
      </c>
      <c r="D1896" s="5" t="s">
        <v>3565</v>
      </c>
      <c r="E1896" s="5" t="s">
        <v>1441</v>
      </c>
      <c r="F1896" s="34" t="s">
        <v>3574</v>
      </c>
      <c r="G1896" s="26">
        <v>0.28499999999999998</v>
      </c>
      <c r="H1896" s="1" t="s">
        <v>774</v>
      </c>
      <c r="I1896" s="9">
        <v>100</v>
      </c>
      <c r="J1896" s="36">
        <v>0.06</v>
      </c>
    </row>
    <row r="1897" spans="2:10" s="44" customFormat="1" x14ac:dyDescent="0.35">
      <c r="B1897" s="9">
        <v>6505000808</v>
      </c>
      <c r="C1897" s="5" t="s">
        <v>1109</v>
      </c>
      <c r="D1897" s="5" t="s">
        <v>3565</v>
      </c>
      <c r="E1897" s="5" t="s">
        <v>963</v>
      </c>
      <c r="F1897" s="34" t="s">
        <v>3574</v>
      </c>
      <c r="G1897" s="26">
        <v>0.18400000000000002</v>
      </c>
      <c r="H1897" s="1" t="s">
        <v>774</v>
      </c>
      <c r="I1897" s="9">
        <v>100</v>
      </c>
      <c r="J1897" s="36">
        <v>0.06</v>
      </c>
    </row>
    <row r="1898" spans="2:10" s="44" customFormat="1" x14ac:dyDescent="0.35">
      <c r="B1898" s="9">
        <v>1146331</v>
      </c>
      <c r="C1898" s="5" t="s">
        <v>1109</v>
      </c>
      <c r="D1898" s="5" t="s">
        <v>3565</v>
      </c>
      <c r="E1898" s="5" t="s">
        <v>963</v>
      </c>
      <c r="F1898" s="34" t="s">
        <v>3574</v>
      </c>
      <c r="G1898" s="26">
        <v>0.18400000000000002</v>
      </c>
      <c r="H1898" s="1" t="s">
        <v>774</v>
      </c>
      <c r="I1898" s="9">
        <v>100</v>
      </c>
      <c r="J1898" s="36">
        <v>0.06</v>
      </c>
    </row>
    <row r="1899" spans="2:10" s="44" customFormat="1" x14ac:dyDescent="0.35">
      <c r="B1899" s="9">
        <v>6505001008</v>
      </c>
      <c r="C1899" s="5" t="s">
        <v>1110</v>
      </c>
      <c r="D1899" s="5" t="s">
        <v>3565</v>
      </c>
      <c r="E1899" s="5" t="s">
        <v>745</v>
      </c>
      <c r="F1899" s="34" t="s">
        <v>3574</v>
      </c>
      <c r="G1899" s="26">
        <v>0.20400000000000001</v>
      </c>
      <c r="H1899" s="1" t="s">
        <v>774</v>
      </c>
      <c r="I1899" s="9">
        <v>100</v>
      </c>
      <c r="J1899" s="36">
        <v>0.06</v>
      </c>
    </row>
    <row r="1900" spans="2:10" s="44" customFormat="1" x14ac:dyDescent="0.35">
      <c r="B1900" s="9">
        <v>1146424</v>
      </c>
      <c r="C1900" s="5" t="s">
        <v>1110</v>
      </c>
      <c r="D1900" s="5" t="s">
        <v>3565</v>
      </c>
      <c r="E1900" s="5" t="s">
        <v>745</v>
      </c>
      <c r="F1900" s="34" t="s">
        <v>3574</v>
      </c>
      <c r="G1900" s="26">
        <v>0.20400000000000001</v>
      </c>
      <c r="H1900" s="1" t="s">
        <v>774</v>
      </c>
      <c r="I1900" s="9">
        <v>100</v>
      </c>
      <c r="J1900" s="36">
        <v>0.06</v>
      </c>
    </row>
    <row r="1901" spans="2:10" s="44" customFormat="1" x14ac:dyDescent="0.35">
      <c r="B1901" s="9">
        <v>6505001009</v>
      </c>
      <c r="C1901" s="5" t="s">
        <v>1452</v>
      </c>
      <c r="D1901" s="5" t="s">
        <v>3565</v>
      </c>
      <c r="E1901" s="5" t="s">
        <v>1443</v>
      </c>
      <c r="F1901" s="34" t="s">
        <v>3574</v>
      </c>
      <c r="G1901" s="26">
        <v>0.23300000000000001</v>
      </c>
      <c r="H1901" s="1" t="s">
        <v>774</v>
      </c>
      <c r="I1901" s="9">
        <v>100</v>
      </c>
      <c r="J1901" s="36">
        <v>0.06</v>
      </c>
    </row>
    <row r="1902" spans="2:10" s="44" customFormat="1" x14ac:dyDescent="0.35">
      <c r="B1902" s="9">
        <v>1146656</v>
      </c>
      <c r="C1902" s="5" t="s">
        <v>1452</v>
      </c>
      <c r="D1902" s="5" t="s">
        <v>3565</v>
      </c>
      <c r="E1902" s="5" t="s">
        <v>1443</v>
      </c>
      <c r="F1902" s="34" t="s">
        <v>3574</v>
      </c>
      <c r="G1902" s="26">
        <v>0.23300000000000001</v>
      </c>
      <c r="H1902" s="1" t="s">
        <v>774</v>
      </c>
      <c r="I1902" s="9">
        <v>100</v>
      </c>
      <c r="J1902" s="36">
        <v>0.06</v>
      </c>
    </row>
    <row r="1903" spans="2:10" s="44" customFormat="1" x14ac:dyDescent="0.35">
      <c r="B1903" s="9">
        <v>6505001203</v>
      </c>
      <c r="C1903" s="5" t="s">
        <v>1131</v>
      </c>
      <c r="D1903" s="5" t="s">
        <v>3565</v>
      </c>
      <c r="E1903" s="5" t="s">
        <v>917</v>
      </c>
      <c r="F1903" s="34" t="s">
        <v>3574</v>
      </c>
      <c r="G1903" s="26">
        <v>0.158</v>
      </c>
      <c r="H1903" s="1" t="s">
        <v>774</v>
      </c>
      <c r="I1903" s="9">
        <v>100</v>
      </c>
      <c r="J1903" s="36">
        <v>0.06</v>
      </c>
    </row>
    <row r="1904" spans="2:10" s="44" customFormat="1" x14ac:dyDescent="0.35">
      <c r="B1904" s="9">
        <v>1146092</v>
      </c>
      <c r="C1904" s="5" t="s">
        <v>1131</v>
      </c>
      <c r="D1904" s="5" t="s">
        <v>3565</v>
      </c>
      <c r="E1904" s="5" t="s">
        <v>917</v>
      </c>
      <c r="F1904" s="34" t="s">
        <v>3574</v>
      </c>
      <c r="G1904" s="26">
        <v>0.158</v>
      </c>
      <c r="H1904" s="1" t="s">
        <v>774</v>
      </c>
      <c r="I1904" s="9">
        <v>100</v>
      </c>
      <c r="J1904" s="36">
        <v>0.06</v>
      </c>
    </row>
    <row r="1905" spans="2:10" s="44" customFormat="1" x14ac:dyDescent="0.35">
      <c r="B1905" s="9">
        <v>6505001208</v>
      </c>
      <c r="C1905" s="5" t="s">
        <v>660</v>
      </c>
      <c r="D1905" s="5" t="s">
        <v>3565</v>
      </c>
      <c r="E1905" s="5" t="s">
        <v>745</v>
      </c>
      <c r="F1905" s="34" t="s">
        <v>3574</v>
      </c>
      <c r="G1905" s="26">
        <v>0.23300000000000001</v>
      </c>
      <c r="H1905" s="1" t="s">
        <v>774</v>
      </c>
      <c r="I1905" s="9">
        <v>100</v>
      </c>
      <c r="J1905" s="36">
        <v>0.06</v>
      </c>
    </row>
    <row r="1906" spans="2:10" s="44" customFormat="1" x14ac:dyDescent="0.35">
      <c r="B1906" s="9">
        <v>1146356</v>
      </c>
      <c r="C1906" s="5" t="s">
        <v>660</v>
      </c>
      <c r="D1906" s="5" t="s">
        <v>3565</v>
      </c>
      <c r="E1906" s="5" t="s">
        <v>745</v>
      </c>
      <c r="F1906" s="34" t="s">
        <v>3574</v>
      </c>
      <c r="G1906" s="26">
        <v>0.23300000000000001</v>
      </c>
      <c r="H1906" s="1" t="s">
        <v>774</v>
      </c>
      <c r="I1906" s="9">
        <v>100</v>
      </c>
      <c r="J1906" s="36">
        <v>0.06</v>
      </c>
    </row>
    <row r="1907" spans="2:10" s="44" customFormat="1" x14ac:dyDescent="0.35">
      <c r="B1907" s="9">
        <v>6505001408</v>
      </c>
      <c r="C1907" s="5" t="s">
        <v>968</v>
      </c>
      <c r="D1907" s="5" t="s">
        <v>3565</v>
      </c>
      <c r="E1907" s="5" t="s">
        <v>745</v>
      </c>
      <c r="F1907" s="34" t="s">
        <v>3574</v>
      </c>
      <c r="G1907" s="26">
        <v>0.30299999999999999</v>
      </c>
      <c r="H1907" s="1" t="s">
        <v>774</v>
      </c>
      <c r="I1907" s="9">
        <v>100</v>
      </c>
      <c r="J1907" s="36">
        <v>0.06</v>
      </c>
    </row>
    <row r="1908" spans="2:10" s="44" customFormat="1" x14ac:dyDescent="0.35">
      <c r="B1908" s="9">
        <v>1146335</v>
      </c>
      <c r="C1908" s="5" t="s">
        <v>968</v>
      </c>
      <c r="D1908" s="5" t="s">
        <v>3565</v>
      </c>
      <c r="E1908" s="5" t="s">
        <v>745</v>
      </c>
      <c r="F1908" s="34" t="s">
        <v>3574</v>
      </c>
      <c r="G1908" s="26">
        <v>0.30299999999999999</v>
      </c>
      <c r="H1908" s="1" t="s">
        <v>774</v>
      </c>
      <c r="I1908" s="9">
        <v>100</v>
      </c>
      <c r="J1908" s="36">
        <v>0.06</v>
      </c>
    </row>
    <row r="1909" spans="2:10" s="44" customFormat="1" x14ac:dyDescent="0.35">
      <c r="B1909" s="9">
        <v>6505001608</v>
      </c>
      <c r="C1909" s="5" t="s">
        <v>648</v>
      </c>
      <c r="D1909" s="5" t="s">
        <v>3565</v>
      </c>
      <c r="E1909" s="5" t="s">
        <v>745</v>
      </c>
      <c r="F1909" s="34" t="s">
        <v>3574</v>
      </c>
      <c r="G1909" s="26">
        <v>0.22900000000000001</v>
      </c>
      <c r="H1909" s="1" t="s">
        <v>774</v>
      </c>
      <c r="I1909" s="9">
        <v>100</v>
      </c>
      <c r="J1909" s="36">
        <v>0.06</v>
      </c>
    </row>
    <row r="1910" spans="2:10" s="44" customFormat="1" x14ac:dyDescent="0.35">
      <c r="B1910" s="9">
        <v>1146425</v>
      </c>
      <c r="C1910" s="5" t="s">
        <v>648</v>
      </c>
      <c r="D1910" s="5" t="s">
        <v>3565</v>
      </c>
      <c r="E1910" s="5" t="s">
        <v>745</v>
      </c>
      <c r="F1910" s="34" t="s">
        <v>3574</v>
      </c>
      <c r="G1910" s="26">
        <v>0.22900000000000001</v>
      </c>
      <c r="H1910" s="1" t="s">
        <v>774</v>
      </c>
      <c r="I1910" s="9">
        <v>100</v>
      </c>
      <c r="J1910" s="36">
        <v>0.06</v>
      </c>
    </row>
    <row r="1911" spans="2:10" s="44" customFormat="1" x14ac:dyDescent="0.35">
      <c r="B1911" s="9">
        <v>6505001609</v>
      </c>
      <c r="C1911" s="5" t="s">
        <v>1455</v>
      </c>
      <c r="D1911" s="5" t="s">
        <v>3565</v>
      </c>
      <c r="E1911" s="5" t="s">
        <v>1441</v>
      </c>
      <c r="F1911" s="34" t="s">
        <v>3574</v>
      </c>
      <c r="G1911" s="26">
        <v>0.17100000000000001</v>
      </c>
      <c r="H1911" s="1" t="s">
        <v>774</v>
      </c>
      <c r="I1911" s="9">
        <v>100</v>
      </c>
      <c r="J1911" s="36">
        <v>0.06</v>
      </c>
    </row>
    <row r="1912" spans="2:10" s="44" customFormat="1" x14ac:dyDescent="0.35">
      <c r="B1912" s="9">
        <v>1130676</v>
      </c>
      <c r="C1912" s="5" t="s">
        <v>1455</v>
      </c>
      <c r="D1912" s="5" t="s">
        <v>3565</v>
      </c>
      <c r="E1912" s="5" t="s">
        <v>1441</v>
      </c>
      <c r="F1912" s="34" t="s">
        <v>3574</v>
      </c>
      <c r="G1912" s="26">
        <v>0.17100000000000001</v>
      </c>
      <c r="H1912" s="1" t="s">
        <v>774</v>
      </c>
      <c r="I1912" s="9">
        <v>100</v>
      </c>
      <c r="J1912" s="36">
        <v>0.06</v>
      </c>
    </row>
    <row r="1913" spans="2:10" s="44" customFormat="1" x14ac:dyDescent="0.35">
      <c r="B1913" s="9">
        <v>6505001808</v>
      </c>
      <c r="C1913" s="5" t="s">
        <v>969</v>
      </c>
      <c r="D1913" s="5" t="s">
        <v>3565</v>
      </c>
      <c r="E1913" s="5" t="s">
        <v>745</v>
      </c>
      <c r="F1913" s="34" t="s">
        <v>3574</v>
      </c>
      <c r="G1913" s="26">
        <v>0.26300000000000001</v>
      </c>
      <c r="H1913" s="1" t="s">
        <v>774</v>
      </c>
      <c r="I1913" s="9">
        <v>100</v>
      </c>
      <c r="J1913" s="36">
        <v>0.06</v>
      </c>
    </row>
    <row r="1914" spans="2:10" s="44" customFormat="1" x14ac:dyDescent="0.35">
      <c r="B1914" s="9">
        <v>1146337</v>
      </c>
      <c r="C1914" s="5" t="s">
        <v>969</v>
      </c>
      <c r="D1914" s="5" t="s">
        <v>3565</v>
      </c>
      <c r="E1914" s="5" t="s">
        <v>745</v>
      </c>
      <c r="F1914" s="34" t="s">
        <v>3574</v>
      </c>
      <c r="G1914" s="26">
        <v>0.26300000000000001</v>
      </c>
      <c r="H1914" s="1" t="s">
        <v>774</v>
      </c>
      <c r="I1914" s="9">
        <v>100</v>
      </c>
      <c r="J1914" s="36">
        <v>0.06</v>
      </c>
    </row>
    <row r="1915" spans="2:10" s="44" customFormat="1" x14ac:dyDescent="0.35">
      <c r="B1915" s="9">
        <v>6505002008</v>
      </c>
      <c r="C1915" s="5" t="s">
        <v>1111</v>
      </c>
      <c r="D1915" s="5" t="s">
        <v>3565</v>
      </c>
      <c r="E1915" s="5" t="s">
        <v>745</v>
      </c>
      <c r="F1915" s="34" t="s">
        <v>3574</v>
      </c>
      <c r="G1915" s="26">
        <v>0.2</v>
      </c>
      <c r="H1915" s="1" t="s">
        <v>774</v>
      </c>
      <c r="I1915" s="9">
        <v>100</v>
      </c>
      <c r="J1915" s="36">
        <v>0.06</v>
      </c>
    </row>
    <row r="1916" spans="2:10" s="44" customFormat="1" x14ac:dyDescent="0.35">
      <c r="B1916" s="9">
        <v>1146338</v>
      </c>
      <c r="C1916" s="5" t="s">
        <v>1111</v>
      </c>
      <c r="D1916" s="5" t="s">
        <v>3565</v>
      </c>
      <c r="E1916" s="5" t="s">
        <v>745</v>
      </c>
      <c r="F1916" s="34" t="s">
        <v>3574</v>
      </c>
      <c r="G1916" s="26">
        <v>0.2</v>
      </c>
      <c r="H1916" s="1" t="s">
        <v>774</v>
      </c>
      <c r="I1916" s="9">
        <v>100</v>
      </c>
      <c r="J1916" s="36">
        <v>0.06</v>
      </c>
    </row>
    <row r="1917" spans="2:10" s="44" customFormat="1" x14ac:dyDescent="0.35">
      <c r="B1917" s="9">
        <v>6505002009</v>
      </c>
      <c r="C1917" s="5" t="s">
        <v>1456</v>
      </c>
      <c r="D1917" s="5" t="s">
        <v>3565</v>
      </c>
      <c r="E1917" s="5" t="s">
        <v>1441</v>
      </c>
      <c r="F1917" s="34" t="s">
        <v>3574</v>
      </c>
      <c r="G1917" s="26">
        <v>0.86899999999999988</v>
      </c>
      <c r="H1917" s="1" t="s">
        <v>774</v>
      </c>
      <c r="I1917" s="9">
        <v>100</v>
      </c>
      <c r="J1917" s="36">
        <v>0.06</v>
      </c>
    </row>
    <row r="1918" spans="2:10" s="44" customFormat="1" x14ac:dyDescent="0.35">
      <c r="B1918" s="9">
        <v>1146657</v>
      </c>
      <c r="C1918" s="5" t="s">
        <v>1456</v>
      </c>
      <c r="D1918" s="5" t="s">
        <v>3565</v>
      </c>
      <c r="E1918" s="5" t="s">
        <v>1441</v>
      </c>
      <c r="F1918" s="34" t="s">
        <v>3574</v>
      </c>
      <c r="G1918" s="26">
        <v>0.86899999999999988</v>
      </c>
      <c r="H1918" s="1" t="s">
        <v>774</v>
      </c>
      <c r="I1918" s="9">
        <v>100</v>
      </c>
      <c r="J1918" s="36">
        <v>0.06</v>
      </c>
    </row>
    <row r="1919" spans="2:10" s="44" customFormat="1" x14ac:dyDescent="0.35">
      <c r="B1919" s="9">
        <v>6505002508</v>
      </c>
      <c r="C1919" s="5" t="s">
        <v>1112</v>
      </c>
      <c r="D1919" s="5" t="s">
        <v>3565</v>
      </c>
      <c r="E1919" s="5" t="s">
        <v>745</v>
      </c>
      <c r="F1919" s="34" t="s">
        <v>3574</v>
      </c>
      <c r="G1919" s="26">
        <v>0.19400000000000003</v>
      </c>
      <c r="H1919" s="1" t="s">
        <v>774</v>
      </c>
      <c r="I1919" s="9">
        <v>100</v>
      </c>
      <c r="J1919" s="36">
        <v>0.06</v>
      </c>
    </row>
    <row r="1920" spans="2:10" s="44" customFormat="1" x14ac:dyDescent="0.35">
      <c r="B1920" s="9">
        <v>1146427</v>
      </c>
      <c r="C1920" s="5" t="s">
        <v>1112</v>
      </c>
      <c r="D1920" s="5" t="s">
        <v>3565</v>
      </c>
      <c r="E1920" s="5" t="s">
        <v>745</v>
      </c>
      <c r="F1920" s="34" t="s">
        <v>3574</v>
      </c>
      <c r="G1920" s="26">
        <v>0.19400000000000003</v>
      </c>
      <c r="H1920" s="1" t="s">
        <v>774</v>
      </c>
      <c r="I1920" s="9">
        <v>100</v>
      </c>
      <c r="J1920" s="36">
        <v>0.06</v>
      </c>
    </row>
    <row r="1921" spans="2:10" s="44" customFormat="1" x14ac:dyDescent="0.35">
      <c r="B1921" s="9">
        <v>6505003508</v>
      </c>
      <c r="C1921" s="5" t="s">
        <v>1545</v>
      </c>
      <c r="D1921" s="5" t="s">
        <v>3565</v>
      </c>
      <c r="E1921" s="5" t="s">
        <v>963</v>
      </c>
      <c r="F1921" s="34" t="s">
        <v>3574</v>
      </c>
      <c r="G1921" s="26">
        <v>0.51</v>
      </c>
      <c r="H1921" s="1" t="s">
        <v>774</v>
      </c>
      <c r="I1921" s="9">
        <v>100</v>
      </c>
      <c r="J1921" s="36">
        <v>0.06</v>
      </c>
    </row>
    <row r="1922" spans="2:10" s="44" customFormat="1" x14ac:dyDescent="0.35">
      <c r="B1922" s="9">
        <v>1146341</v>
      </c>
      <c r="C1922" s="5" t="s">
        <v>1545</v>
      </c>
      <c r="D1922" s="5" t="s">
        <v>3565</v>
      </c>
      <c r="E1922" s="5" t="s">
        <v>963</v>
      </c>
      <c r="F1922" s="34" t="s">
        <v>3574</v>
      </c>
      <c r="G1922" s="26">
        <v>0.51</v>
      </c>
      <c r="H1922" s="1" t="s">
        <v>774</v>
      </c>
      <c r="I1922" s="9">
        <v>100</v>
      </c>
      <c r="J1922" s="36">
        <v>0.06</v>
      </c>
    </row>
    <row r="1923" spans="2:10" s="44" customFormat="1" x14ac:dyDescent="0.35">
      <c r="B1923" s="9">
        <v>6505004008</v>
      </c>
      <c r="C1923" s="5" t="s">
        <v>1546</v>
      </c>
      <c r="D1923" s="5" t="s">
        <v>3565</v>
      </c>
      <c r="E1923" s="5" t="s">
        <v>963</v>
      </c>
      <c r="F1923" s="34" t="s">
        <v>3574</v>
      </c>
      <c r="G1923" s="26">
        <v>0.48499999999999999</v>
      </c>
      <c r="H1923" s="1" t="s">
        <v>774</v>
      </c>
      <c r="I1923" s="9">
        <v>100</v>
      </c>
      <c r="J1923" s="36">
        <v>0.06</v>
      </c>
    </row>
    <row r="1924" spans="2:10" s="44" customFormat="1" x14ac:dyDescent="0.35">
      <c r="B1924" s="9">
        <v>1146429</v>
      </c>
      <c r="C1924" s="5" t="s">
        <v>1546</v>
      </c>
      <c r="D1924" s="5" t="s">
        <v>3565</v>
      </c>
      <c r="E1924" s="5" t="s">
        <v>963</v>
      </c>
      <c r="F1924" s="34" t="s">
        <v>3574</v>
      </c>
      <c r="G1924" s="26">
        <v>0.48499999999999999</v>
      </c>
      <c r="H1924" s="1" t="s">
        <v>774</v>
      </c>
      <c r="I1924" s="9">
        <v>100</v>
      </c>
      <c r="J1924" s="36">
        <v>0.06</v>
      </c>
    </row>
    <row r="1925" spans="2:10" s="44" customFormat="1" x14ac:dyDescent="0.35">
      <c r="B1925" s="9">
        <v>6505006008</v>
      </c>
      <c r="C1925" s="5" t="s">
        <v>2141</v>
      </c>
      <c r="D1925" s="5" t="s">
        <v>3565</v>
      </c>
      <c r="E1925" s="5" t="s">
        <v>2142</v>
      </c>
      <c r="F1925" s="34" t="s">
        <v>3574</v>
      </c>
      <c r="G1925" s="26">
        <v>0.97699999999999987</v>
      </c>
      <c r="H1925" s="1" t="s">
        <v>774</v>
      </c>
      <c r="I1925" s="9">
        <v>100</v>
      </c>
      <c r="J1925" s="36">
        <v>0.06</v>
      </c>
    </row>
    <row r="1926" spans="2:10" s="44" customFormat="1" x14ac:dyDescent="0.35">
      <c r="B1926" s="9">
        <v>1146347</v>
      </c>
      <c r="C1926" s="5" t="s">
        <v>2141</v>
      </c>
      <c r="D1926" s="5" t="s">
        <v>3565</v>
      </c>
      <c r="E1926" s="5" t="s">
        <v>2142</v>
      </c>
      <c r="F1926" s="34" t="s">
        <v>3574</v>
      </c>
      <c r="G1926" s="26">
        <v>0.97699999999999987</v>
      </c>
      <c r="H1926" s="1" t="s">
        <v>774</v>
      </c>
      <c r="I1926" s="9">
        <v>100</v>
      </c>
      <c r="J1926" s="36">
        <v>0.06</v>
      </c>
    </row>
    <row r="1927" spans="2:10" s="44" customFormat="1" x14ac:dyDescent="0.35">
      <c r="B1927" s="9">
        <v>6506001008</v>
      </c>
      <c r="C1927" s="5" t="s">
        <v>1114</v>
      </c>
      <c r="D1927" s="5" t="s">
        <v>3565</v>
      </c>
      <c r="E1927" s="5" t="s">
        <v>745</v>
      </c>
      <c r="F1927" s="34" t="s">
        <v>3574</v>
      </c>
      <c r="G1927" s="26">
        <v>0.35100000000000003</v>
      </c>
      <c r="H1927" s="1" t="s">
        <v>774</v>
      </c>
      <c r="I1927" s="9">
        <v>100</v>
      </c>
      <c r="J1927" s="36">
        <v>0.06</v>
      </c>
    </row>
    <row r="1928" spans="2:10" s="44" customFormat="1" x14ac:dyDescent="0.35">
      <c r="B1928" s="9">
        <v>1146464</v>
      </c>
      <c r="C1928" s="5" t="s">
        <v>1114</v>
      </c>
      <c r="D1928" s="5" t="s">
        <v>3565</v>
      </c>
      <c r="E1928" s="5" t="s">
        <v>745</v>
      </c>
      <c r="F1928" s="34" t="s">
        <v>3574</v>
      </c>
      <c r="G1928" s="26">
        <v>0.35100000000000003</v>
      </c>
      <c r="H1928" s="1" t="s">
        <v>774</v>
      </c>
      <c r="I1928" s="9">
        <v>100</v>
      </c>
      <c r="J1928" s="36">
        <v>0.06</v>
      </c>
    </row>
    <row r="1929" spans="2:10" s="44" customFormat="1" x14ac:dyDescent="0.35">
      <c r="B1929" s="9">
        <v>6506001009</v>
      </c>
      <c r="C1929" s="5" t="s">
        <v>1457</v>
      </c>
      <c r="D1929" s="5" t="s">
        <v>3565</v>
      </c>
      <c r="E1929" s="5" t="s">
        <v>1443</v>
      </c>
      <c r="F1929" s="34" t="s">
        <v>3574</v>
      </c>
      <c r="G1929" s="26">
        <v>0.24700000000000003</v>
      </c>
      <c r="H1929" s="1" t="s">
        <v>774</v>
      </c>
      <c r="I1929" s="9">
        <v>100</v>
      </c>
      <c r="J1929" s="36">
        <v>0.06</v>
      </c>
    </row>
    <row r="1930" spans="2:10" s="44" customFormat="1" x14ac:dyDescent="0.35">
      <c r="B1930" s="9">
        <v>1146660</v>
      </c>
      <c r="C1930" s="5" t="s">
        <v>1457</v>
      </c>
      <c r="D1930" s="5" t="s">
        <v>3565</v>
      </c>
      <c r="E1930" s="5" t="s">
        <v>1443</v>
      </c>
      <c r="F1930" s="34" t="s">
        <v>3574</v>
      </c>
      <c r="G1930" s="26">
        <v>0.24700000000000003</v>
      </c>
      <c r="H1930" s="1" t="s">
        <v>774</v>
      </c>
      <c r="I1930" s="9">
        <v>100</v>
      </c>
      <c r="J1930" s="36">
        <v>0.06</v>
      </c>
    </row>
    <row r="1931" spans="2:10" s="44" customFormat="1" x14ac:dyDescent="0.35">
      <c r="B1931" s="9">
        <v>6506001208</v>
      </c>
      <c r="C1931" s="5" t="s">
        <v>840</v>
      </c>
      <c r="D1931" s="5" t="s">
        <v>3565</v>
      </c>
      <c r="E1931" s="5" t="s">
        <v>963</v>
      </c>
      <c r="F1931" s="34" t="s">
        <v>3574</v>
      </c>
      <c r="G1931" s="26">
        <v>0.53900000000000003</v>
      </c>
      <c r="H1931" s="1" t="s">
        <v>774</v>
      </c>
      <c r="I1931" s="9">
        <v>100</v>
      </c>
      <c r="J1931" s="36">
        <v>0.06</v>
      </c>
    </row>
    <row r="1932" spans="2:10" s="44" customFormat="1" x14ac:dyDescent="0.35">
      <c r="B1932" s="9">
        <v>1146594</v>
      </c>
      <c r="C1932" s="5" t="s">
        <v>840</v>
      </c>
      <c r="D1932" s="5" t="s">
        <v>3565</v>
      </c>
      <c r="E1932" s="5" t="s">
        <v>963</v>
      </c>
      <c r="F1932" s="34" t="s">
        <v>3574</v>
      </c>
      <c r="G1932" s="26">
        <v>0.53900000000000003</v>
      </c>
      <c r="H1932" s="1" t="s">
        <v>774</v>
      </c>
      <c r="I1932" s="9">
        <v>100</v>
      </c>
      <c r="J1932" s="36">
        <v>0.06</v>
      </c>
    </row>
    <row r="1933" spans="2:10" s="44" customFormat="1" x14ac:dyDescent="0.35">
      <c r="B1933" s="9">
        <v>6506001608</v>
      </c>
      <c r="C1933" s="5" t="s">
        <v>842</v>
      </c>
      <c r="D1933" s="5" t="s">
        <v>3565</v>
      </c>
      <c r="E1933" s="5" t="s">
        <v>745</v>
      </c>
      <c r="F1933" s="34" t="s">
        <v>3574</v>
      </c>
      <c r="G1933" s="26">
        <v>0.32500000000000001</v>
      </c>
      <c r="H1933" s="1" t="s">
        <v>774</v>
      </c>
      <c r="I1933" s="9">
        <v>100</v>
      </c>
      <c r="J1933" s="36">
        <v>0.06</v>
      </c>
    </row>
    <row r="1934" spans="2:10" s="44" customFormat="1" x14ac:dyDescent="0.35">
      <c r="B1934" s="9">
        <v>1146468</v>
      </c>
      <c r="C1934" s="5" t="s">
        <v>842</v>
      </c>
      <c r="D1934" s="5" t="s">
        <v>3565</v>
      </c>
      <c r="E1934" s="5" t="s">
        <v>745</v>
      </c>
      <c r="F1934" s="34" t="s">
        <v>3574</v>
      </c>
      <c r="G1934" s="26">
        <v>0.32500000000000001</v>
      </c>
      <c r="H1934" s="1" t="s">
        <v>774</v>
      </c>
      <c r="I1934" s="9">
        <v>100</v>
      </c>
      <c r="J1934" s="36">
        <v>0.06</v>
      </c>
    </row>
    <row r="1935" spans="2:10" s="44" customFormat="1" x14ac:dyDescent="0.35">
      <c r="B1935" s="9">
        <v>6506001609</v>
      </c>
      <c r="C1935" s="5" t="s">
        <v>1459</v>
      </c>
      <c r="D1935" s="5" t="s">
        <v>3565</v>
      </c>
      <c r="E1935" s="5" t="s">
        <v>1443</v>
      </c>
      <c r="F1935" s="34" t="s">
        <v>3574</v>
      </c>
      <c r="G1935" s="26">
        <v>0.27700000000000002</v>
      </c>
      <c r="H1935" s="1" t="s">
        <v>774</v>
      </c>
      <c r="I1935" s="9">
        <v>100</v>
      </c>
      <c r="J1935" s="36">
        <v>0.06</v>
      </c>
    </row>
    <row r="1936" spans="2:10" s="44" customFormat="1" x14ac:dyDescent="0.35">
      <c r="B1936" s="9">
        <v>1130677</v>
      </c>
      <c r="C1936" s="5" t="s">
        <v>1459</v>
      </c>
      <c r="D1936" s="5" t="s">
        <v>3565</v>
      </c>
      <c r="E1936" s="5" t="s">
        <v>1443</v>
      </c>
      <c r="F1936" s="34" t="s">
        <v>3574</v>
      </c>
      <c r="G1936" s="26">
        <v>0.27700000000000002</v>
      </c>
      <c r="H1936" s="1" t="s">
        <v>774</v>
      </c>
      <c r="I1936" s="9">
        <v>100</v>
      </c>
      <c r="J1936" s="36">
        <v>0.06</v>
      </c>
    </row>
    <row r="1937" spans="2:10" s="44" customFormat="1" x14ac:dyDescent="0.35">
      <c r="B1937" s="9">
        <v>6506001808</v>
      </c>
      <c r="C1937" s="5" t="s">
        <v>1562</v>
      </c>
      <c r="D1937" s="5" t="s">
        <v>3565</v>
      </c>
      <c r="E1937" s="5" t="s">
        <v>900</v>
      </c>
      <c r="F1937" s="34" t="s">
        <v>3574</v>
      </c>
      <c r="G1937" s="26">
        <v>0.36599999999999999</v>
      </c>
      <c r="H1937" s="1" t="s">
        <v>774</v>
      </c>
      <c r="I1937" s="9">
        <v>100</v>
      </c>
      <c r="J1937" s="36">
        <v>0.06</v>
      </c>
    </row>
    <row r="1938" spans="2:10" s="44" customFormat="1" x14ac:dyDescent="0.35">
      <c r="B1938" s="9">
        <v>4000021</v>
      </c>
      <c r="C1938" s="5" t="s">
        <v>1562</v>
      </c>
      <c r="D1938" s="5" t="s">
        <v>3565</v>
      </c>
      <c r="E1938" s="5" t="s">
        <v>900</v>
      </c>
      <c r="F1938" s="34" t="s">
        <v>3574</v>
      </c>
      <c r="G1938" s="26">
        <v>0.36599999999999999</v>
      </c>
      <c r="H1938" s="1" t="s">
        <v>774</v>
      </c>
      <c r="I1938" s="9">
        <v>100</v>
      </c>
      <c r="J1938" s="36">
        <v>0.06</v>
      </c>
    </row>
    <row r="1939" spans="2:10" s="44" customFormat="1" x14ac:dyDescent="0.35">
      <c r="B1939" s="9">
        <v>6506002008</v>
      </c>
      <c r="C1939" s="5" t="s">
        <v>843</v>
      </c>
      <c r="D1939" s="5" t="s">
        <v>3565</v>
      </c>
      <c r="E1939" s="5" t="s">
        <v>745</v>
      </c>
      <c r="F1939" s="34" t="s">
        <v>3574</v>
      </c>
      <c r="G1939" s="26">
        <v>0.47</v>
      </c>
      <c r="H1939" s="1" t="s">
        <v>774</v>
      </c>
      <c r="I1939" s="9">
        <v>100</v>
      </c>
      <c r="J1939" s="36">
        <v>0.06</v>
      </c>
    </row>
    <row r="1940" spans="2:10" s="44" customFormat="1" x14ac:dyDescent="0.35">
      <c r="B1940" s="9">
        <v>1146465</v>
      </c>
      <c r="C1940" s="5" t="s">
        <v>843</v>
      </c>
      <c r="D1940" s="5" t="s">
        <v>3565</v>
      </c>
      <c r="E1940" s="5" t="s">
        <v>745</v>
      </c>
      <c r="F1940" s="34" t="s">
        <v>3574</v>
      </c>
      <c r="G1940" s="26">
        <v>0.47</v>
      </c>
      <c r="H1940" s="1" t="s">
        <v>774</v>
      </c>
      <c r="I1940" s="9">
        <v>100</v>
      </c>
      <c r="J1940" s="36">
        <v>0.06</v>
      </c>
    </row>
    <row r="1941" spans="2:10" s="44" customFormat="1" x14ac:dyDescent="0.35">
      <c r="B1941" s="9">
        <v>6506002208</v>
      </c>
      <c r="C1941" s="5" t="s">
        <v>1563</v>
      </c>
      <c r="D1941" s="5" t="s">
        <v>3565</v>
      </c>
      <c r="E1941" s="5" t="s">
        <v>745</v>
      </c>
      <c r="F1941" s="34" t="s">
        <v>3574</v>
      </c>
      <c r="G1941" s="26">
        <v>0.45600000000000002</v>
      </c>
      <c r="H1941" s="1" t="s">
        <v>774</v>
      </c>
      <c r="I1941" s="9">
        <v>200</v>
      </c>
      <c r="J1941" s="36">
        <v>0.06</v>
      </c>
    </row>
    <row r="1942" spans="2:10" s="44" customFormat="1" x14ac:dyDescent="0.35">
      <c r="B1942" s="9">
        <v>4000022</v>
      </c>
      <c r="C1942" s="5" t="s">
        <v>1563</v>
      </c>
      <c r="D1942" s="5" t="s">
        <v>3565</v>
      </c>
      <c r="E1942" s="5" t="s">
        <v>745</v>
      </c>
      <c r="F1942" s="34" t="s">
        <v>3574</v>
      </c>
      <c r="G1942" s="26">
        <v>0.45600000000000002</v>
      </c>
      <c r="H1942" s="1" t="s">
        <v>774</v>
      </c>
      <c r="I1942" s="9">
        <v>200</v>
      </c>
      <c r="J1942" s="36">
        <v>0.06</v>
      </c>
    </row>
    <row r="1943" spans="2:10" s="44" customFormat="1" x14ac:dyDescent="0.35">
      <c r="B1943" s="9">
        <v>6506002507</v>
      </c>
      <c r="C1943" s="5" t="s">
        <v>1173</v>
      </c>
      <c r="D1943" s="5" t="s">
        <v>3565</v>
      </c>
      <c r="E1943" s="5" t="s">
        <v>1172</v>
      </c>
      <c r="F1943" s="34" t="s">
        <v>3574</v>
      </c>
      <c r="G1943" s="26">
        <v>0.53900000000000003</v>
      </c>
      <c r="H1943" s="1" t="s">
        <v>774</v>
      </c>
      <c r="I1943" s="9">
        <v>100</v>
      </c>
      <c r="J1943" s="36">
        <v>0.06</v>
      </c>
    </row>
    <row r="1944" spans="2:10" s="44" customFormat="1" x14ac:dyDescent="0.35">
      <c r="B1944" s="9">
        <v>1130397</v>
      </c>
      <c r="C1944" s="5" t="s">
        <v>1173</v>
      </c>
      <c r="D1944" s="5" t="s">
        <v>3565</v>
      </c>
      <c r="E1944" s="5" t="s">
        <v>1172</v>
      </c>
      <c r="F1944" s="34" t="s">
        <v>3574</v>
      </c>
      <c r="G1944" s="26">
        <v>0.53900000000000003</v>
      </c>
      <c r="H1944" s="1" t="s">
        <v>774</v>
      </c>
      <c r="I1944" s="9">
        <v>100</v>
      </c>
      <c r="J1944" s="36">
        <v>0.06</v>
      </c>
    </row>
    <row r="1945" spans="2:10" s="44" customFormat="1" x14ac:dyDescent="0.35">
      <c r="B1945" s="9">
        <v>6506002508</v>
      </c>
      <c r="C1945" s="5" t="s">
        <v>1115</v>
      </c>
      <c r="D1945" s="5" t="s">
        <v>3565</v>
      </c>
      <c r="E1945" s="5" t="s">
        <v>745</v>
      </c>
      <c r="F1945" s="34" t="s">
        <v>3574</v>
      </c>
      <c r="G1945" s="26">
        <v>0.53600000000000003</v>
      </c>
      <c r="H1945" s="1" t="s">
        <v>774</v>
      </c>
      <c r="I1945" s="9">
        <v>100</v>
      </c>
      <c r="J1945" s="36">
        <v>0.06</v>
      </c>
    </row>
    <row r="1946" spans="2:10" s="44" customFormat="1" x14ac:dyDescent="0.35">
      <c r="B1946" s="9">
        <v>4000023</v>
      </c>
      <c r="C1946" s="5" t="s">
        <v>1115</v>
      </c>
      <c r="D1946" s="5" t="s">
        <v>3565</v>
      </c>
      <c r="E1946" s="5" t="s">
        <v>745</v>
      </c>
      <c r="F1946" s="34" t="s">
        <v>3574</v>
      </c>
      <c r="G1946" s="26">
        <v>0.53600000000000003</v>
      </c>
      <c r="H1946" s="1" t="s">
        <v>774</v>
      </c>
      <c r="I1946" s="9">
        <v>100</v>
      </c>
      <c r="J1946" s="36">
        <v>0.06</v>
      </c>
    </row>
    <row r="1947" spans="2:10" s="44" customFormat="1" x14ac:dyDescent="0.35">
      <c r="B1947" s="9">
        <v>6506003008</v>
      </c>
      <c r="C1947" s="5" t="s">
        <v>898</v>
      </c>
      <c r="D1947" s="5" t="s">
        <v>3565</v>
      </c>
      <c r="E1947" s="5" t="s">
        <v>745</v>
      </c>
      <c r="F1947" s="34" t="s">
        <v>3574</v>
      </c>
      <c r="G1947" s="26">
        <v>0.37</v>
      </c>
      <c r="H1947" s="1" t="s">
        <v>774</v>
      </c>
      <c r="I1947" s="9">
        <v>100</v>
      </c>
      <c r="J1947" s="36">
        <v>0.06</v>
      </c>
    </row>
    <row r="1948" spans="2:10" s="44" customFormat="1" x14ac:dyDescent="0.35">
      <c r="B1948" s="9">
        <v>1146466</v>
      </c>
      <c r="C1948" s="5" t="s">
        <v>898</v>
      </c>
      <c r="D1948" s="5" t="s">
        <v>3565</v>
      </c>
      <c r="E1948" s="5" t="s">
        <v>745</v>
      </c>
      <c r="F1948" s="34" t="s">
        <v>3574</v>
      </c>
      <c r="G1948" s="26">
        <v>0.37</v>
      </c>
      <c r="H1948" s="1" t="s">
        <v>774</v>
      </c>
      <c r="I1948" s="9">
        <v>100</v>
      </c>
      <c r="J1948" s="36">
        <v>0.06</v>
      </c>
    </row>
    <row r="1949" spans="2:10" s="44" customFormat="1" x14ac:dyDescent="0.35">
      <c r="B1949" s="9">
        <v>6508001208</v>
      </c>
      <c r="C1949" s="5" t="s">
        <v>1116</v>
      </c>
      <c r="D1949" s="5" t="s">
        <v>3565</v>
      </c>
      <c r="E1949" s="5" t="s">
        <v>745</v>
      </c>
      <c r="F1949" s="34" t="s">
        <v>3574</v>
      </c>
      <c r="G1949" s="26">
        <v>1.181</v>
      </c>
      <c r="H1949" s="1" t="s">
        <v>774</v>
      </c>
      <c r="I1949" s="9">
        <v>100</v>
      </c>
      <c r="J1949" s="36">
        <v>0.06</v>
      </c>
    </row>
    <row r="1950" spans="2:10" s="44" customFormat="1" x14ac:dyDescent="0.35">
      <c r="B1950" s="9">
        <v>4000030</v>
      </c>
      <c r="C1950" s="5" t="s">
        <v>1116</v>
      </c>
      <c r="D1950" s="5" t="s">
        <v>3565</v>
      </c>
      <c r="E1950" s="5" t="s">
        <v>745</v>
      </c>
      <c r="F1950" s="34" t="s">
        <v>3574</v>
      </c>
      <c r="G1950" s="26">
        <v>1.181</v>
      </c>
      <c r="H1950" s="1" t="s">
        <v>774</v>
      </c>
      <c r="I1950" s="9">
        <v>100</v>
      </c>
      <c r="J1950" s="36">
        <v>0.06</v>
      </c>
    </row>
    <row r="1951" spans="2:10" s="44" customFormat="1" x14ac:dyDescent="0.35">
      <c r="B1951" s="9">
        <v>6508002008</v>
      </c>
      <c r="C1951" s="5" t="s">
        <v>1118</v>
      </c>
      <c r="D1951" s="5" t="s">
        <v>3565</v>
      </c>
      <c r="E1951" s="5" t="s">
        <v>745</v>
      </c>
      <c r="F1951" s="34" t="s">
        <v>3574</v>
      </c>
      <c r="G1951" s="26">
        <v>0.66799999999999993</v>
      </c>
      <c r="H1951" s="1" t="s">
        <v>774</v>
      </c>
      <c r="I1951" s="9">
        <v>100</v>
      </c>
      <c r="J1951" s="36">
        <v>0.06</v>
      </c>
    </row>
    <row r="1952" spans="2:10" s="44" customFormat="1" x14ac:dyDescent="0.35">
      <c r="B1952" s="9">
        <v>4000034</v>
      </c>
      <c r="C1952" s="5" t="s">
        <v>1118</v>
      </c>
      <c r="D1952" s="5" t="s">
        <v>3565</v>
      </c>
      <c r="E1952" s="5" t="s">
        <v>745</v>
      </c>
      <c r="F1952" s="34" t="s">
        <v>3574</v>
      </c>
      <c r="G1952" s="26">
        <v>0.66799999999999993</v>
      </c>
      <c r="H1952" s="1" t="s">
        <v>774</v>
      </c>
      <c r="I1952" s="9">
        <v>100</v>
      </c>
      <c r="J1952" s="36">
        <v>0.06</v>
      </c>
    </row>
    <row r="1953" spans="2:10" s="44" customFormat="1" x14ac:dyDescent="0.35">
      <c r="B1953" s="9">
        <v>6508002508</v>
      </c>
      <c r="C1953" s="5" t="s">
        <v>1119</v>
      </c>
      <c r="D1953" s="5" t="s">
        <v>3565</v>
      </c>
      <c r="E1953" s="5" t="s">
        <v>745</v>
      </c>
      <c r="F1953" s="34" t="s">
        <v>3574</v>
      </c>
      <c r="G1953" s="26">
        <v>1.0149999999999999</v>
      </c>
      <c r="H1953" s="1" t="s">
        <v>774</v>
      </c>
      <c r="I1953" s="9">
        <v>100</v>
      </c>
      <c r="J1953" s="36">
        <v>0.06</v>
      </c>
    </row>
    <row r="1954" spans="2:10" s="44" customFormat="1" x14ac:dyDescent="0.35">
      <c r="B1954" s="9">
        <v>4000109</v>
      </c>
      <c r="C1954" s="5" t="s">
        <v>1119</v>
      </c>
      <c r="D1954" s="5" t="s">
        <v>3565</v>
      </c>
      <c r="E1954" s="5" t="s">
        <v>745</v>
      </c>
      <c r="F1954" s="34" t="s">
        <v>3574</v>
      </c>
      <c r="G1954" s="26">
        <v>1.0149999999999999</v>
      </c>
      <c r="H1954" s="1" t="s">
        <v>774</v>
      </c>
      <c r="I1954" s="9">
        <v>100</v>
      </c>
      <c r="J1954" s="36">
        <v>0.06</v>
      </c>
    </row>
    <row r="1955" spans="2:10" s="44" customFormat="1" x14ac:dyDescent="0.35">
      <c r="B1955" s="9">
        <v>6508003008</v>
      </c>
      <c r="C1955" s="5" t="s">
        <v>1120</v>
      </c>
      <c r="D1955" s="5" t="s">
        <v>3565</v>
      </c>
      <c r="E1955" s="5" t="s">
        <v>745</v>
      </c>
      <c r="F1955" s="34" t="s">
        <v>3574</v>
      </c>
      <c r="G1955" s="26">
        <v>1.228</v>
      </c>
      <c r="H1955" s="1" t="s">
        <v>774</v>
      </c>
      <c r="I1955" s="9">
        <v>100</v>
      </c>
      <c r="J1955" s="36">
        <v>0.06</v>
      </c>
    </row>
    <row r="1956" spans="2:10" s="44" customFormat="1" x14ac:dyDescent="0.35">
      <c r="B1956" s="9">
        <v>4000268</v>
      </c>
      <c r="C1956" s="5" t="s">
        <v>1120</v>
      </c>
      <c r="D1956" s="5" t="s">
        <v>3565</v>
      </c>
      <c r="E1956" s="5" t="s">
        <v>745</v>
      </c>
      <c r="F1956" s="34" t="s">
        <v>3574</v>
      </c>
      <c r="G1956" s="26">
        <v>1.228</v>
      </c>
      <c r="H1956" s="1" t="s">
        <v>774</v>
      </c>
      <c r="I1956" s="9">
        <v>100</v>
      </c>
      <c r="J1956" s="36">
        <v>0.06</v>
      </c>
    </row>
    <row r="1957" spans="2:10" s="44" customFormat="1" x14ac:dyDescent="0.35">
      <c r="B1957" s="9">
        <v>6508003508</v>
      </c>
      <c r="C1957" s="5" t="s">
        <v>899</v>
      </c>
      <c r="D1957" s="5" t="s">
        <v>3565</v>
      </c>
      <c r="E1957" s="5" t="s">
        <v>900</v>
      </c>
      <c r="F1957" s="34" t="s">
        <v>3574</v>
      </c>
      <c r="G1957" s="26">
        <v>1.0349999999999999</v>
      </c>
      <c r="H1957" s="1" t="s">
        <v>774</v>
      </c>
      <c r="I1957" s="9">
        <v>100</v>
      </c>
      <c r="J1957" s="36">
        <v>0.06</v>
      </c>
    </row>
    <row r="1958" spans="2:10" s="44" customFormat="1" x14ac:dyDescent="0.35">
      <c r="B1958" s="9" t="s">
        <v>2480</v>
      </c>
      <c r="C1958" s="5" t="s">
        <v>2481</v>
      </c>
      <c r="D1958" s="5" t="s">
        <v>3565</v>
      </c>
      <c r="E1958" s="5" t="s">
        <v>2482</v>
      </c>
      <c r="F1958" s="34" t="s">
        <v>3574</v>
      </c>
      <c r="G1958" s="26">
        <v>3.5640000000000005</v>
      </c>
      <c r="H1958" s="1" t="s">
        <v>774</v>
      </c>
      <c r="I1958" s="9">
        <v>100</v>
      </c>
      <c r="J1958" s="36">
        <v>0.06</v>
      </c>
    </row>
    <row r="1959" spans="2:10" s="44" customFormat="1" x14ac:dyDescent="0.35">
      <c r="B1959" s="9" t="s">
        <v>806</v>
      </c>
      <c r="C1959" s="5" t="s">
        <v>807</v>
      </c>
      <c r="D1959" s="5" t="s">
        <v>3564</v>
      </c>
      <c r="E1959" s="5">
        <v>10147122</v>
      </c>
      <c r="F1959" s="34" t="s">
        <v>3552</v>
      </c>
      <c r="G1959" s="26">
        <v>1262.8399999999999</v>
      </c>
      <c r="H1959" s="1" t="s">
        <v>774</v>
      </c>
      <c r="I1959" s="9">
        <v>1</v>
      </c>
      <c r="J1959" s="36">
        <v>0.1</v>
      </c>
    </row>
    <row r="1960" spans="2:10" s="44" customFormat="1" x14ac:dyDescent="0.35">
      <c r="B1960" s="9" t="s">
        <v>2966</v>
      </c>
      <c r="C1960" s="5" t="s">
        <v>2967</v>
      </c>
      <c r="D1960" s="5" t="s">
        <v>3565</v>
      </c>
      <c r="E1960" s="11" t="s">
        <v>3573</v>
      </c>
      <c r="F1960" s="34" t="s">
        <v>3574</v>
      </c>
      <c r="G1960" s="26">
        <v>1.1639999999999999</v>
      </c>
      <c r="H1960" s="1" t="s">
        <v>774</v>
      </c>
      <c r="I1960" s="9">
        <v>100</v>
      </c>
      <c r="J1960" s="36">
        <v>0.06</v>
      </c>
    </row>
    <row r="1961" spans="2:10" s="44" customFormat="1" x14ac:dyDescent="0.35">
      <c r="B1961" s="9" t="s">
        <v>3299</v>
      </c>
      <c r="C1961" s="5" t="s">
        <v>3300</v>
      </c>
      <c r="D1961" s="5" t="s">
        <v>3565</v>
      </c>
      <c r="E1961" s="5" t="s">
        <v>3301</v>
      </c>
      <c r="F1961" s="34" t="s">
        <v>3574</v>
      </c>
      <c r="G1961" s="26">
        <v>0.85</v>
      </c>
      <c r="H1961" s="1" t="s">
        <v>774</v>
      </c>
      <c r="I1961" s="9">
        <v>100</v>
      </c>
      <c r="J1961" s="36">
        <v>0.06</v>
      </c>
    </row>
    <row r="1962" spans="2:10" s="44" customFormat="1" x14ac:dyDescent="0.35">
      <c r="B1962" s="9" t="s">
        <v>801</v>
      </c>
      <c r="C1962" s="5" t="s">
        <v>628</v>
      </c>
      <c r="D1962" s="5" t="s">
        <v>3564</v>
      </c>
      <c r="E1962" s="5">
        <v>10144452</v>
      </c>
      <c r="F1962" s="34" t="s">
        <v>3552</v>
      </c>
      <c r="G1962" s="26">
        <v>80.78</v>
      </c>
      <c r="H1962" s="1" t="s">
        <v>774</v>
      </c>
      <c r="I1962" s="9">
        <v>1</v>
      </c>
      <c r="J1962" s="36">
        <v>0.1</v>
      </c>
    </row>
    <row r="1963" spans="2:10" s="44" customFormat="1" x14ac:dyDescent="0.35">
      <c r="B1963" s="9" t="s">
        <v>831</v>
      </c>
      <c r="C1963" s="5" t="s">
        <v>832</v>
      </c>
      <c r="D1963" s="5" t="s">
        <v>3564</v>
      </c>
      <c r="E1963" s="5">
        <v>10144022</v>
      </c>
      <c r="F1963" s="34" t="s">
        <v>3552</v>
      </c>
      <c r="G1963" s="26">
        <v>13.52</v>
      </c>
      <c r="H1963" s="1" t="s">
        <v>774</v>
      </c>
      <c r="I1963" s="9">
        <v>1</v>
      </c>
      <c r="J1963" s="36">
        <v>0.1</v>
      </c>
    </row>
    <row r="1964" spans="2:10" s="44" customFormat="1" x14ac:dyDescent="0.35">
      <c r="B1964" s="9">
        <v>4000036</v>
      </c>
      <c r="C1964" s="5" t="s">
        <v>899</v>
      </c>
      <c r="D1964" s="5" t="s">
        <v>3565</v>
      </c>
      <c r="E1964" s="5" t="s">
        <v>900</v>
      </c>
      <c r="F1964" s="34" t="s">
        <v>3574</v>
      </c>
      <c r="G1964" s="26">
        <v>1.0349999999999999</v>
      </c>
      <c r="H1964" s="1" t="s">
        <v>774</v>
      </c>
      <c r="I1964" s="9">
        <v>100</v>
      </c>
      <c r="J1964" s="36">
        <v>0.06</v>
      </c>
    </row>
    <row r="1965" spans="2:10" s="44" customFormat="1" x14ac:dyDescent="0.35">
      <c r="B1965" s="9" t="s">
        <v>3591</v>
      </c>
      <c r="C1965" s="5" t="s">
        <v>1620</v>
      </c>
      <c r="D1965" s="5" t="s">
        <v>3565</v>
      </c>
      <c r="E1965" s="5" t="s">
        <v>1621</v>
      </c>
      <c r="F1965" s="34" t="s">
        <v>3574</v>
      </c>
      <c r="G1965" s="26">
        <v>0.74</v>
      </c>
      <c r="H1965" s="1" t="s">
        <v>774</v>
      </c>
      <c r="I1965" s="9">
        <v>100</v>
      </c>
      <c r="J1965" s="36">
        <v>0.06</v>
      </c>
    </row>
    <row r="1966" spans="2:10" s="44" customFormat="1" x14ac:dyDescent="0.35">
      <c r="B1966" s="9" t="s">
        <v>2754</v>
      </c>
      <c r="C1966" s="5" t="s">
        <v>2755</v>
      </c>
      <c r="D1966" s="5" t="s">
        <v>3565</v>
      </c>
      <c r="E1966" s="5" t="s">
        <v>2756</v>
      </c>
      <c r="F1966" s="34" t="s">
        <v>3574</v>
      </c>
      <c r="G1966" s="26">
        <v>0.67</v>
      </c>
      <c r="H1966" s="1" t="s">
        <v>774</v>
      </c>
      <c r="I1966" s="9">
        <v>100</v>
      </c>
      <c r="J1966" s="36">
        <v>0.06</v>
      </c>
    </row>
    <row r="1967" spans="2:10" s="44" customFormat="1" x14ac:dyDescent="0.35">
      <c r="B1967" s="9" t="s">
        <v>710</v>
      </c>
      <c r="C1967" s="5" t="s">
        <v>711</v>
      </c>
      <c r="D1967" s="5" t="s">
        <v>3565</v>
      </c>
      <c r="E1967" s="11" t="s">
        <v>3573</v>
      </c>
      <c r="F1967" s="34" t="s">
        <v>3574</v>
      </c>
      <c r="G1967" s="26">
        <v>0.51500000000000001</v>
      </c>
      <c r="H1967" s="1" t="s">
        <v>774</v>
      </c>
      <c r="I1967" s="9">
        <v>100</v>
      </c>
      <c r="J1967" s="36">
        <v>0.06</v>
      </c>
    </row>
    <row r="1968" spans="2:10" s="44" customFormat="1" x14ac:dyDescent="0.35">
      <c r="B1968" s="9" t="s">
        <v>2699</v>
      </c>
      <c r="C1968" s="5" t="s">
        <v>2025</v>
      </c>
      <c r="D1968" s="5" t="s">
        <v>3565</v>
      </c>
      <c r="E1968" s="5" t="s">
        <v>2700</v>
      </c>
      <c r="F1968" s="34" t="s">
        <v>3574</v>
      </c>
      <c r="G1968" s="26">
        <v>0.41200000000000003</v>
      </c>
      <c r="H1968" s="1" t="s">
        <v>774</v>
      </c>
      <c r="I1968" s="9">
        <v>100</v>
      </c>
      <c r="J1968" s="36">
        <v>0.06</v>
      </c>
    </row>
    <row r="1969" spans="2:10" s="44" customFormat="1" x14ac:dyDescent="0.35">
      <c r="B1969" s="9" t="s">
        <v>85</v>
      </c>
      <c r="C1969" s="5" t="s">
        <v>86</v>
      </c>
      <c r="D1969" s="5" t="s">
        <v>3565</v>
      </c>
      <c r="E1969" s="5" t="s">
        <v>3113</v>
      </c>
      <c r="F1969" s="34" t="s">
        <v>3574</v>
      </c>
      <c r="G1969" s="26">
        <v>1.5</v>
      </c>
      <c r="H1969" s="1" t="s">
        <v>774</v>
      </c>
      <c r="I1969" s="9">
        <v>1000</v>
      </c>
      <c r="J1969" s="36">
        <v>0.06</v>
      </c>
    </row>
    <row r="1970" spans="2:10" s="44" customFormat="1" x14ac:dyDescent="0.35">
      <c r="B1970" s="9" t="s">
        <v>3245</v>
      </c>
      <c r="C1970" s="5" t="s">
        <v>3246</v>
      </c>
      <c r="D1970" s="5" t="s">
        <v>3565</v>
      </c>
      <c r="E1970" s="5" t="s">
        <v>3247</v>
      </c>
      <c r="F1970" s="34" t="s">
        <v>3574</v>
      </c>
      <c r="G1970" s="26">
        <v>0.4</v>
      </c>
      <c r="H1970" s="1" t="s">
        <v>774</v>
      </c>
      <c r="I1970" s="9">
        <v>100</v>
      </c>
      <c r="J1970" s="36">
        <v>0.06</v>
      </c>
    </row>
    <row r="1971" spans="2:10" s="44" customFormat="1" x14ac:dyDescent="0.35">
      <c r="B1971" s="9" t="s">
        <v>3141</v>
      </c>
      <c r="C1971" s="5" t="s">
        <v>3142</v>
      </c>
      <c r="D1971" s="5" t="s">
        <v>3565</v>
      </c>
      <c r="E1971" s="5" t="s">
        <v>3143</v>
      </c>
      <c r="F1971" s="34" t="s">
        <v>3574</v>
      </c>
      <c r="G1971" s="26">
        <v>3.5</v>
      </c>
      <c r="H1971" s="1" t="s">
        <v>774</v>
      </c>
      <c r="I1971" s="9">
        <v>100</v>
      </c>
      <c r="J1971" s="36">
        <v>0.06</v>
      </c>
    </row>
    <row r="1972" spans="2:10" s="44" customFormat="1" x14ac:dyDescent="0.35">
      <c r="B1972" s="9" t="s">
        <v>3327</v>
      </c>
      <c r="C1972" s="5" t="s">
        <v>3328</v>
      </c>
      <c r="D1972" s="5" t="s">
        <v>3565</v>
      </c>
      <c r="E1972" s="5" t="s">
        <v>3329</v>
      </c>
      <c r="F1972" s="34" t="s">
        <v>3574</v>
      </c>
      <c r="G1972" s="26">
        <v>2.8</v>
      </c>
      <c r="H1972" s="1" t="s">
        <v>774</v>
      </c>
      <c r="I1972" s="9">
        <v>100</v>
      </c>
      <c r="J1972" s="36">
        <v>0.06</v>
      </c>
    </row>
    <row r="1973" spans="2:10" s="44" customFormat="1" x14ac:dyDescent="0.35">
      <c r="B1973" s="9" t="s">
        <v>3330</v>
      </c>
      <c r="C1973" s="5" t="s">
        <v>3331</v>
      </c>
      <c r="D1973" s="5" t="s">
        <v>3565</v>
      </c>
      <c r="E1973" s="5" t="s">
        <v>3332</v>
      </c>
      <c r="F1973" s="34" t="s">
        <v>3574</v>
      </c>
      <c r="G1973" s="26">
        <v>1.4</v>
      </c>
      <c r="H1973" s="1" t="s">
        <v>774</v>
      </c>
      <c r="I1973" s="9">
        <v>100</v>
      </c>
      <c r="J1973" s="36">
        <v>0.06</v>
      </c>
    </row>
    <row r="1974" spans="2:10" s="44" customFormat="1" x14ac:dyDescent="0.35">
      <c r="B1974" s="9" t="s">
        <v>3339</v>
      </c>
      <c r="C1974" s="5" t="s">
        <v>3340</v>
      </c>
      <c r="D1974" s="5" t="s">
        <v>3565</v>
      </c>
      <c r="E1974" s="5" t="s">
        <v>3341</v>
      </c>
      <c r="F1974" s="34" t="s">
        <v>3574</v>
      </c>
      <c r="G1974" s="26">
        <v>0.56000000000000005</v>
      </c>
      <c r="H1974" s="1" t="s">
        <v>774</v>
      </c>
      <c r="I1974" s="9">
        <v>100</v>
      </c>
      <c r="J1974" s="36">
        <v>0.06</v>
      </c>
    </row>
    <row r="1975" spans="2:10" s="44" customFormat="1" x14ac:dyDescent="0.35">
      <c r="B1975" s="9" t="s">
        <v>3333</v>
      </c>
      <c r="C1975" s="5" t="s">
        <v>3334</v>
      </c>
      <c r="D1975" s="5" t="s">
        <v>3565</v>
      </c>
      <c r="E1975" s="5" t="s">
        <v>3335</v>
      </c>
      <c r="F1975" s="34" t="s">
        <v>3574</v>
      </c>
      <c r="G1975" s="26">
        <v>0.57999999999999996</v>
      </c>
      <c r="H1975" s="1" t="s">
        <v>774</v>
      </c>
      <c r="I1975" s="9">
        <v>100</v>
      </c>
      <c r="J1975" s="36">
        <v>0.06</v>
      </c>
    </row>
    <row r="1976" spans="2:10" s="44" customFormat="1" x14ac:dyDescent="0.35">
      <c r="B1976" s="9" t="s">
        <v>732</v>
      </c>
      <c r="C1976" s="5" t="s">
        <v>733</v>
      </c>
      <c r="D1976" s="5" t="s">
        <v>3565</v>
      </c>
      <c r="E1976" s="11" t="s">
        <v>3573</v>
      </c>
      <c r="F1976" s="34" t="s">
        <v>3574</v>
      </c>
      <c r="G1976" s="26">
        <v>1.4</v>
      </c>
      <c r="H1976" s="1" t="s">
        <v>774</v>
      </c>
      <c r="I1976" s="9">
        <v>100</v>
      </c>
      <c r="J1976" s="36">
        <v>0.06</v>
      </c>
    </row>
    <row r="1977" spans="2:10" s="44" customFormat="1" x14ac:dyDescent="0.35">
      <c r="B1977" s="9" t="s">
        <v>2986</v>
      </c>
      <c r="C1977" s="5" t="s">
        <v>2987</v>
      </c>
      <c r="D1977" s="5" t="s">
        <v>3565</v>
      </c>
      <c r="E1977" s="5" t="s">
        <v>2988</v>
      </c>
      <c r="F1977" s="34" t="s">
        <v>3574</v>
      </c>
      <c r="G1977" s="26">
        <v>0.20600000000000002</v>
      </c>
      <c r="H1977" s="1" t="s">
        <v>774</v>
      </c>
      <c r="I1977" s="9">
        <v>100</v>
      </c>
      <c r="J1977" s="36">
        <v>0.06</v>
      </c>
    </row>
    <row r="1978" spans="2:10" s="44" customFormat="1" x14ac:dyDescent="0.35">
      <c r="B1978" s="9" t="s">
        <v>3083</v>
      </c>
      <c r="C1978" s="5" t="s">
        <v>3084</v>
      </c>
      <c r="D1978" s="5" t="s">
        <v>3565</v>
      </c>
      <c r="E1978" s="5" t="s">
        <v>3085</v>
      </c>
      <c r="F1978" s="34" t="s">
        <v>3574</v>
      </c>
      <c r="G1978" s="26">
        <v>2.35</v>
      </c>
      <c r="H1978" s="1" t="s">
        <v>774</v>
      </c>
      <c r="I1978" s="9">
        <v>100</v>
      </c>
      <c r="J1978" s="36">
        <v>0.06</v>
      </c>
    </row>
    <row r="1979" spans="2:10" s="44" customFormat="1" x14ac:dyDescent="0.35">
      <c r="B1979" s="9" t="s">
        <v>2540</v>
      </c>
      <c r="C1979" s="5" t="s">
        <v>2541</v>
      </c>
      <c r="D1979" s="5" t="s">
        <v>3565</v>
      </c>
      <c r="E1979" s="5" t="s">
        <v>2542</v>
      </c>
      <c r="F1979" s="34" t="s">
        <v>3574</v>
      </c>
      <c r="G1979" s="26">
        <v>0.33100000000000002</v>
      </c>
      <c r="H1979" s="1" t="s">
        <v>774</v>
      </c>
      <c r="I1979" s="9">
        <v>100</v>
      </c>
      <c r="J1979" s="36">
        <v>0.06</v>
      </c>
    </row>
    <row r="1980" spans="2:10" s="44" customFormat="1" x14ac:dyDescent="0.35">
      <c r="B1980" s="9" t="s">
        <v>98</v>
      </c>
      <c r="C1980" s="5" t="s">
        <v>3135</v>
      </c>
      <c r="D1980" s="5" t="s">
        <v>3565</v>
      </c>
      <c r="E1980" s="5" t="s">
        <v>99</v>
      </c>
      <c r="F1980" s="34" t="s">
        <v>3574</v>
      </c>
      <c r="G1980" s="26">
        <v>163</v>
      </c>
      <c r="H1980" s="1" t="s">
        <v>774</v>
      </c>
      <c r="I1980" s="9">
        <v>1</v>
      </c>
      <c r="J1980" s="36">
        <v>0.06</v>
      </c>
    </row>
    <row r="1981" spans="2:10" s="44" customFormat="1" x14ac:dyDescent="0.35">
      <c r="B1981" s="9">
        <v>1147033</v>
      </c>
      <c r="C1981" s="5" t="s">
        <v>1620</v>
      </c>
      <c r="D1981" s="5" t="s">
        <v>3565</v>
      </c>
      <c r="E1981" s="5" t="s">
        <v>1621</v>
      </c>
      <c r="F1981" s="34" t="s">
        <v>3574</v>
      </c>
      <c r="G1981" s="26">
        <v>0.74</v>
      </c>
      <c r="H1981" s="1" t="s">
        <v>774</v>
      </c>
      <c r="I1981" s="9">
        <v>100</v>
      </c>
      <c r="J1981" s="36">
        <v>0.06</v>
      </c>
    </row>
    <row r="1982" spans="2:10" s="44" customFormat="1" x14ac:dyDescent="0.35">
      <c r="B1982" s="9" t="s">
        <v>3592</v>
      </c>
      <c r="C1982" s="5" t="s">
        <v>2502</v>
      </c>
      <c r="D1982" s="5" t="s">
        <v>3565</v>
      </c>
      <c r="E1982" s="5" t="s">
        <v>2503</v>
      </c>
      <c r="F1982" s="34" t="s">
        <v>3574</v>
      </c>
      <c r="G1982" s="26">
        <v>8.7999999999999995E-2</v>
      </c>
      <c r="H1982" s="1" t="s">
        <v>774</v>
      </c>
      <c r="I1982" s="9">
        <v>100</v>
      </c>
      <c r="J1982" s="36">
        <v>0.06</v>
      </c>
    </row>
    <row r="1983" spans="2:10" s="44" customFormat="1" x14ac:dyDescent="0.35">
      <c r="B1983" s="9" t="s">
        <v>3360</v>
      </c>
      <c r="C1983" s="5" t="s">
        <v>3361</v>
      </c>
      <c r="D1983" s="5" t="s">
        <v>3565</v>
      </c>
      <c r="E1983" s="11" t="s">
        <v>3573</v>
      </c>
      <c r="F1983" s="34" t="s">
        <v>3574</v>
      </c>
      <c r="G1983" s="26">
        <v>0.36</v>
      </c>
      <c r="H1983" s="1" t="s">
        <v>774</v>
      </c>
      <c r="I1983" s="9">
        <v>100</v>
      </c>
      <c r="J1983" s="36">
        <v>0.06</v>
      </c>
    </row>
    <row r="1984" spans="2:10" s="44" customFormat="1" x14ac:dyDescent="0.35">
      <c r="B1984" s="9" t="s">
        <v>744</v>
      </c>
      <c r="C1984" s="5" t="s">
        <v>2483</v>
      </c>
      <c r="D1984" s="5" t="s">
        <v>3565</v>
      </c>
      <c r="E1984" s="5" t="s">
        <v>2484</v>
      </c>
      <c r="F1984" s="34" t="s">
        <v>3574</v>
      </c>
      <c r="G1984" s="26">
        <v>0.109</v>
      </c>
      <c r="H1984" s="1" t="s">
        <v>774</v>
      </c>
      <c r="I1984" s="9">
        <v>100</v>
      </c>
      <c r="J1984" s="36">
        <v>0.06</v>
      </c>
    </row>
    <row r="1985" spans="2:10" s="44" customFormat="1" x14ac:dyDescent="0.35">
      <c r="B1985" s="9" t="s">
        <v>3279</v>
      </c>
      <c r="C1985" s="5" t="s">
        <v>3280</v>
      </c>
      <c r="D1985" s="5" t="s">
        <v>3565</v>
      </c>
      <c r="E1985" s="5" t="s">
        <v>3281</v>
      </c>
      <c r="F1985" s="34" t="s">
        <v>3574</v>
      </c>
      <c r="G1985" s="26">
        <v>0.6</v>
      </c>
      <c r="H1985" s="1" t="s">
        <v>774</v>
      </c>
      <c r="I1985" s="9">
        <v>1000</v>
      </c>
      <c r="J1985" s="36">
        <v>0.06</v>
      </c>
    </row>
    <row r="1986" spans="2:10" s="44" customFormat="1" x14ac:dyDescent="0.35">
      <c r="B1986" s="9" t="s">
        <v>3282</v>
      </c>
      <c r="C1986" s="5" t="s">
        <v>3283</v>
      </c>
      <c r="D1986" s="5" t="s">
        <v>3565</v>
      </c>
      <c r="E1986" s="5" t="s">
        <v>3284</v>
      </c>
      <c r="F1986" s="34" t="s">
        <v>3574</v>
      </c>
      <c r="G1986" s="26">
        <v>0.5</v>
      </c>
      <c r="H1986" s="1" t="s">
        <v>774</v>
      </c>
      <c r="I1986" s="9">
        <v>1000</v>
      </c>
      <c r="J1986" s="36">
        <v>0.06</v>
      </c>
    </row>
    <row r="1987" spans="2:10" s="44" customFormat="1" x14ac:dyDescent="0.35">
      <c r="B1987" s="9" t="s">
        <v>3259</v>
      </c>
      <c r="C1987" s="5" t="s">
        <v>3260</v>
      </c>
      <c r="D1987" s="5" t="s">
        <v>3565</v>
      </c>
      <c r="E1987" s="5" t="s">
        <v>3261</v>
      </c>
      <c r="F1987" s="34" t="s">
        <v>3574</v>
      </c>
      <c r="G1987" s="26">
        <v>0.45</v>
      </c>
      <c r="H1987" s="1" t="s">
        <v>774</v>
      </c>
      <c r="I1987" s="9">
        <v>100</v>
      </c>
      <c r="J1987" s="36">
        <v>0.06</v>
      </c>
    </row>
    <row r="1988" spans="2:10" s="44" customFormat="1" x14ac:dyDescent="0.35">
      <c r="B1988" s="9" t="s">
        <v>3238</v>
      </c>
      <c r="C1988" s="5" t="s">
        <v>3239</v>
      </c>
      <c r="D1988" s="5" t="s">
        <v>3565</v>
      </c>
      <c r="E1988" s="5" t="s">
        <v>3240</v>
      </c>
      <c r="F1988" s="34" t="s">
        <v>3574</v>
      </c>
      <c r="G1988" s="26">
        <v>0.25</v>
      </c>
      <c r="H1988" s="1" t="s">
        <v>774</v>
      </c>
      <c r="I1988" s="9">
        <v>200</v>
      </c>
      <c r="J1988" s="36">
        <v>0.06</v>
      </c>
    </row>
    <row r="1989" spans="2:10" s="44" customFormat="1" x14ac:dyDescent="0.35">
      <c r="B1989" s="9" t="s">
        <v>3212</v>
      </c>
      <c r="C1989" s="5" t="s">
        <v>3213</v>
      </c>
      <c r="D1989" s="5" t="s">
        <v>3565</v>
      </c>
      <c r="E1989" s="5" t="s">
        <v>3214</v>
      </c>
      <c r="F1989" s="34" t="s">
        <v>3574</v>
      </c>
      <c r="G1989" s="26">
        <v>0.3</v>
      </c>
      <c r="H1989" s="1" t="s">
        <v>774</v>
      </c>
      <c r="I1989" s="9">
        <v>200</v>
      </c>
      <c r="J1989" s="36">
        <v>0.06</v>
      </c>
    </row>
    <row r="1990" spans="2:10" s="44" customFormat="1" x14ac:dyDescent="0.35">
      <c r="B1990" s="9" t="s">
        <v>2504</v>
      </c>
      <c r="C1990" s="5" t="s">
        <v>2505</v>
      </c>
      <c r="D1990" s="5" t="s">
        <v>3565</v>
      </c>
      <c r="E1990" s="5" t="s">
        <v>2506</v>
      </c>
      <c r="F1990" s="34" t="s">
        <v>3574</v>
      </c>
      <c r="G1990" s="26">
        <v>0.16400000000000003</v>
      </c>
      <c r="H1990" s="1" t="s">
        <v>774</v>
      </c>
      <c r="I1990" s="9">
        <v>100</v>
      </c>
      <c r="J1990" s="36">
        <v>0.06</v>
      </c>
    </row>
    <row r="1991" spans="2:10" s="44" customFormat="1" x14ac:dyDescent="0.35">
      <c r="B1991" s="9" t="s">
        <v>3102</v>
      </c>
      <c r="C1991" s="5" t="s">
        <v>3103</v>
      </c>
      <c r="D1991" s="5" t="s">
        <v>3565</v>
      </c>
      <c r="E1991" s="5" t="s">
        <v>3104</v>
      </c>
      <c r="F1991" s="34" t="s">
        <v>3574</v>
      </c>
      <c r="G1991" s="26">
        <v>0.15</v>
      </c>
      <c r="H1991" s="1" t="s">
        <v>774</v>
      </c>
      <c r="I1991" s="9">
        <v>200</v>
      </c>
      <c r="J1991" s="36">
        <v>0.06</v>
      </c>
    </row>
    <row r="1992" spans="2:10" s="44" customFormat="1" x14ac:dyDescent="0.35">
      <c r="B1992" s="9" t="s">
        <v>3105</v>
      </c>
      <c r="C1992" s="5" t="s">
        <v>3106</v>
      </c>
      <c r="D1992" s="5" t="s">
        <v>3565</v>
      </c>
      <c r="E1992" s="5" t="s">
        <v>3107</v>
      </c>
      <c r="F1992" s="34" t="s">
        <v>3574</v>
      </c>
      <c r="G1992" s="26">
        <v>0.3</v>
      </c>
      <c r="H1992" s="1" t="s">
        <v>774</v>
      </c>
      <c r="I1992" s="9">
        <v>100</v>
      </c>
      <c r="J1992" s="36">
        <v>0.06</v>
      </c>
    </row>
    <row r="1993" spans="2:10" s="44" customFormat="1" x14ac:dyDescent="0.35">
      <c r="B1993" s="9" t="s">
        <v>742</v>
      </c>
      <c r="C1993" s="5" t="s">
        <v>3153</v>
      </c>
      <c r="D1993" s="5" t="s">
        <v>3565</v>
      </c>
      <c r="E1993" s="5" t="s">
        <v>3154</v>
      </c>
      <c r="F1993" s="34" t="s">
        <v>3574</v>
      </c>
      <c r="G1993" s="26">
        <v>0.16</v>
      </c>
      <c r="H1993" s="1" t="s">
        <v>774</v>
      </c>
      <c r="I1993" s="9">
        <v>200</v>
      </c>
      <c r="J1993" s="36">
        <v>0.06</v>
      </c>
    </row>
    <row r="1994" spans="2:10" s="44" customFormat="1" x14ac:dyDescent="0.35">
      <c r="B1994" s="9" t="s">
        <v>833</v>
      </c>
      <c r="C1994" s="5" t="s">
        <v>834</v>
      </c>
      <c r="D1994" s="5" t="s">
        <v>3564</v>
      </c>
      <c r="E1994" s="5" t="s">
        <v>823</v>
      </c>
      <c r="F1994" s="34" t="s">
        <v>3552</v>
      </c>
      <c r="G1994" s="26">
        <v>85.89</v>
      </c>
      <c r="H1994" s="1" t="s">
        <v>774</v>
      </c>
      <c r="I1994" s="9">
        <v>1</v>
      </c>
      <c r="J1994" s="36">
        <v>0.1</v>
      </c>
    </row>
    <row r="1995" spans="2:10" s="44" customFormat="1" x14ac:dyDescent="0.35">
      <c r="B1995" s="9" t="s">
        <v>2510</v>
      </c>
      <c r="C1995" s="5" t="s">
        <v>2511</v>
      </c>
      <c r="D1995" s="5" t="s">
        <v>3565</v>
      </c>
      <c r="E1995" s="5" t="s">
        <v>2512</v>
      </c>
      <c r="F1995" s="34" t="s">
        <v>3574</v>
      </c>
      <c r="G1995" s="26">
        <v>0.11900000000000001</v>
      </c>
      <c r="H1995" s="1" t="s">
        <v>774</v>
      </c>
      <c r="I1995" s="9">
        <v>100</v>
      </c>
      <c r="J1995" s="36">
        <v>0.06</v>
      </c>
    </row>
    <row r="1996" spans="2:10" s="44" customFormat="1" x14ac:dyDescent="0.35">
      <c r="B1996" s="9" t="s">
        <v>3198</v>
      </c>
      <c r="C1996" s="5" t="s">
        <v>3199</v>
      </c>
      <c r="D1996" s="5" t="s">
        <v>3565</v>
      </c>
      <c r="E1996" s="5" t="s">
        <v>3200</v>
      </c>
      <c r="F1996" s="34" t="s">
        <v>3574</v>
      </c>
      <c r="G1996" s="26">
        <v>0.4</v>
      </c>
      <c r="H1996" s="1" t="s">
        <v>774</v>
      </c>
      <c r="I1996" s="9">
        <v>200</v>
      </c>
      <c r="J1996" s="36">
        <v>0.06</v>
      </c>
    </row>
    <row r="1997" spans="2:10" s="44" customFormat="1" x14ac:dyDescent="0.35">
      <c r="B1997" s="9" t="s">
        <v>2516</v>
      </c>
      <c r="C1997" s="5" t="s">
        <v>2517</v>
      </c>
      <c r="D1997" s="5" t="s">
        <v>3565</v>
      </c>
      <c r="E1997" s="5" t="s">
        <v>2518</v>
      </c>
      <c r="F1997" s="34" t="s">
        <v>3574</v>
      </c>
      <c r="G1997" s="26">
        <v>0.53400000000000003</v>
      </c>
      <c r="H1997" s="1" t="s">
        <v>774</v>
      </c>
      <c r="I1997" s="9">
        <v>100</v>
      </c>
      <c r="J1997" s="36">
        <v>0.06</v>
      </c>
    </row>
    <row r="1998" spans="2:10" s="44" customFormat="1" x14ac:dyDescent="0.35">
      <c r="B1998" s="9" t="s">
        <v>2525</v>
      </c>
      <c r="C1998" s="5" t="s">
        <v>2526</v>
      </c>
      <c r="D1998" s="5" t="s">
        <v>3565</v>
      </c>
      <c r="E1998" s="5" t="s">
        <v>2527</v>
      </c>
      <c r="F1998" s="34" t="s">
        <v>3574</v>
      </c>
      <c r="G1998" s="26">
        <v>0.20900000000000002</v>
      </c>
      <c r="H1998" s="1" t="s">
        <v>774</v>
      </c>
      <c r="I1998" s="9">
        <v>100</v>
      </c>
      <c r="J1998" s="36">
        <v>0.06</v>
      </c>
    </row>
    <row r="1999" spans="2:10" s="44" customFormat="1" x14ac:dyDescent="0.35">
      <c r="B1999" s="9" t="s">
        <v>2507</v>
      </c>
      <c r="C1999" s="5" t="s">
        <v>2508</v>
      </c>
      <c r="D1999" s="5" t="s">
        <v>3565</v>
      </c>
      <c r="E1999" s="5" t="s">
        <v>2509</v>
      </c>
      <c r="F1999" s="34" t="s">
        <v>3574</v>
      </c>
      <c r="G1999" s="26">
        <v>0.16700000000000004</v>
      </c>
      <c r="H1999" s="1" t="s">
        <v>774</v>
      </c>
      <c r="I1999" s="9">
        <v>100</v>
      </c>
      <c r="J1999" s="36">
        <v>0.06</v>
      </c>
    </row>
    <row r="2000" spans="2:10" s="44" customFormat="1" x14ac:dyDescent="0.35">
      <c r="B2000" s="9" t="s">
        <v>2493</v>
      </c>
      <c r="C2000" s="5" t="s">
        <v>2494</v>
      </c>
      <c r="D2000" s="5" t="s">
        <v>3565</v>
      </c>
      <c r="E2000" s="5" t="s">
        <v>2495</v>
      </c>
      <c r="F2000" s="34" t="s">
        <v>3574</v>
      </c>
      <c r="G2000" s="26">
        <v>0.17800000000000002</v>
      </c>
      <c r="H2000" s="1" t="s">
        <v>774</v>
      </c>
      <c r="I2000" s="9">
        <v>100</v>
      </c>
      <c r="J2000" s="36">
        <v>0.06</v>
      </c>
    </row>
    <row r="2001" spans="2:10" s="44" customFormat="1" x14ac:dyDescent="0.35">
      <c r="B2001" s="9" t="s">
        <v>2485</v>
      </c>
      <c r="C2001" s="5" t="s">
        <v>2486</v>
      </c>
      <c r="D2001" s="5" t="s">
        <v>3565</v>
      </c>
      <c r="E2001" s="5" t="s">
        <v>2487</v>
      </c>
      <c r="F2001" s="34" t="s">
        <v>3574</v>
      </c>
      <c r="G2001" s="26">
        <v>0.122</v>
      </c>
      <c r="H2001" s="1" t="s">
        <v>774</v>
      </c>
      <c r="I2001" s="9">
        <v>100</v>
      </c>
      <c r="J2001" s="36">
        <v>0.06</v>
      </c>
    </row>
    <row r="2002" spans="2:10" s="44" customFormat="1" x14ac:dyDescent="0.35">
      <c r="B2002" s="9" t="s">
        <v>2528</v>
      </c>
      <c r="C2002" s="5" t="s">
        <v>2529</v>
      </c>
      <c r="D2002" s="5" t="s">
        <v>3565</v>
      </c>
      <c r="E2002" s="5" t="s">
        <v>2530</v>
      </c>
      <c r="F2002" s="34" t="s">
        <v>3574</v>
      </c>
      <c r="G2002" s="26">
        <v>0.10199999999999999</v>
      </c>
      <c r="H2002" s="1" t="s">
        <v>774</v>
      </c>
      <c r="I2002" s="9">
        <v>100</v>
      </c>
      <c r="J2002" s="36">
        <v>0.06</v>
      </c>
    </row>
    <row r="2003" spans="2:10" s="44" customFormat="1" x14ac:dyDescent="0.35">
      <c r="B2003" s="9" t="s">
        <v>2490</v>
      </c>
      <c r="C2003" s="5" t="s">
        <v>2491</v>
      </c>
      <c r="D2003" s="5" t="s">
        <v>3565</v>
      </c>
      <c r="E2003" s="5" t="s">
        <v>2492</v>
      </c>
      <c r="F2003" s="34" t="s">
        <v>3574</v>
      </c>
      <c r="G2003" s="26">
        <v>0.20600000000000002</v>
      </c>
      <c r="H2003" s="1" t="s">
        <v>774</v>
      </c>
      <c r="I2003" s="9">
        <v>100</v>
      </c>
      <c r="J2003" s="36">
        <v>0.06</v>
      </c>
    </row>
    <row r="2004" spans="2:10" s="44" customFormat="1" x14ac:dyDescent="0.35">
      <c r="B2004" s="9" t="s">
        <v>3302</v>
      </c>
      <c r="C2004" s="5" t="s">
        <v>3303</v>
      </c>
      <c r="D2004" s="5" t="s">
        <v>3565</v>
      </c>
      <c r="E2004" s="5" t="s">
        <v>3304</v>
      </c>
      <c r="F2004" s="34" t="s">
        <v>3574</v>
      </c>
      <c r="G2004" s="26">
        <v>0.35</v>
      </c>
      <c r="H2004" s="1" t="s">
        <v>774</v>
      </c>
      <c r="I2004" s="9">
        <v>100</v>
      </c>
      <c r="J2004" s="36">
        <v>0.06</v>
      </c>
    </row>
    <row r="2005" spans="2:10" s="44" customFormat="1" x14ac:dyDescent="0.35">
      <c r="B2005" s="9" t="s">
        <v>2531</v>
      </c>
      <c r="C2005" s="5" t="s">
        <v>2532</v>
      </c>
      <c r="D2005" s="5" t="s">
        <v>3565</v>
      </c>
      <c r="E2005" s="5" t="s">
        <v>2533</v>
      </c>
      <c r="F2005" s="34" t="s">
        <v>3574</v>
      </c>
      <c r="G2005" s="26">
        <v>0.154</v>
      </c>
      <c r="H2005" s="1" t="s">
        <v>774</v>
      </c>
      <c r="I2005" s="9">
        <v>100</v>
      </c>
      <c r="J2005" s="36">
        <v>0.06</v>
      </c>
    </row>
    <row r="2006" spans="2:10" s="44" customFormat="1" x14ac:dyDescent="0.35">
      <c r="B2006" s="9">
        <v>1586523</v>
      </c>
      <c r="C2006" s="5" t="s">
        <v>2502</v>
      </c>
      <c r="D2006" s="5" t="s">
        <v>3565</v>
      </c>
      <c r="E2006" s="5" t="s">
        <v>2503</v>
      </c>
      <c r="F2006" s="34" t="s">
        <v>3574</v>
      </c>
      <c r="G2006" s="26">
        <v>8.7999999999999995E-2</v>
      </c>
      <c r="H2006" s="1" t="s">
        <v>774</v>
      </c>
      <c r="I2006" s="9">
        <v>100</v>
      </c>
      <c r="J2006" s="36">
        <v>0.06</v>
      </c>
    </row>
    <row r="2007" spans="2:10" s="44" customFormat="1" x14ac:dyDescent="0.35">
      <c r="B2007" s="9" t="s">
        <v>3594</v>
      </c>
      <c r="C2007" s="5" t="s">
        <v>3016</v>
      </c>
      <c r="D2007" s="5" t="s">
        <v>3565</v>
      </c>
      <c r="E2007" s="5" t="s">
        <v>3016</v>
      </c>
      <c r="F2007" s="34" t="s">
        <v>3574</v>
      </c>
      <c r="G2007" s="26">
        <v>0.38</v>
      </c>
      <c r="H2007" s="1" t="s">
        <v>774</v>
      </c>
      <c r="I2007" s="9">
        <v>1000</v>
      </c>
      <c r="J2007" s="36">
        <v>0.06</v>
      </c>
    </row>
    <row r="2008" spans="2:10" s="44" customFormat="1" x14ac:dyDescent="0.35">
      <c r="B2008" s="9" t="s">
        <v>716</v>
      </c>
      <c r="C2008" s="5" t="s">
        <v>717</v>
      </c>
      <c r="D2008" s="5" t="s">
        <v>3565</v>
      </c>
      <c r="E2008" s="5" t="s">
        <v>3082</v>
      </c>
      <c r="F2008" s="34" t="s">
        <v>3574</v>
      </c>
      <c r="G2008" s="26">
        <v>0.33799999999999997</v>
      </c>
      <c r="H2008" s="1" t="s">
        <v>774</v>
      </c>
      <c r="I2008" s="9">
        <v>1000</v>
      </c>
      <c r="J2008" s="36">
        <v>0.06</v>
      </c>
    </row>
    <row r="2009" spans="2:10" s="44" customFormat="1" x14ac:dyDescent="0.35">
      <c r="B2009" s="9" t="s">
        <v>2953</v>
      </c>
      <c r="C2009" s="5" t="s">
        <v>2954</v>
      </c>
      <c r="D2009" s="5" t="s">
        <v>3565</v>
      </c>
      <c r="E2009" s="5" t="s">
        <v>2955</v>
      </c>
      <c r="F2009" s="34" t="s">
        <v>3574</v>
      </c>
      <c r="G2009" s="26">
        <v>0.94799999999999995</v>
      </c>
      <c r="H2009" s="1" t="s">
        <v>774</v>
      </c>
      <c r="I2009" s="9">
        <v>100</v>
      </c>
      <c r="J2009" s="36">
        <v>0.06</v>
      </c>
    </row>
    <row r="2010" spans="2:10" s="44" customFormat="1" x14ac:dyDescent="0.35">
      <c r="B2010" s="9" t="s">
        <v>3262</v>
      </c>
      <c r="C2010" s="5" t="s">
        <v>3263</v>
      </c>
      <c r="D2010" s="5" t="s">
        <v>3565</v>
      </c>
      <c r="E2010" s="5" t="s">
        <v>3264</v>
      </c>
      <c r="F2010" s="34" t="s">
        <v>3574</v>
      </c>
      <c r="G2010" s="26">
        <v>0.61</v>
      </c>
      <c r="H2010" s="1" t="s">
        <v>774</v>
      </c>
      <c r="I2010" s="9">
        <v>100</v>
      </c>
      <c r="J2010" s="36">
        <v>0.06</v>
      </c>
    </row>
    <row r="2011" spans="2:10" s="44" customFormat="1" x14ac:dyDescent="0.35">
      <c r="B2011" s="9" t="s">
        <v>3201</v>
      </c>
      <c r="C2011" s="5" t="s">
        <v>3202</v>
      </c>
      <c r="D2011" s="5" t="s">
        <v>3565</v>
      </c>
      <c r="E2011" s="5" t="s">
        <v>3203</v>
      </c>
      <c r="F2011" s="34" t="s">
        <v>3574</v>
      </c>
      <c r="G2011" s="26">
        <v>0.2</v>
      </c>
      <c r="H2011" s="1" t="s">
        <v>774</v>
      </c>
      <c r="I2011" s="9">
        <v>200</v>
      </c>
      <c r="J2011" s="36">
        <v>0.06</v>
      </c>
    </row>
    <row r="2012" spans="2:10" s="44" customFormat="1" x14ac:dyDescent="0.35">
      <c r="B2012" s="9" t="s">
        <v>3099</v>
      </c>
      <c r="C2012" s="5" t="s">
        <v>3100</v>
      </c>
      <c r="D2012" s="5" t="s">
        <v>3565</v>
      </c>
      <c r="E2012" s="5" t="s">
        <v>3101</v>
      </c>
      <c r="F2012" s="34" t="s">
        <v>3574</v>
      </c>
      <c r="G2012" s="26">
        <v>0.2</v>
      </c>
      <c r="H2012" s="1" t="s">
        <v>774</v>
      </c>
      <c r="I2012" s="9">
        <v>200</v>
      </c>
      <c r="J2012" s="36">
        <v>0.06</v>
      </c>
    </row>
    <row r="2013" spans="2:10" s="44" customFormat="1" x14ac:dyDescent="0.35">
      <c r="B2013" s="9" t="s">
        <v>3308</v>
      </c>
      <c r="C2013" s="5" t="s">
        <v>3309</v>
      </c>
      <c r="D2013" s="5" t="s">
        <v>3565</v>
      </c>
      <c r="E2013" s="5" t="s">
        <v>3310</v>
      </c>
      <c r="F2013" s="34" t="s">
        <v>3574</v>
      </c>
      <c r="G2013" s="26">
        <v>0.9</v>
      </c>
      <c r="H2013" s="1" t="s">
        <v>774</v>
      </c>
      <c r="I2013" s="9">
        <v>100</v>
      </c>
      <c r="J2013" s="36">
        <v>0.06</v>
      </c>
    </row>
    <row r="2014" spans="2:10" s="44" customFormat="1" x14ac:dyDescent="0.35">
      <c r="B2014" s="9" t="s">
        <v>3593</v>
      </c>
      <c r="C2014" s="5" t="s">
        <v>3016</v>
      </c>
      <c r="D2014" s="5" t="s">
        <v>3565</v>
      </c>
      <c r="E2014" s="5" t="s">
        <v>3016</v>
      </c>
      <c r="F2014" s="34" t="s">
        <v>3574</v>
      </c>
      <c r="G2014" s="26">
        <v>0.38</v>
      </c>
      <c r="H2014" s="1" t="s">
        <v>774</v>
      </c>
      <c r="I2014" s="9">
        <v>1000</v>
      </c>
      <c r="J2014" s="36">
        <v>0.06</v>
      </c>
    </row>
    <row r="2015" spans="2:10" s="44" customFormat="1" x14ac:dyDescent="0.35">
      <c r="B2015" s="9" t="s">
        <v>3595</v>
      </c>
      <c r="C2015" s="5" t="s">
        <v>2488</v>
      </c>
      <c r="D2015" s="5" t="s">
        <v>3565</v>
      </c>
      <c r="E2015" s="5" t="s">
        <v>2489</v>
      </c>
      <c r="F2015" s="34" t="s">
        <v>3574</v>
      </c>
      <c r="G2015" s="26">
        <v>8.299999999999999E-2</v>
      </c>
      <c r="H2015" s="1" t="s">
        <v>774</v>
      </c>
      <c r="I2015" s="9">
        <v>100</v>
      </c>
      <c r="J2015" s="36">
        <v>0.06</v>
      </c>
    </row>
    <row r="2016" spans="2:10" s="44" customFormat="1" x14ac:dyDescent="0.35">
      <c r="B2016" s="9" t="s">
        <v>3204</v>
      </c>
      <c r="C2016" s="5" t="s">
        <v>3205</v>
      </c>
      <c r="D2016" s="5" t="s">
        <v>3565</v>
      </c>
      <c r="E2016" s="5" t="s">
        <v>3206</v>
      </c>
      <c r="F2016" s="34" t="s">
        <v>3574</v>
      </c>
      <c r="G2016" s="26">
        <v>0.34</v>
      </c>
      <c r="H2016" s="1" t="s">
        <v>774</v>
      </c>
      <c r="I2016" s="9">
        <v>200</v>
      </c>
      <c r="J2016" s="36">
        <v>0.06</v>
      </c>
    </row>
    <row r="2017" spans="2:10" s="44" customFormat="1" x14ac:dyDescent="0.35">
      <c r="B2017" s="9">
        <v>1586520</v>
      </c>
      <c r="C2017" s="5" t="s">
        <v>2488</v>
      </c>
      <c r="D2017" s="5" t="s">
        <v>3565</v>
      </c>
      <c r="E2017" s="5" t="s">
        <v>2489</v>
      </c>
      <c r="F2017" s="34" t="s">
        <v>3574</v>
      </c>
      <c r="G2017" s="26">
        <v>8.299999999999999E-2</v>
      </c>
      <c r="H2017" s="1" t="s">
        <v>774</v>
      </c>
      <c r="I2017" s="9">
        <v>100</v>
      </c>
      <c r="J2017" s="36">
        <v>0.06</v>
      </c>
    </row>
    <row r="2018" spans="2:10" s="44" customFormat="1" x14ac:dyDescent="0.35">
      <c r="B2018" s="9" t="s">
        <v>3596</v>
      </c>
      <c r="C2018" s="5" t="s">
        <v>2153</v>
      </c>
      <c r="D2018" s="5" t="s">
        <v>3565</v>
      </c>
      <c r="E2018" s="5" t="s">
        <v>2154</v>
      </c>
      <c r="F2018" s="34" t="s">
        <v>3574</v>
      </c>
      <c r="G2018" s="26">
        <v>0.13699999999999998</v>
      </c>
      <c r="H2018" s="1" t="s">
        <v>774</v>
      </c>
      <c r="I2018" s="9">
        <v>100</v>
      </c>
      <c r="J2018" s="36">
        <v>0.06</v>
      </c>
    </row>
    <row r="2019" spans="2:10" s="44" customFormat="1" x14ac:dyDescent="0.35">
      <c r="B2019" s="9" t="s">
        <v>3321</v>
      </c>
      <c r="C2019" s="5" t="s">
        <v>3322</v>
      </c>
      <c r="D2019" s="5" t="s">
        <v>3565</v>
      </c>
      <c r="E2019" s="5" t="s">
        <v>3323</v>
      </c>
      <c r="F2019" s="34" t="s">
        <v>3574</v>
      </c>
      <c r="G2019" s="26">
        <v>0.3</v>
      </c>
      <c r="H2019" s="1" t="s">
        <v>774</v>
      </c>
      <c r="I2019" s="9">
        <v>100</v>
      </c>
      <c r="J2019" s="36">
        <v>0.06</v>
      </c>
    </row>
    <row r="2020" spans="2:10" s="44" customFormat="1" x14ac:dyDescent="0.35">
      <c r="B2020" s="9" t="s">
        <v>3218</v>
      </c>
      <c r="C2020" s="5" t="s">
        <v>3219</v>
      </c>
      <c r="D2020" s="5" t="s">
        <v>3565</v>
      </c>
      <c r="E2020" s="5" t="s">
        <v>3220</v>
      </c>
      <c r="F2020" s="34" t="s">
        <v>3574</v>
      </c>
      <c r="G2020" s="26">
        <v>0.28000000000000003</v>
      </c>
      <c r="H2020" s="1" t="s">
        <v>774</v>
      </c>
      <c r="I2020" s="9">
        <v>200</v>
      </c>
      <c r="J2020" s="36">
        <v>0.06</v>
      </c>
    </row>
    <row r="2021" spans="2:10" s="44" customFormat="1" x14ac:dyDescent="0.35">
      <c r="B2021" s="9" t="s">
        <v>3215</v>
      </c>
      <c r="C2021" s="5" t="s">
        <v>3216</v>
      </c>
      <c r="D2021" s="5" t="s">
        <v>3565</v>
      </c>
      <c r="E2021" s="5" t="s">
        <v>3217</v>
      </c>
      <c r="F2021" s="34" t="s">
        <v>3574</v>
      </c>
      <c r="G2021" s="26">
        <v>0.22</v>
      </c>
      <c r="H2021" s="1" t="s">
        <v>774</v>
      </c>
      <c r="I2021" s="9">
        <v>200</v>
      </c>
      <c r="J2021" s="36">
        <v>0.06</v>
      </c>
    </row>
    <row r="2022" spans="2:10" s="44" customFormat="1" x14ac:dyDescent="0.35">
      <c r="B2022" s="9" t="s">
        <v>2522</v>
      </c>
      <c r="C2022" s="5" t="s">
        <v>2523</v>
      </c>
      <c r="D2022" s="5" t="s">
        <v>3565</v>
      </c>
      <c r="E2022" s="5" t="s">
        <v>2524</v>
      </c>
      <c r="F2022" s="34" t="s">
        <v>3574</v>
      </c>
      <c r="G2022" s="26">
        <v>0.14899999999999999</v>
      </c>
      <c r="H2022" s="1" t="s">
        <v>774</v>
      </c>
      <c r="I2022" s="9">
        <v>100</v>
      </c>
      <c r="J2022" s="36">
        <v>0.06</v>
      </c>
    </row>
    <row r="2023" spans="2:10" s="44" customFormat="1" x14ac:dyDescent="0.35">
      <c r="B2023" s="9" t="s">
        <v>2983</v>
      </c>
      <c r="C2023" s="5" t="s">
        <v>2984</v>
      </c>
      <c r="D2023" s="5" t="s">
        <v>3565</v>
      </c>
      <c r="E2023" s="5" t="s">
        <v>2985</v>
      </c>
      <c r="F2023" s="34" t="s">
        <v>3574</v>
      </c>
      <c r="G2023" s="26">
        <v>0.22700000000000004</v>
      </c>
      <c r="H2023" s="1" t="s">
        <v>774</v>
      </c>
      <c r="I2023" s="9">
        <v>100</v>
      </c>
      <c r="J2023" s="36">
        <v>0.06</v>
      </c>
    </row>
    <row r="2024" spans="2:10" s="44" customFormat="1" x14ac:dyDescent="0.35">
      <c r="B2024" s="9" t="s">
        <v>3195</v>
      </c>
      <c r="C2024" s="5" t="s">
        <v>3196</v>
      </c>
      <c r="D2024" s="5" t="s">
        <v>3565</v>
      </c>
      <c r="E2024" s="5" t="s">
        <v>3197</v>
      </c>
      <c r="F2024" s="34" t="s">
        <v>3574</v>
      </c>
      <c r="G2024" s="26">
        <v>0.38</v>
      </c>
      <c r="H2024" s="1" t="s">
        <v>774</v>
      </c>
      <c r="I2024" s="9">
        <v>200</v>
      </c>
      <c r="J2024" s="36">
        <v>0.06</v>
      </c>
    </row>
    <row r="2025" spans="2:10" s="44" customFormat="1" x14ac:dyDescent="0.35">
      <c r="B2025" s="9" t="s">
        <v>2499</v>
      </c>
      <c r="C2025" s="5" t="s">
        <v>2500</v>
      </c>
      <c r="D2025" s="5" t="s">
        <v>3565</v>
      </c>
      <c r="E2025" s="5" t="s">
        <v>2501</v>
      </c>
      <c r="F2025" s="34" t="s">
        <v>3574</v>
      </c>
      <c r="G2025" s="26">
        <v>0.48700000000000004</v>
      </c>
      <c r="H2025" s="1" t="s">
        <v>774</v>
      </c>
      <c r="I2025" s="9">
        <v>100</v>
      </c>
      <c r="J2025" s="36">
        <v>0.06</v>
      </c>
    </row>
    <row r="2026" spans="2:10" s="44" customFormat="1" x14ac:dyDescent="0.35">
      <c r="B2026" s="9" t="s">
        <v>3311</v>
      </c>
      <c r="C2026" s="5" t="s">
        <v>3312</v>
      </c>
      <c r="D2026" s="5" t="s">
        <v>3565</v>
      </c>
      <c r="E2026" s="5" t="s">
        <v>3313</v>
      </c>
      <c r="F2026" s="34" t="s">
        <v>3574</v>
      </c>
      <c r="G2026" s="26">
        <v>0.4</v>
      </c>
      <c r="H2026" s="1" t="s">
        <v>774</v>
      </c>
      <c r="I2026" s="9">
        <v>100</v>
      </c>
      <c r="J2026" s="36">
        <v>0.06</v>
      </c>
    </row>
    <row r="2027" spans="2:10" s="44" customFormat="1" x14ac:dyDescent="0.35">
      <c r="B2027" s="9" t="s">
        <v>3336</v>
      </c>
      <c r="C2027" s="5" t="s">
        <v>3337</v>
      </c>
      <c r="D2027" s="5" t="s">
        <v>3565</v>
      </c>
      <c r="E2027" s="5" t="s">
        <v>3338</v>
      </c>
      <c r="F2027" s="34" t="s">
        <v>3574</v>
      </c>
      <c r="G2027" s="26">
        <v>0.85</v>
      </c>
      <c r="H2027" s="1" t="s">
        <v>774</v>
      </c>
      <c r="I2027" s="9">
        <v>100</v>
      </c>
      <c r="J2027" s="36">
        <v>0.06</v>
      </c>
    </row>
    <row r="2028" spans="2:10" s="44" customFormat="1" x14ac:dyDescent="0.35">
      <c r="B2028" s="9" t="s">
        <v>3324</v>
      </c>
      <c r="C2028" s="5" t="s">
        <v>3325</v>
      </c>
      <c r="D2028" s="5" t="s">
        <v>3565</v>
      </c>
      <c r="E2028" s="5" t="s">
        <v>3326</v>
      </c>
      <c r="F2028" s="34" t="s">
        <v>3574</v>
      </c>
      <c r="G2028" s="26">
        <v>1.1000000000000001</v>
      </c>
      <c r="H2028" s="1" t="s">
        <v>774</v>
      </c>
      <c r="I2028" s="9">
        <v>100</v>
      </c>
      <c r="J2028" s="36">
        <v>0.06</v>
      </c>
    </row>
    <row r="2029" spans="2:10" s="44" customFormat="1" x14ac:dyDescent="0.35">
      <c r="B2029" s="9" t="s">
        <v>743</v>
      </c>
      <c r="C2029" s="5" t="s">
        <v>2543</v>
      </c>
      <c r="D2029" s="5" t="s">
        <v>3565</v>
      </c>
      <c r="E2029" s="5" t="s">
        <v>2544</v>
      </c>
      <c r="F2029" s="34" t="s">
        <v>3574</v>
      </c>
      <c r="G2029" s="26">
        <v>0.183</v>
      </c>
      <c r="H2029" s="1" t="s">
        <v>774</v>
      </c>
      <c r="I2029" s="9">
        <v>100</v>
      </c>
      <c r="J2029" s="36">
        <v>0.06</v>
      </c>
    </row>
    <row r="2030" spans="2:10" s="44" customFormat="1" x14ac:dyDescent="0.35">
      <c r="B2030" s="9" t="s">
        <v>3294</v>
      </c>
      <c r="C2030" s="5" t="s">
        <v>3295</v>
      </c>
      <c r="D2030" s="5" t="s">
        <v>3565</v>
      </c>
      <c r="E2030" s="5" t="s">
        <v>3296</v>
      </c>
      <c r="F2030" s="34" t="s">
        <v>3574</v>
      </c>
      <c r="G2030" s="26">
        <v>0.8</v>
      </c>
      <c r="H2030" s="1" t="s">
        <v>774</v>
      </c>
      <c r="I2030" s="9">
        <v>100</v>
      </c>
      <c r="J2030" s="36">
        <v>0.06</v>
      </c>
    </row>
    <row r="2031" spans="2:10" s="44" customFormat="1" x14ac:dyDescent="0.35">
      <c r="B2031" s="9" t="s">
        <v>3248</v>
      </c>
      <c r="C2031" s="5" t="s">
        <v>3249</v>
      </c>
      <c r="D2031" s="5" t="s">
        <v>3565</v>
      </c>
      <c r="E2031" s="5" t="s">
        <v>3250</v>
      </c>
      <c r="F2031" s="34" t="s">
        <v>3574</v>
      </c>
      <c r="G2031" s="26">
        <v>0.73</v>
      </c>
      <c r="H2031" s="1" t="s">
        <v>774</v>
      </c>
      <c r="I2031" s="9">
        <v>100</v>
      </c>
      <c r="J2031" s="36">
        <v>0.06</v>
      </c>
    </row>
    <row r="2032" spans="2:10" s="44" customFormat="1" x14ac:dyDescent="0.35">
      <c r="B2032" s="9" t="s">
        <v>2106</v>
      </c>
      <c r="C2032" s="5" t="s">
        <v>2107</v>
      </c>
      <c r="D2032" s="5" t="s">
        <v>3565</v>
      </c>
      <c r="E2032" s="5" t="s">
        <v>2108</v>
      </c>
      <c r="F2032" s="34" t="s">
        <v>3574</v>
      </c>
      <c r="G2032" s="26">
        <v>2.415</v>
      </c>
      <c r="H2032" s="1" t="s">
        <v>774</v>
      </c>
      <c r="I2032" s="9">
        <v>1000</v>
      </c>
      <c r="J2032" s="36">
        <v>0.06</v>
      </c>
    </row>
    <row r="2033" spans="2:10" s="44" customFormat="1" x14ac:dyDescent="0.35">
      <c r="B2033" s="9" t="s">
        <v>3108</v>
      </c>
      <c r="C2033" s="5" t="s">
        <v>3109</v>
      </c>
      <c r="D2033" s="5" t="s">
        <v>3565</v>
      </c>
      <c r="E2033" s="5" t="s">
        <v>3110</v>
      </c>
      <c r="F2033" s="34" t="s">
        <v>3574</v>
      </c>
      <c r="G2033" s="26">
        <v>0.188</v>
      </c>
      <c r="H2033" s="1" t="s">
        <v>774</v>
      </c>
      <c r="I2033" s="9">
        <v>200</v>
      </c>
      <c r="J2033" s="36">
        <v>0.06</v>
      </c>
    </row>
    <row r="2034" spans="2:10" s="44" customFormat="1" x14ac:dyDescent="0.35">
      <c r="B2034" s="9">
        <v>1586433</v>
      </c>
      <c r="C2034" s="5" t="s">
        <v>2153</v>
      </c>
      <c r="D2034" s="5" t="s">
        <v>3565</v>
      </c>
      <c r="E2034" s="5" t="s">
        <v>2154</v>
      </c>
      <c r="F2034" s="34" t="s">
        <v>3574</v>
      </c>
      <c r="G2034" s="26">
        <v>0.13699999999999998</v>
      </c>
      <c r="H2034" s="1" t="s">
        <v>774</v>
      </c>
      <c r="I2034" s="9">
        <v>100</v>
      </c>
      <c r="J2034" s="36">
        <v>0.06</v>
      </c>
    </row>
    <row r="2035" spans="2:10" s="44" customFormat="1" x14ac:dyDescent="0.35">
      <c r="B2035" s="9" t="s">
        <v>3597</v>
      </c>
      <c r="C2035" s="5" t="s">
        <v>1488</v>
      </c>
      <c r="D2035" s="5" t="s">
        <v>3565</v>
      </c>
      <c r="E2035" s="5" t="s">
        <v>1476</v>
      </c>
      <c r="F2035" s="34" t="s">
        <v>3574</v>
      </c>
      <c r="G2035" s="26">
        <v>0.59899999999999998</v>
      </c>
      <c r="H2035" s="1" t="s">
        <v>774</v>
      </c>
      <c r="I2035" s="9">
        <v>100</v>
      </c>
      <c r="J2035" s="36">
        <v>0.06</v>
      </c>
    </row>
    <row r="2036" spans="2:10" s="44" customFormat="1" x14ac:dyDescent="0.35">
      <c r="B2036" s="9" t="s">
        <v>3398</v>
      </c>
      <c r="C2036" s="5" t="s">
        <v>722</v>
      </c>
      <c r="D2036" s="5" t="s">
        <v>3565</v>
      </c>
      <c r="E2036" s="5" t="s">
        <v>3399</v>
      </c>
      <c r="F2036" s="34" t="s">
        <v>3574</v>
      </c>
      <c r="G2036" s="26">
        <v>0.75</v>
      </c>
      <c r="H2036" s="1" t="s">
        <v>774</v>
      </c>
      <c r="I2036" s="9">
        <v>100</v>
      </c>
      <c r="J2036" s="36">
        <v>0.06</v>
      </c>
    </row>
    <row r="2037" spans="2:10" s="44" customFormat="1" x14ac:dyDescent="0.35">
      <c r="B2037" s="9" t="s">
        <v>3391</v>
      </c>
      <c r="C2037" s="5" t="s">
        <v>3392</v>
      </c>
      <c r="D2037" s="5" t="s">
        <v>3565</v>
      </c>
      <c r="E2037" s="5" t="s">
        <v>3393</v>
      </c>
      <c r="F2037" s="34" t="s">
        <v>3574</v>
      </c>
      <c r="G2037" s="26">
        <v>0.52</v>
      </c>
      <c r="H2037" s="1" t="s">
        <v>774</v>
      </c>
      <c r="I2037" s="9">
        <v>1000</v>
      </c>
      <c r="J2037" s="36">
        <v>0.06</v>
      </c>
    </row>
    <row r="2038" spans="2:10" s="44" customFormat="1" x14ac:dyDescent="0.35">
      <c r="B2038" s="9" t="s">
        <v>3287</v>
      </c>
      <c r="C2038" s="5" t="s">
        <v>3288</v>
      </c>
      <c r="D2038" s="5" t="s">
        <v>3565</v>
      </c>
      <c r="E2038" s="5" t="s">
        <v>3289</v>
      </c>
      <c r="F2038" s="34" t="s">
        <v>3574</v>
      </c>
      <c r="G2038" s="26">
        <v>0.38</v>
      </c>
      <c r="H2038" s="1" t="s">
        <v>774</v>
      </c>
      <c r="I2038" s="9">
        <v>100</v>
      </c>
      <c r="J2038" s="36">
        <v>0.06</v>
      </c>
    </row>
    <row r="2039" spans="2:10" s="44" customFormat="1" x14ac:dyDescent="0.35">
      <c r="B2039" s="9" t="s">
        <v>3305</v>
      </c>
      <c r="C2039" s="5" t="s">
        <v>3306</v>
      </c>
      <c r="D2039" s="5" t="s">
        <v>3565</v>
      </c>
      <c r="E2039" s="5" t="s">
        <v>3307</v>
      </c>
      <c r="F2039" s="34" t="s">
        <v>3574</v>
      </c>
      <c r="G2039" s="26">
        <v>0.75</v>
      </c>
      <c r="H2039" s="1" t="s">
        <v>774</v>
      </c>
      <c r="I2039" s="9">
        <v>100</v>
      </c>
      <c r="J2039" s="36">
        <v>0.06</v>
      </c>
    </row>
    <row r="2040" spans="2:10" s="44" customFormat="1" x14ac:dyDescent="0.35">
      <c r="B2040" s="9">
        <v>1147015</v>
      </c>
      <c r="C2040" s="5" t="s">
        <v>1488</v>
      </c>
      <c r="D2040" s="5" t="s">
        <v>3565</v>
      </c>
      <c r="E2040" s="5" t="s">
        <v>1476</v>
      </c>
      <c r="F2040" s="34" t="s">
        <v>3574</v>
      </c>
      <c r="G2040" s="26">
        <v>0.59899999999999998</v>
      </c>
      <c r="H2040" s="1" t="s">
        <v>774</v>
      </c>
      <c r="I2040" s="9">
        <v>100</v>
      </c>
      <c r="J2040" s="36">
        <v>0.06</v>
      </c>
    </row>
    <row r="2041" spans="2:10" s="44" customFormat="1" x14ac:dyDescent="0.35">
      <c r="B2041" s="9" t="s">
        <v>3598</v>
      </c>
      <c r="C2041" s="5" t="s">
        <v>2049</v>
      </c>
      <c r="D2041" s="5" t="s">
        <v>3565</v>
      </c>
      <c r="E2041" s="5" t="s">
        <v>2050</v>
      </c>
      <c r="F2041" s="34" t="s">
        <v>3574</v>
      </c>
      <c r="G2041" s="26">
        <v>1.68</v>
      </c>
      <c r="H2041" s="1" t="s">
        <v>774</v>
      </c>
      <c r="I2041" s="9">
        <v>1000</v>
      </c>
      <c r="J2041" s="36">
        <v>0.06</v>
      </c>
    </row>
    <row r="2042" spans="2:10" s="44" customFormat="1" x14ac:dyDescent="0.35">
      <c r="B2042" s="9" t="s">
        <v>2537</v>
      </c>
      <c r="C2042" s="5" t="s">
        <v>2538</v>
      </c>
      <c r="D2042" s="5" t="s">
        <v>3565</v>
      </c>
      <c r="E2042" s="5" t="s">
        <v>2539</v>
      </c>
      <c r="F2042" s="34" t="s">
        <v>3574</v>
      </c>
      <c r="G2042" s="26">
        <v>0.436</v>
      </c>
      <c r="H2042" s="1" t="s">
        <v>774</v>
      </c>
      <c r="I2042" s="9">
        <v>100</v>
      </c>
      <c r="J2042" s="36">
        <v>0.06</v>
      </c>
    </row>
    <row r="2043" spans="2:10" s="44" customFormat="1" x14ac:dyDescent="0.35">
      <c r="B2043" s="9" t="s">
        <v>3314</v>
      </c>
      <c r="C2043" s="5" t="s">
        <v>3315</v>
      </c>
      <c r="D2043" s="5" t="s">
        <v>3565</v>
      </c>
      <c r="E2043" s="5" t="s">
        <v>3316</v>
      </c>
      <c r="F2043" s="34" t="s">
        <v>3574</v>
      </c>
      <c r="G2043" s="26">
        <v>0.95</v>
      </c>
      <c r="H2043" s="1" t="s">
        <v>774</v>
      </c>
      <c r="I2043" s="9">
        <v>100</v>
      </c>
      <c r="J2043" s="36">
        <v>0.06</v>
      </c>
    </row>
    <row r="2044" spans="2:10" s="44" customFormat="1" x14ac:dyDescent="0.35">
      <c r="B2044" s="9" t="s">
        <v>2513</v>
      </c>
      <c r="C2044" s="5" t="s">
        <v>2514</v>
      </c>
      <c r="D2044" s="5" t="s">
        <v>3565</v>
      </c>
      <c r="E2044" s="5" t="s">
        <v>2515</v>
      </c>
      <c r="F2044" s="34" t="s">
        <v>3574</v>
      </c>
      <c r="G2044" s="26">
        <v>0.38800000000000007</v>
      </c>
      <c r="H2044" s="1" t="s">
        <v>774</v>
      </c>
      <c r="I2044" s="9">
        <v>100</v>
      </c>
      <c r="J2044" s="36">
        <v>0.06</v>
      </c>
    </row>
    <row r="2045" spans="2:10" s="44" customFormat="1" x14ac:dyDescent="0.35">
      <c r="B2045" s="9" t="s">
        <v>750</v>
      </c>
      <c r="C2045" s="5" t="s">
        <v>751</v>
      </c>
      <c r="D2045" s="5" t="s">
        <v>3565</v>
      </c>
      <c r="E2045" s="5" t="s">
        <v>3258</v>
      </c>
      <c r="F2045" s="34" t="s">
        <v>3574</v>
      </c>
      <c r="G2045" s="26">
        <v>2.8</v>
      </c>
      <c r="H2045" s="1" t="s">
        <v>774</v>
      </c>
      <c r="I2045" s="9">
        <v>1000</v>
      </c>
      <c r="J2045" s="36">
        <v>0.06</v>
      </c>
    </row>
    <row r="2046" spans="2:10" s="44" customFormat="1" x14ac:dyDescent="0.35">
      <c r="B2046" s="9">
        <v>1585877</v>
      </c>
      <c r="C2046" s="5" t="s">
        <v>2049</v>
      </c>
      <c r="D2046" s="5" t="s">
        <v>3565</v>
      </c>
      <c r="E2046" s="5" t="s">
        <v>2050</v>
      </c>
      <c r="F2046" s="34" t="s">
        <v>3574</v>
      </c>
      <c r="G2046" s="26">
        <v>1.68</v>
      </c>
      <c r="H2046" s="1" t="s">
        <v>774</v>
      </c>
      <c r="I2046" s="9">
        <v>1000</v>
      </c>
      <c r="J2046" s="36">
        <v>0.06</v>
      </c>
    </row>
    <row r="2047" spans="2:10" s="44" customFormat="1" x14ac:dyDescent="0.35">
      <c r="B2047" s="9" t="s">
        <v>3599</v>
      </c>
      <c r="C2047" s="5" t="s">
        <v>1479</v>
      </c>
      <c r="D2047" s="5" t="s">
        <v>3565</v>
      </c>
      <c r="E2047" s="5" t="s">
        <v>1480</v>
      </c>
      <c r="F2047" s="34" t="s">
        <v>3574</v>
      </c>
      <c r="G2047" s="26">
        <v>0.67899999999999994</v>
      </c>
      <c r="H2047" s="1" t="s">
        <v>774</v>
      </c>
      <c r="I2047" s="9">
        <v>100</v>
      </c>
      <c r="J2047" s="36">
        <v>0.06</v>
      </c>
    </row>
    <row r="2048" spans="2:10" s="44" customFormat="1" x14ac:dyDescent="0.35">
      <c r="B2048" s="9" t="s">
        <v>3119</v>
      </c>
      <c r="C2048" s="5" t="s">
        <v>3120</v>
      </c>
      <c r="D2048" s="5" t="s">
        <v>3565</v>
      </c>
      <c r="E2048" s="5" t="s">
        <v>3121</v>
      </c>
      <c r="F2048" s="34" t="s">
        <v>3574</v>
      </c>
      <c r="G2048" s="26">
        <v>1.25</v>
      </c>
      <c r="H2048" s="1" t="s">
        <v>774</v>
      </c>
      <c r="I2048" s="9">
        <v>100</v>
      </c>
      <c r="J2048" s="36">
        <v>0.06</v>
      </c>
    </row>
    <row r="2049" spans="2:10" s="44" customFormat="1" x14ac:dyDescent="0.35">
      <c r="B2049" s="9" t="s">
        <v>2989</v>
      </c>
      <c r="C2049" s="5" t="s">
        <v>2990</v>
      </c>
      <c r="D2049" s="5" t="s">
        <v>3565</v>
      </c>
      <c r="E2049" s="5" t="s">
        <v>2991</v>
      </c>
      <c r="F2049" s="34" t="s">
        <v>3574</v>
      </c>
      <c r="G2049" s="26">
        <v>41.2</v>
      </c>
      <c r="H2049" s="1" t="s">
        <v>774</v>
      </c>
      <c r="I2049" s="9">
        <v>10</v>
      </c>
      <c r="J2049" s="36">
        <v>0.06</v>
      </c>
    </row>
    <row r="2050" spans="2:10" s="44" customFormat="1" x14ac:dyDescent="0.35">
      <c r="B2050" s="9" t="s">
        <v>2992</v>
      </c>
      <c r="C2050" s="5" t="s">
        <v>2993</v>
      </c>
      <c r="D2050" s="5" t="s">
        <v>3565</v>
      </c>
      <c r="E2050" s="5" t="s">
        <v>2994</v>
      </c>
      <c r="F2050" s="34" t="s">
        <v>3574</v>
      </c>
      <c r="G2050" s="26">
        <v>0.39200000000000002</v>
      </c>
      <c r="H2050" s="1" t="s">
        <v>774</v>
      </c>
      <c r="I2050" s="9">
        <v>100</v>
      </c>
      <c r="J2050" s="36">
        <v>0.06</v>
      </c>
    </row>
    <row r="2051" spans="2:10" s="44" customFormat="1" x14ac:dyDescent="0.35">
      <c r="B2051" s="9" t="s">
        <v>3209</v>
      </c>
      <c r="C2051" s="5" t="s">
        <v>3210</v>
      </c>
      <c r="D2051" s="5" t="s">
        <v>3565</v>
      </c>
      <c r="E2051" s="5" t="s">
        <v>3211</v>
      </c>
      <c r="F2051" s="34" t="s">
        <v>3574</v>
      </c>
      <c r="G2051" s="26">
        <v>0.28000000000000003</v>
      </c>
      <c r="H2051" s="1" t="s">
        <v>774</v>
      </c>
      <c r="I2051" s="9">
        <v>200</v>
      </c>
      <c r="J2051" s="36">
        <v>0.06</v>
      </c>
    </row>
    <row r="2052" spans="2:10" s="44" customFormat="1" x14ac:dyDescent="0.35">
      <c r="B2052" s="9" t="s">
        <v>723</v>
      </c>
      <c r="C2052" s="5" t="s">
        <v>724</v>
      </c>
      <c r="D2052" s="5" t="s">
        <v>3565</v>
      </c>
      <c r="E2052" s="5" t="s">
        <v>2945</v>
      </c>
      <c r="F2052" s="34" t="s">
        <v>3574</v>
      </c>
      <c r="G2052" s="26">
        <v>3.5</v>
      </c>
      <c r="H2052" s="1" t="s">
        <v>774</v>
      </c>
      <c r="I2052" s="9">
        <v>1000</v>
      </c>
      <c r="J2052" s="36">
        <v>0.06</v>
      </c>
    </row>
    <row r="2053" spans="2:10" s="44" customFormat="1" x14ac:dyDescent="0.35">
      <c r="B2053" s="9" t="s">
        <v>725</v>
      </c>
      <c r="C2053" s="5" t="s">
        <v>2946</v>
      </c>
      <c r="D2053" s="5" t="s">
        <v>3565</v>
      </c>
      <c r="E2053" s="5" t="s">
        <v>2947</v>
      </c>
      <c r="F2053" s="34" t="s">
        <v>3574</v>
      </c>
      <c r="G2053" s="26">
        <v>3.6</v>
      </c>
      <c r="H2053" s="1" t="s">
        <v>774</v>
      </c>
      <c r="I2053" s="9">
        <v>1000</v>
      </c>
      <c r="J2053" s="36">
        <v>0.06</v>
      </c>
    </row>
    <row r="2054" spans="2:10" s="44" customFormat="1" x14ac:dyDescent="0.35">
      <c r="B2054" s="9" t="s">
        <v>3150</v>
      </c>
      <c r="C2054" s="5" t="s">
        <v>3151</v>
      </c>
      <c r="D2054" s="5" t="s">
        <v>3565</v>
      </c>
      <c r="E2054" s="5" t="s">
        <v>3152</v>
      </c>
      <c r="F2054" s="34" t="s">
        <v>3574</v>
      </c>
      <c r="G2054" s="26">
        <v>0.15</v>
      </c>
      <c r="H2054" s="1" t="s">
        <v>774</v>
      </c>
      <c r="I2054" s="9">
        <v>200</v>
      </c>
      <c r="J2054" s="36">
        <v>0.06</v>
      </c>
    </row>
    <row r="2055" spans="2:10" s="44" customFormat="1" x14ac:dyDescent="0.35">
      <c r="B2055" s="9" t="s">
        <v>2496</v>
      </c>
      <c r="C2055" s="5" t="s">
        <v>2497</v>
      </c>
      <c r="D2055" s="5" t="s">
        <v>3565</v>
      </c>
      <c r="E2055" s="5" t="s">
        <v>2498</v>
      </c>
      <c r="F2055" s="34" t="s">
        <v>3574</v>
      </c>
      <c r="G2055" s="26">
        <v>0.16400000000000003</v>
      </c>
      <c r="H2055" s="1" t="s">
        <v>774</v>
      </c>
      <c r="I2055" s="9">
        <v>100</v>
      </c>
      <c r="J2055" s="36">
        <v>0.06</v>
      </c>
    </row>
    <row r="2056" spans="2:10" s="44" customFormat="1" x14ac:dyDescent="0.35">
      <c r="B2056" s="9" t="s">
        <v>3224</v>
      </c>
      <c r="C2056" s="5" t="s">
        <v>3225</v>
      </c>
      <c r="D2056" s="5" t="s">
        <v>3565</v>
      </c>
      <c r="E2056" s="5" t="s">
        <v>3226</v>
      </c>
      <c r="F2056" s="34" t="s">
        <v>3574</v>
      </c>
      <c r="G2056" s="26">
        <v>0.45</v>
      </c>
      <c r="H2056" s="1" t="s">
        <v>774</v>
      </c>
      <c r="I2056" s="9">
        <v>100</v>
      </c>
      <c r="J2056" s="36">
        <v>0.06</v>
      </c>
    </row>
    <row r="2057" spans="2:10" s="44" customFormat="1" x14ac:dyDescent="0.35">
      <c r="B2057" s="9" t="s">
        <v>728</v>
      </c>
      <c r="C2057" s="5" t="s">
        <v>2545</v>
      </c>
      <c r="D2057" s="5" t="s">
        <v>3565</v>
      </c>
      <c r="E2057" s="5" t="s">
        <v>2546</v>
      </c>
      <c r="F2057" s="34" t="s">
        <v>3574</v>
      </c>
      <c r="G2057" s="26">
        <v>0.155</v>
      </c>
      <c r="H2057" s="1" t="s">
        <v>774</v>
      </c>
      <c r="I2057" s="9">
        <v>100</v>
      </c>
      <c r="J2057" s="36">
        <v>0.06</v>
      </c>
    </row>
    <row r="2058" spans="2:10" s="44" customFormat="1" x14ac:dyDescent="0.35">
      <c r="B2058" s="9" t="s">
        <v>709</v>
      </c>
      <c r="C2058" s="5" t="s">
        <v>3017</v>
      </c>
      <c r="D2058" s="5" t="s">
        <v>3565</v>
      </c>
      <c r="E2058" s="5" t="s">
        <v>3017</v>
      </c>
      <c r="F2058" s="34" t="s">
        <v>3574</v>
      </c>
      <c r="G2058" s="26">
        <v>0.4</v>
      </c>
      <c r="H2058" s="1" t="s">
        <v>774</v>
      </c>
      <c r="I2058" s="9">
        <v>1000</v>
      </c>
      <c r="J2058" s="36">
        <v>0.06</v>
      </c>
    </row>
    <row r="2059" spans="2:10" s="44" customFormat="1" x14ac:dyDescent="0.35">
      <c r="B2059" s="9" t="s">
        <v>3372</v>
      </c>
      <c r="C2059" s="5" t="s">
        <v>3373</v>
      </c>
      <c r="D2059" s="5" t="s">
        <v>3565</v>
      </c>
      <c r="E2059" s="11" t="s">
        <v>3573</v>
      </c>
      <c r="F2059" s="34" t="s">
        <v>3574</v>
      </c>
      <c r="G2059" s="26">
        <v>13.7</v>
      </c>
      <c r="H2059" s="1" t="s">
        <v>774</v>
      </c>
      <c r="I2059" s="9">
        <v>25</v>
      </c>
      <c r="J2059" s="36">
        <v>0.06</v>
      </c>
    </row>
    <row r="2060" spans="2:10" s="44" customFormat="1" x14ac:dyDescent="0.35">
      <c r="B2060" s="9" t="s">
        <v>113</v>
      </c>
      <c r="C2060" s="5" t="s">
        <v>114</v>
      </c>
      <c r="D2060" s="5" t="s">
        <v>3564</v>
      </c>
      <c r="E2060" s="5">
        <v>10234167</v>
      </c>
      <c r="F2060" s="34" t="s">
        <v>3552</v>
      </c>
      <c r="G2060" s="26">
        <v>186.81</v>
      </c>
      <c r="H2060" s="1" t="s">
        <v>774</v>
      </c>
      <c r="I2060" s="9">
        <v>1</v>
      </c>
      <c r="J2060" s="36">
        <v>0.1</v>
      </c>
    </row>
    <row r="2061" spans="2:10" s="44" customFormat="1" x14ac:dyDescent="0.35">
      <c r="B2061" s="9" t="s">
        <v>2980</v>
      </c>
      <c r="C2061" s="5" t="s">
        <v>2981</v>
      </c>
      <c r="D2061" s="5" t="s">
        <v>3565</v>
      </c>
      <c r="E2061" s="5" t="s">
        <v>2982</v>
      </c>
      <c r="F2061" s="34" t="s">
        <v>3574</v>
      </c>
      <c r="G2061" s="26">
        <v>0.39200000000000002</v>
      </c>
      <c r="H2061" s="1" t="s">
        <v>774</v>
      </c>
      <c r="I2061" s="9">
        <v>100</v>
      </c>
      <c r="J2061" s="36">
        <v>0.06</v>
      </c>
    </row>
    <row r="2062" spans="2:10" s="44" customFormat="1" x14ac:dyDescent="0.35">
      <c r="B2062" s="9" t="s">
        <v>2519</v>
      </c>
      <c r="C2062" s="5" t="s">
        <v>2520</v>
      </c>
      <c r="D2062" s="5" t="s">
        <v>3565</v>
      </c>
      <c r="E2062" s="5" t="s">
        <v>2521</v>
      </c>
      <c r="F2062" s="34" t="s">
        <v>3574</v>
      </c>
      <c r="G2062" s="26">
        <v>0.18200000000000002</v>
      </c>
      <c r="H2062" s="1" t="s">
        <v>774</v>
      </c>
      <c r="I2062" s="9">
        <v>100</v>
      </c>
      <c r="J2062" s="36">
        <v>0.06</v>
      </c>
    </row>
    <row r="2063" spans="2:10" s="44" customFormat="1" x14ac:dyDescent="0.35">
      <c r="B2063" s="9" t="s">
        <v>3157</v>
      </c>
      <c r="C2063" s="5" t="s">
        <v>3158</v>
      </c>
      <c r="D2063" s="5" t="s">
        <v>3565</v>
      </c>
      <c r="E2063" s="5" t="s">
        <v>3159</v>
      </c>
      <c r="F2063" s="34" t="s">
        <v>3574</v>
      </c>
      <c r="G2063" s="26">
        <v>3.1</v>
      </c>
      <c r="H2063" s="1" t="s">
        <v>774</v>
      </c>
      <c r="I2063" s="9">
        <v>100</v>
      </c>
      <c r="J2063" s="36">
        <v>0.06</v>
      </c>
    </row>
    <row r="2064" spans="2:10" s="44" customFormat="1" x14ac:dyDescent="0.35">
      <c r="B2064" s="9" t="s">
        <v>2534</v>
      </c>
      <c r="C2064" s="5" t="s">
        <v>2535</v>
      </c>
      <c r="D2064" s="5" t="s">
        <v>3565</v>
      </c>
      <c r="E2064" s="5" t="s">
        <v>2536</v>
      </c>
      <c r="F2064" s="34" t="s">
        <v>3574</v>
      </c>
      <c r="G2064" s="26">
        <v>0.18900000000000003</v>
      </c>
      <c r="H2064" s="1" t="s">
        <v>774</v>
      </c>
      <c r="I2064" s="9">
        <v>100</v>
      </c>
      <c r="J2064" s="36">
        <v>0.06</v>
      </c>
    </row>
    <row r="2065" spans="2:10" s="44" customFormat="1" x14ac:dyDescent="0.35">
      <c r="B2065" s="9" t="s">
        <v>3025</v>
      </c>
      <c r="C2065" s="5" t="s">
        <v>3026</v>
      </c>
      <c r="D2065" s="5" t="s">
        <v>3565</v>
      </c>
      <c r="E2065" s="5" t="s">
        <v>3027</v>
      </c>
      <c r="F2065" s="34" t="s">
        <v>3574</v>
      </c>
      <c r="G2065" s="26">
        <v>2.5</v>
      </c>
      <c r="H2065" s="1" t="s">
        <v>774</v>
      </c>
      <c r="I2065" s="9">
        <v>100</v>
      </c>
      <c r="J2065" s="36">
        <v>0.06</v>
      </c>
    </row>
    <row r="2066" spans="2:10" s="44" customFormat="1" x14ac:dyDescent="0.35">
      <c r="B2066" s="9" t="s">
        <v>3192</v>
      </c>
      <c r="C2066" s="5" t="s">
        <v>3193</v>
      </c>
      <c r="D2066" s="5" t="s">
        <v>3565</v>
      </c>
      <c r="E2066" s="5" t="s">
        <v>3194</v>
      </c>
      <c r="F2066" s="34" t="s">
        <v>3574</v>
      </c>
      <c r="G2066" s="26">
        <v>0.36</v>
      </c>
      <c r="H2066" s="1" t="s">
        <v>774</v>
      </c>
      <c r="I2066" s="9">
        <v>200</v>
      </c>
      <c r="J2066" s="36">
        <v>0.06</v>
      </c>
    </row>
    <row r="2067" spans="2:10" s="44" customFormat="1" x14ac:dyDescent="0.35">
      <c r="B2067" s="9" t="s">
        <v>3221</v>
      </c>
      <c r="C2067" s="5" t="s">
        <v>3222</v>
      </c>
      <c r="D2067" s="5" t="s">
        <v>3565</v>
      </c>
      <c r="E2067" s="5" t="s">
        <v>3223</v>
      </c>
      <c r="F2067" s="34" t="s">
        <v>3574</v>
      </c>
      <c r="G2067" s="26">
        <v>0.28999999999999998</v>
      </c>
      <c r="H2067" s="1" t="s">
        <v>774</v>
      </c>
      <c r="I2067" s="9">
        <v>200</v>
      </c>
      <c r="J2067" s="36">
        <v>0.06</v>
      </c>
    </row>
    <row r="2068" spans="2:10" s="44" customFormat="1" x14ac:dyDescent="0.35">
      <c r="B2068" s="9" t="s">
        <v>718</v>
      </c>
      <c r="C2068" s="5" t="s">
        <v>719</v>
      </c>
      <c r="D2068" s="5" t="s">
        <v>3565</v>
      </c>
      <c r="E2068" s="5" t="s">
        <v>3388</v>
      </c>
      <c r="F2068" s="34" t="s">
        <v>3574</v>
      </c>
      <c r="G2068" s="26">
        <v>0.7</v>
      </c>
      <c r="H2068" s="1" t="s">
        <v>774</v>
      </c>
      <c r="I2068" s="9">
        <v>1000</v>
      </c>
      <c r="J2068" s="36">
        <v>0.06</v>
      </c>
    </row>
    <row r="2069" spans="2:10" s="44" customFormat="1" x14ac:dyDescent="0.35">
      <c r="B2069" s="9" t="s">
        <v>3173</v>
      </c>
      <c r="C2069" s="5" t="s">
        <v>3174</v>
      </c>
      <c r="D2069" s="5" t="s">
        <v>3565</v>
      </c>
      <c r="E2069" s="5" t="s">
        <v>3175</v>
      </c>
      <c r="F2069" s="34" t="s">
        <v>3574</v>
      </c>
      <c r="G2069" s="26">
        <v>0.3</v>
      </c>
      <c r="H2069" s="1" t="s">
        <v>774</v>
      </c>
      <c r="I2069" s="9">
        <v>100</v>
      </c>
      <c r="J2069" s="36">
        <v>0.06</v>
      </c>
    </row>
    <row r="2070" spans="2:10" s="44" customFormat="1" x14ac:dyDescent="0.35">
      <c r="B2070" s="9" t="s">
        <v>3381</v>
      </c>
      <c r="C2070" s="5" t="s">
        <v>3382</v>
      </c>
      <c r="D2070" s="5" t="s">
        <v>3565</v>
      </c>
      <c r="E2070" s="5" t="s">
        <v>3383</v>
      </c>
      <c r="F2070" s="34" t="s">
        <v>3574</v>
      </c>
      <c r="G2070" s="26">
        <v>0.95</v>
      </c>
      <c r="H2070" s="1" t="s">
        <v>774</v>
      </c>
      <c r="I2070" s="9">
        <v>100</v>
      </c>
      <c r="J2070" s="36">
        <v>0.06</v>
      </c>
    </row>
    <row r="2071" spans="2:10" s="44" customFormat="1" x14ac:dyDescent="0.35">
      <c r="B2071" s="9" t="s">
        <v>2547</v>
      </c>
      <c r="C2071" s="5" t="s">
        <v>2548</v>
      </c>
      <c r="D2071" s="5" t="s">
        <v>3565</v>
      </c>
      <c r="E2071" s="5" t="s">
        <v>2549</v>
      </c>
      <c r="F2071" s="34" t="s">
        <v>3574</v>
      </c>
      <c r="G2071" s="26">
        <v>0.10199999999999999</v>
      </c>
      <c r="H2071" s="1" t="s">
        <v>774</v>
      </c>
      <c r="I2071" s="9">
        <v>100</v>
      </c>
      <c r="J2071" s="36">
        <v>0.06</v>
      </c>
    </row>
    <row r="2072" spans="2:10" s="44" customFormat="1" x14ac:dyDescent="0.35">
      <c r="B2072" s="9" t="s">
        <v>726</v>
      </c>
      <c r="C2072" s="5" t="s">
        <v>3009</v>
      </c>
      <c r="D2072" s="5" t="s">
        <v>3565</v>
      </c>
      <c r="E2072" s="5" t="s">
        <v>3010</v>
      </c>
      <c r="F2072" s="34" t="s">
        <v>3574</v>
      </c>
      <c r="G2072" s="26">
        <v>1.7</v>
      </c>
      <c r="H2072" s="1" t="s">
        <v>774</v>
      </c>
      <c r="I2072" s="9">
        <v>100</v>
      </c>
      <c r="J2072" s="36">
        <v>0.06</v>
      </c>
    </row>
    <row r="2073" spans="2:10" s="44" customFormat="1" x14ac:dyDescent="0.35">
      <c r="B2073" s="9" t="s">
        <v>3242</v>
      </c>
      <c r="C2073" s="5" t="s">
        <v>3243</v>
      </c>
      <c r="D2073" s="5" t="s">
        <v>3565</v>
      </c>
      <c r="E2073" s="5" t="s">
        <v>3244</v>
      </c>
      <c r="F2073" s="34" t="s">
        <v>3574</v>
      </c>
      <c r="G2073" s="26">
        <v>0.41</v>
      </c>
      <c r="H2073" s="1" t="s">
        <v>774</v>
      </c>
      <c r="I2073" s="9">
        <v>100</v>
      </c>
      <c r="J2073" s="36">
        <v>0.06</v>
      </c>
    </row>
    <row r="2074" spans="2:10" s="44" customFormat="1" x14ac:dyDescent="0.35">
      <c r="B2074" s="9" t="s">
        <v>727</v>
      </c>
      <c r="C2074" s="5" t="s">
        <v>3080</v>
      </c>
      <c r="D2074" s="5" t="s">
        <v>3565</v>
      </c>
      <c r="E2074" s="5" t="s">
        <v>3081</v>
      </c>
      <c r="F2074" s="34" t="s">
        <v>3574</v>
      </c>
      <c r="G2074" s="26">
        <v>0.7</v>
      </c>
      <c r="H2074" s="1" t="s">
        <v>774</v>
      </c>
      <c r="I2074" s="9">
        <v>100</v>
      </c>
      <c r="J2074" s="36">
        <v>0.06</v>
      </c>
    </row>
    <row r="2075" spans="2:10" s="44" customFormat="1" x14ac:dyDescent="0.35">
      <c r="B2075" s="9" t="s">
        <v>821</v>
      </c>
      <c r="C2075" s="5" t="s">
        <v>822</v>
      </c>
      <c r="D2075" s="5" t="s">
        <v>3564</v>
      </c>
      <c r="E2075" s="5">
        <v>11175711</v>
      </c>
      <c r="F2075" s="34" t="s">
        <v>3552</v>
      </c>
      <c r="G2075" s="26">
        <v>1416.1</v>
      </c>
      <c r="H2075" s="1" t="s">
        <v>774</v>
      </c>
      <c r="I2075" s="9">
        <v>1</v>
      </c>
      <c r="J2075" s="36">
        <v>0.1</v>
      </c>
    </row>
    <row r="2076" spans="2:10" s="44" customFormat="1" x14ac:dyDescent="0.35">
      <c r="B2076" s="9" t="s">
        <v>3000</v>
      </c>
      <c r="C2076" s="5" t="s">
        <v>3001</v>
      </c>
      <c r="D2076" s="5" t="s">
        <v>3565</v>
      </c>
      <c r="E2076" s="5" t="s">
        <v>3002</v>
      </c>
      <c r="F2076" s="34" t="s">
        <v>3574</v>
      </c>
      <c r="G2076" s="26">
        <v>0.5</v>
      </c>
      <c r="H2076" s="1" t="s">
        <v>774</v>
      </c>
      <c r="I2076" s="9">
        <v>100</v>
      </c>
      <c r="J2076" s="36">
        <v>0.06</v>
      </c>
    </row>
    <row r="2077" spans="2:10" s="44" customFormat="1" x14ac:dyDescent="0.35">
      <c r="B2077" s="9">
        <v>4001561</v>
      </c>
      <c r="C2077" s="5" t="s">
        <v>1479</v>
      </c>
      <c r="D2077" s="5" t="s">
        <v>3565</v>
      </c>
      <c r="E2077" s="5" t="s">
        <v>1480</v>
      </c>
      <c r="F2077" s="34" t="s">
        <v>3574</v>
      </c>
      <c r="G2077" s="26">
        <v>0.67899999999999994</v>
      </c>
      <c r="H2077" s="1" t="s">
        <v>774</v>
      </c>
      <c r="I2077" s="9">
        <v>100</v>
      </c>
      <c r="J2077" s="36">
        <v>0.06</v>
      </c>
    </row>
    <row r="2078" spans="2:10" s="44" customFormat="1" x14ac:dyDescent="0.35">
      <c r="B2078" s="9">
        <v>800001544</v>
      </c>
      <c r="C2078" s="5" t="s">
        <v>2808</v>
      </c>
      <c r="D2078" s="5" t="s">
        <v>3565</v>
      </c>
      <c r="E2078" s="5" t="s">
        <v>2809</v>
      </c>
      <c r="F2078" s="34" t="s">
        <v>3574</v>
      </c>
      <c r="G2078" s="26">
        <v>0.10300000000000001</v>
      </c>
      <c r="H2078" s="1" t="s">
        <v>774</v>
      </c>
      <c r="I2078" s="9">
        <v>100</v>
      </c>
      <c r="J2078" s="36">
        <v>0.06</v>
      </c>
    </row>
    <row r="2079" spans="2:10" s="44" customFormat="1" x14ac:dyDescent="0.35">
      <c r="B2079" s="9">
        <v>800003418</v>
      </c>
      <c r="C2079" s="5" t="s">
        <v>2808</v>
      </c>
      <c r="D2079" s="5" t="s">
        <v>3565</v>
      </c>
      <c r="E2079" s="5" t="s">
        <v>2809</v>
      </c>
      <c r="F2079" s="34" t="s">
        <v>3574</v>
      </c>
      <c r="G2079" s="26">
        <v>0.10300000000000001</v>
      </c>
      <c r="H2079" s="1" t="s">
        <v>774</v>
      </c>
      <c r="I2079" s="9">
        <v>100</v>
      </c>
      <c r="J2079" s="36">
        <v>0.06</v>
      </c>
    </row>
    <row r="2080" spans="2:10" s="44" customFormat="1" x14ac:dyDescent="0.35">
      <c r="B2080" s="9">
        <v>800001747</v>
      </c>
      <c r="C2080" s="5" t="s">
        <v>1183</v>
      </c>
      <c r="D2080" s="5" t="s">
        <v>3565</v>
      </c>
      <c r="E2080" s="5" t="s">
        <v>1184</v>
      </c>
      <c r="F2080" s="34" t="s">
        <v>3574</v>
      </c>
      <c r="G2080" s="26">
        <v>5.3999999999999992E-2</v>
      </c>
      <c r="H2080" s="1" t="s">
        <v>774</v>
      </c>
      <c r="I2080" s="9">
        <v>100</v>
      </c>
      <c r="J2080" s="36">
        <v>0.06</v>
      </c>
    </row>
    <row r="2081" spans="2:10" s="44" customFormat="1" x14ac:dyDescent="0.35">
      <c r="B2081" s="9" t="s">
        <v>625</v>
      </c>
      <c r="C2081" s="5" t="s">
        <v>2619</v>
      </c>
      <c r="D2081" s="5" t="s">
        <v>3565</v>
      </c>
      <c r="E2081" s="5" t="s">
        <v>2620</v>
      </c>
      <c r="F2081" s="34" t="s">
        <v>3574</v>
      </c>
      <c r="G2081" s="26">
        <v>0.72099999999999997</v>
      </c>
      <c r="H2081" s="1" t="s">
        <v>774</v>
      </c>
      <c r="I2081" s="9">
        <v>1000</v>
      </c>
      <c r="J2081" s="36">
        <v>0.06</v>
      </c>
    </row>
    <row r="2082" spans="2:10" s="44" customFormat="1" x14ac:dyDescent="0.35">
      <c r="B2082" s="9" t="s">
        <v>2360</v>
      </c>
      <c r="C2082" s="5" t="s">
        <v>2361</v>
      </c>
      <c r="D2082" s="5" t="s">
        <v>3565</v>
      </c>
      <c r="E2082" s="5" t="s">
        <v>2362</v>
      </c>
      <c r="F2082" s="34" t="s">
        <v>3574</v>
      </c>
      <c r="G2082" s="26">
        <v>0.55700000000000005</v>
      </c>
      <c r="H2082" s="1" t="s">
        <v>774</v>
      </c>
      <c r="I2082" s="9">
        <v>100</v>
      </c>
      <c r="J2082" s="36">
        <v>0.06</v>
      </c>
    </row>
    <row r="2083" spans="2:10" s="44" customFormat="1" x14ac:dyDescent="0.35">
      <c r="B2083" s="9">
        <v>1701130</v>
      </c>
      <c r="C2083" s="5" t="s">
        <v>1183</v>
      </c>
      <c r="D2083" s="5" t="s">
        <v>3565</v>
      </c>
      <c r="E2083" s="5" t="s">
        <v>1184</v>
      </c>
      <c r="F2083" s="34" t="s">
        <v>3574</v>
      </c>
      <c r="G2083" s="26">
        <v>5.3999999999999992E-2</v>
      </c>
      <c r="H2083" s="1" t="s">
        <v>774</v>
      </c>
      <c r="I2083" s="9">
        <v>100</v>
      </c>
      <c r="J2083" s="36">
        <v>0.06</v>
      </c>
    </row>
    <row r="2084" spans="2:10" s="44" customFormat="1" x14ac:dyDescent="0.35">
      <c r="B2084" s="9" t="s">
        <v>3600</v>
      </c>
      <c r="C2084" s="5" t="s">
        <v>1446</v>
      </c>
      <c r="D2084" s="5" t="s">
        <v>3565</v>
      </c>
      <c r="E2084" s="5" t="s">
        <v>1443</v>
      </c>
      <c r="F2084" s="34" t="s">
        <v>3574</v>
      </c>
      <c r="G2084" s="26">
        <v>0.21600000000000003</v>
      </c>
      <c r="H2084" s="1" t="s">
        <v>774</v>
      </c>
      <c r="I2084" s="9">
        <v>100</v>
      </c>
      <c r="J2084" s="36">
        <v>0.06</v>
      </c>
    </row>
    <row r="2085" spans="2:10" s="44" customFormat="1" x14ac:dyDescent="0.35">
      <c r="B2085" s="9" t="s">
        <v>1744</v>
      </c>
      <c r="C2085" s="5" t="s">
        <v>1745</v>
      </c>
      <c r="D2085" s="5" t="s">
        <v>3565</v>
      </c>
      <c r="E2085" s="5" t="s">
        <v>1741</v>
      </c>
      <c r="F2085" s="34" t="s">
        <v>3574</v>
      </c>
      <c r="G2085" s="26">
        <v>0.28000000000000003</v>
      </c>
      <c r="H2085" s="1" t="s">
        <v>774</v>
      </c>
      <c r="I2085" s="9">
        <v>100</v>
      </c>
      <c r="J2085" s="36">
        <v>0.06</v>
      </c>
    </row>
    <row r="2086" spans="2:10" s="44" customFormat="1" x14ac:dyDescent="0.35">
      <c r="B2086" s="9" t="s">
        <v>1461</v>
      </c>
      <c r="C2086" s="5" t="s">
        <v>1462</v>
      </c>
      <c r="D2086" s="5" t="s">
        <v>3565</v>
      </c>
      <c r="E2086" s="5" t="s">
        <v>1443</v>
      </c>
      <c r="F2086" s="34" t="s">
        <v>3574</v>
      </c>
      <c r="G2086" s="26">
        <v>1.2</v>
      </c>
      <c r="H2086" s="1" t="s">
        <v>774</v>
      </c>
      <c r="I2086" s="9">
        <v>100</v>
      </c>
      <c r="J2086" s="36">
        <v>0.06</v>
      </c>
    </row>
    <row r="2087" spans="2:10" s="44" customFormat="1" x14ac:dyDescent="0.35">
      <c r="B2087" s="9" t="s">
        <v>1663</v>
      </c>
      <c r="C2087" s="5" t="s">
        <v>1664</v>
      </c>
      <c r="D2087" s="5" t="s">
        <v>3565</v>
      </c>
      <c r="E2087" s="5" t="s">
        <v>1665</v>
      </c>
      <c r="F2087" s="34" t="s">
        <v>3574</v>
      </c>
      <c r="G2087" s="26">
        <v>0.16800000000000001</v>
      </c>
      <c r="H2087" s="1" t="s">
        <v>774</v>
      </c>
      <c r="I2087" s="9">
        <v>100</v>
      </c>
      <c r="J2087" s="36">
        <v>0.06</v>
      </c>
    </row>
    <row r="2088" spans="2:10" s="44" customFormat="1" x14ac:dyDescent="0.35">
      <c r="B2088" s="9" t="s">
        <v>3374</v>
      </c>
      <c r="C2088" s="5" t="s">
        <v>3375</v>
      </c>
      <c r="D2088" s="5" t="s">
        <v>3565</v>
      </c>
      <c r="E2088" s="5" t="s">
        <v>3376</v>
      </c>
      <c r="F2088" s="34" t="s">
        <v>3574</v>
      </c>
      <c r="G2088" s="26">
        <v>92</v>
      </c>
      <c r="H2088" s="1" t="s">
        <v>774</v>
      </c>
      <c r="I2088" s="9">
        <v>10</v>
      </c>
      <c r="J2088" s="36">
        <v>0.06</v>
      </c>
    </row>
    <row r="2089" spans="2:10" s="44" customFormat="1" x14ac:dyDescent="0.35">
      <c r="B2089" s="9" t="s">
        <v>3160</v>
      </c>
      <c r="C2089" s="5" t="s">
        <v>112</v>
      </c>
      <c r="D2089" s="5" t="s">
        <v>3565</v>
      </c>
      <c r="E2089" s="5">
        <v>1304526</v>
      </c>
      <c r="F2089" s="34" t="s">
        <v>3574</v>
      </c>
      <c r="G2089" s="26">
        <v>0.46</v>
      </c>
      <c r="H2089" s="1" t="s">
        <v>774</v>
      </c>
      <c r="I2089" s="9">
        <v>100</v>
      </c>
      <c r="J2089" s="36">
        <v>0.06</v>
      </c>
    </row>
    <row r="2090" spans="2:10" s="44" customFormat="1" x14ac:dyDescent="0.35">
      <c r="B2090" s="9" t="s">
        <v>3161</v>
      </c>
      <c r="C2090" s="5" t="s">
        <v>112</v>
      </c>
      <c r="D2090" s="5" t="s">
        <v>3565</v>
      </c>
      <c r="E2090" s="5">
        <v>1304771</v>
      </c>
      <c r="F2090" s="34" t="s">
        <v>3574</v>
      </c>
      <c r="G2090" s="26">
        <v>0.44</v>
      </c>
      <c r="H2090" s="1" t="s">
        <v>774</v>
      </c>
      <c r="I2090" s="9">
        <v>100</v>
      </c>
      <c r="J2090" s="36">
        <v>0.06</v>
      </c>
    </row>
    <row r="2091" spans="2:10" s="44" customFormat="1" x14ac:dyDescent="0.35">
      <c r="B2091" s="9" t="s">
        <v>90</v>
      </c>
      <c r="C2091" s="5" t="s">
        <v>112</v>
      </c>
      <c r="D2091" s="5" t="s">
        <v>3565</v>
      </c>
      <c r="E2091" s="5">
        <v>1304275</v>
      </c>
      <c r="F2091" s="34" t="s">
        <v>3574</v>
      </c>
      <c r="G2091" s="26">
        <v>0.7</v>
      </c>
      <c r="H2091" s="1" t="s">
        <v>774</v>
      </c>
      <c r="I2091" s="9">
        <v>100</v>
      </c>
      <c r="J2091" s="36">
        <v>0.06</v>
      </c>
    </row>
    <row r="2092" spans="2:10" s="44" customFormat="1" x14ac:dyDescent="0.35">
      <c r="B2092" s="9" t="s">
        <v>3162</v>
      </c>
      <c r="C2092" s="5" t="s">
        <v>89</v>
      </c>
      <c r="D2092" s="5" t="s">
        <v>3565</v>
      </c>
      <c r="E2092" s="5">
        <v>1254499</v>
      </c>
      <c r="F2092" s="34" t="s">
        <v>3574</v>
      </c>
      <c r="G2092" s="26">
        <v>0.13300000000000001</v>
      </c>
      <c r="H2092" s="1" t="s">
        <v>774</v>
      </c>
      <c r="I2092" s="9">
        <v>100</v>
      </c>
      <c r="J2092" s="36">
        <v>0.06</v>
      </c>
    </row>
    <row r="2093" spans="2:10" s="44" customFormat="1" x14ac:dyDescent="0.35">
      <c r="B2093" s="9" t="s">
        <v>3163</v>
      </c>
      <c r="C2093" s="5" t="s">
        <v>738</v>
      </c>
      <c r="D2093" s="5" t="s">
        <v>3565</v>
      </c>
      <c r="E2093" s="5">
        <v>1233513</v>
      </c>
      <c r="F2093" s="34" t="s">
        <v>3574</v>
      </c>
      <c r="G2093" s="26">
        <v>2.0299999999999998</v>
      </c>
      <c r="H2093" s="1" t="s">
        <v>774</v>
      </c>
      <c r="I2093" s="9">
        <v>100</v>
      </c>
      <c r="J2093" s="36">
        <v>0.06</v>
      </c>
    </row>
    <row r="2094" spans="2:10" s="44" customFormat="1" x14ac:dyDescent="0.35">
      <c r="B2094" s="9" t="s">
        <v>88</v>
      </c>
      <c r="C2094" s="5" t="s">
        <v>80</v>
      </c>
      <c r="D2094" s="5" t="s">
        <v>3565</v>
      </c>
      <c r="E2094" s="5">
        <v>1237179</v>
      </c>
      <c r="F2094" s="34" t="s">
        <v>3574</v>
      </c>
      <c r="G2094" s="26">
        <v>0.14499999999999999</v>
      </c>
      <c r="H2094" s="1" t="s">
        <v>774</v>
      </c>
      <c r="I2094" s="9">
        <v>100</v>
      </c>
      <c r="J2094" s="36">
        <v>0.06</v>
      </c>
    </row>
    <row r="2095" spans="2:10" s="44" customFormat="1" x14ac:dyDescent="0.35">
      <c r="B2095" s="9" t="s">
        <v>81</v>
      </c>
      <c r="C2095" s="5" t="s">
        <v>650</v>
      </c>
      <c r="D2095" s="5" t="s">
        <v>3565</v>
      </c>
      <c r="E2095" s="5">
        <v>3061474</v>
      </c>
      <c r="F2095" s="34" t="s">
        <v>3574</v>
      </c>
      <c r="G2095" s="26">
        <v>0.187</v>
      </c>
      <c r="H2095" s="1" t="s">
        <v>774</v>
      </c>
      <c r="I2095" s="9">
        <v>100</v>
      </c>
      <c r="J2095" s="36">
        <v>0.06</v>
      </c>
    </row>
    <row r="2096" spans="2:10" s="44" customFormat="1" x14ac:dyDescent="0.35">
      <c r="B2096" s="9" t="s">
        <v>3166</v>
      </c>
      <c r="C2096" s="5" t="s">
        <v>650</v>
      </c>
      <c r="D2096" s="5" t="s">
        <v>3565</v>
      </c>
      <c r="E2096" s="5">
        <v>3061476</v>
      </c>
      <c r="F2096" s="34" t="s">
        <v>3574</v>
      </c>
      <c r="G2096" s="26">
        <v>0.17599999999999999</v>
      </c>
      <c r="H2096" s="1" t="s">
        <v>774</v>
      </c>
      <c r="I2096" s="9">
        <v>100</v>
      </c>
      <c r="J2096" s="36">
        <v>0.06</v>
      </c>
    </row>
    <row r="2097" spans="2:10" s="44" customFormat="1" x14ac:dyDescent="0.35">
      <c r="B2097" s="9" t="s">
        <v>3164</v>
      </c>
      <c r="C2097" s="5" t="s">
        <v>87</v>
      </c>
      <c r="D2097" s="5" t="s">
        <v>3565</v>
      </c>
      <c r="E2097" s="5" t="s">
        <v>3165</v>
      </c>
      <c r="F2097" s="34" t="s">
        <v>3574</v>
      </c>
      <c r="G2097" s="26">
        <v>0.47</v>
      </c>
      <c r="H2097" s="1" t="s">
        <v>774</v>
      </c>
      <c r="I2097" s="9">
        <v>100</v>
      </c>
      <c r="J2097" s="36">
        <v>0.06</v>
      </c>
    </row>
    <row r="2098" spans="2:10" s="44" customFormat="1" x14ac:dyDescent="0.35">
      <c r="B2098" s="9" t="s">
        <v>3368</v>
      </c>
      <c r="C2098" s="5" t="s">
        <v>3369</v>
      </c>
      <c r="D2098" s="5" t="s">
        <v>3565</v>
      </c>
      <c r="E2098" s="5" t="s">
        <v>3370</v>
      </c>
      <c r="F2098" s="34" t="s">
        <v>3574</v>
      </c>
      <c r="G2098" s="26">
        <v>6.9</v>
      </c>
      <c r="H2098" s="1" t="s">
        <v>774</v>
      </c>
      <c r="I2098" s="9">
        <v>100</v>
      </c>
      <c r="J2098" s="36">
        <v>0.06</v>
      </c>
    </row>
    <row r="2099" spans="2:10" s="44" customFormat="1" x14ac:dyDescent="0.35">
      <c r="B2099" s="9" t="s">
        <v>91</v>
      </c>
      <c r="C2099" s="5" t="s">
        <v>92</v>
      </c>
      <c r="D2099" s="5" t="s">
        <v>3565</v>
      </c>
      <c r="E2099" s="5" t="s">
        <v>3367</v>
      </c>
      <c r="F2099" s="34" t="s">
        <v>3574</v>
      </c>
      <c r="G2099" s="26">
        <v>2.8</v>
      </c>
      <c r="H2099" s="1" t="s">
        <v>774</v>
      </c>
      <c r="I2099" s="9">
        <v>1000</v>
      </c>
      <c r="J2099" s="36">
        <v>0.06</v>
      </c>
    </row>
    <row r="2100" spans="2:10" s="44" customFormat="1" x14ac:dyDescent="0.35">
      <c r="B2100" s="9" t="s">
        <v>676</v>
      </c>
      <c r="C2100" s="5" t="s">
        <v>677</v>
      </c>
      <c r="D2100" s="5" t="s">
        <v>3565</v>
      </c>
      <c r="E2100" s="5" t="s">
        <v>2190</v>
      </c>
      <c r="F2100" s="34" t="s">
        <v>3574</v>
      </c>
      <c r="G2100" s="26">
        <v>36.75</v>
      </c>
      <c r="H2100" s="1" t="s">
        <v>774</v>
      </c>
      <c r="I2100" s="9">
        <v>10</v>
      </c>
      <c r="J2100" s="36">
        <v>0.06</v>
      </c>
    </row>
    <row r="2101" spans="2:10" s="44" customFormat="1" x14ac:dyDescent="0.35">
      <c r="B2101" s="9" t="s">
        <v>2331</v>
      </c>
      <c r="C2101" s="5" t="s">
        <v>2277</v>
      </c>
      <c r="D2101" s="5" t="s">
        <v>3565</v>
      </c>
      <c r="E2101" s="5" t="s">
        <v>2332</v>
      </c>
      <c r="F2101" s="34" t="s">
        <v>3574</v>
      </c>
      <c r="G2101" s="26">
        <v>3.8849999999999998</v>
      </c>
      <c r="H2101" s="1" t="s">
        <v>774</v>
      </c>
      <c r="I2101" s="9">
        <v>100</v>
      </c>
      <c r="J2101" s="36">
        <v>0.06</v>
      </c>
    </row>
    <row r="2102" spans="2:10" s="44" customFormat="1" x14ac:dyDescent="0.35">
      <c r="B2102" s="9" t="s">
        <v>77</v>
      </c>
      <c r="C2102" s="5" t="s">
        <v>2277</v>
      </c>
      <c r="D2102" s="5" t="s">
        <v>3565</v>
      </c>
      <c r="E2102" s="5" t="s">
        <v>2278</v>
      </c>
      <c r="F2102" s="34" t="s">
        <v>3574</v>
      </c>
      <c r="G2102" s="26">
        <v>5.25</v>
      </c>
      <c r="H2102" s="1" t="s">
        <v>774</v>
      </c>
      <c r="I2102" s="9">
        <v>200</v>
      </c>
      <c r="J2102" s="36">
        <v>0.06</v>
      </c>
    </row>
    <row r="2103" spans="2:10" s="44" customFormat="1" x14ac:dyDescent="0.35">
      <c r="B2103" s="9" t="s">
        <v>3086</v>
      </c>
      <c r="C2103" s="5" t="s">
        <v>3087</v>
      </c>
      <c r="D2103" s="5" t="s">
        <v>3565</v>
      </c>
      <c r="E2103" s="5" t="s">
        <v>3088</v>
      </c>
      <c r="F2103" s="34" t="s">
        <v>3574</v>
      </c>
      <c r="G2103" s="26">
        <v>1.3</v>
      </c>
      <c r="H2103" s="1" t="s">
        <v>774</v>
      </c>
      <c r="I2103" s="9">
        <v>1000</v>
      </c>
      <c r="J2103" s="36">
        <v>0.06</v>
      </c>
    </row>
    <row r="2104" spans="2:10" s="44" customFormat="1" x14ac:dyDescent="0.35">
      <c r="B2104" s="9" t="s">
        <v>2181</v>
      </c>
      <c r="C2104" s="5" t="s">
        <v>2182</v>
      </c>
      <c r="D2104" s="5" t="s">
        <v>3565</v>
      </c>
      <c r="E2104" s="5" t="s">
        <v>2183</v>
      </c>
      <c r="F2104" s="34" t="s">
        <v>3574</v>
      </c>
      <c r="G2104" s="26">
        <v>0.26300000000000001</v>
      </c>
      <c r="H2104" s="1" t="s">
        <v>774</v>
      </c>
      <c r="I2104" s="9">
        <v>100</v>
      </c>
      <c r="J2104" s="36">
        <v>0.06</v>
      </c>
    </row>
    <row r="2105" spans="2:10" s="44" customFormat="1" x14ac:dyDescent="0.35">
      <c r="B2105" s="9" t="s">
        <v>729</v>
      </c>
      <c r="C2105" s="5" t="s">
        <v>1311</v>
      </c>
      <c r="D2105" s="5" t="s">
        <v>3565</v>
      </c>
      <c r="E2105" s="5">
        <v>2500</v>
      </c>
      <c r="F2105" s="34" t="s">
        <v>3574</v>
      </c>
      <c r="G2105" s="26">
        <v>5.7999999999999996E-2</v>
      </c>
      <c r="H2105" s="1" t="s">
        <v>774</v>
      </c>
      <c r="I2105" s="9">
        <v>100</v>
      </c>
      <c r="J2105" s="36">
        <v>0.06</v>
      </c>
    </row>
    <row r="2106" spans="2:10" s="44" customFormat="1" x14ac:dyDescent="0.35">
      <c r="B2106" s="9" t="s">
        <v>673</v>
      </c>
      <c r="C2106" s="5" t="s">
        <v>1298</v>
      </c>
      <c r="D2106" s="5" t="s">
        <v>3565</v>
      </c>
      <c r="E2106" s="5">
        <v>1280449</v>
      </c>
      <c r="F2106" s="34" t="s">
        <v>3574</v>
      </c>
      <c r="G2106" s="26">
        <v>5.0999999999999997E-2</v>
      </c>
      <c r="H2106" s="1" t="s">
        <v>774</v>
      </c>
      <c r="I2106" s="9">
        <v>200</v>
      </c>
      <c r="J2106" s="36">
        <v>0.06</v>
      </c>
    </row>
    <row r="2107" spans="2:10" s="44" customFormat="1" x14ac:dyDescent="0.35">
      <c r="B2107" s="9" t="s">
        <v>1863</v>
      </c>
      <c r="C2107" s="5" t="s">
        <v>1864</v>
      </c>
      <c r="D2107" s="5" t="s">
        <v>3565</v>
      </c>
      <c r="E2107" s="5" t="s">
        <v>1865</v>
      </c>
      <c r="F2107" s="34" t="s">
        <v>3574</v>
      </c>
      <c r="G2107" s="26">
        <v>4.2000000000000003E-2</v>
      </c>
      <c r="H2107" s="1" t="s">
        <v>774</v>
      </c>
      <c r="I2107" s="9">
        <v>200</v>
      </c>
      <c r="J2107" s="36">
        <v>0.06</v>
      </c>
    </row>
    <row r="2108" spans="2:10" s="44" customFormat="1" x14ac:dyDescent="0.35">
      <c r="B2108" s="9" t="s">
        <v>2322</v>
      </c>
      <c r="C2108" s="5" t="s">
        <v>2323</v>
      </c>
      <c r="D2108" s="5" t="s">
        <v>3565</v>
      </c>
      <c r="E2108" s="5" t="s">
        <v>2324</v>
      </c>
      <c r="F2108" s="34" t="s">
        <v>3574</v>
      </c>
      <c r="G2108" s="26">
        <v>5.2999999999999999E-2</v>
      </c>
      <c r="H2108" s="1" t="s">
        <v>774</v>
      </c>
      <c r="I2108" s="9">
        <v>200</v>
      </c>
      <c r="J2108" s="36">
        <v>0.06</v>
      </c>
    </row>
    <row r="2109" spans="2:10" s="44" customFormat="1" x14ac:dyDescent="0.35">
      <c r="B2109" s="9" t="s">
        <v>1301</v>
      </c>
      <c r="C2109" s="5" t="s">
        <v>1302</v>
      </c>
      <c r="D2109" s="5" t="s">
        <v>3565</v>
      </c>
      <c r="E2109" s="5">
        <v>1280707</v>
      </c>
      <c r="F2109" s="34" t="s">
        <v>3574</v>
      </c>
      <c r="G2109" s="26">
        <v>0.111</v>
      </c>
      <c r="H2109" s="1" t="s">
        <v>774</v>
      </c>
      <c r="I2109" s="9">
        <v>200</v>
      </c>
      <c r="J2109" s="36">
        <v>0.06</v>
      </c>
    </row>
    <row r="2110" spans="2:10" s="44" customFormat="1" x14ac:dyDescent="0.35">
      <c r="B2110" s="9" t="s">
        <v>1303</v>
      </c>
      <c r="C2110" s="5" t="s">
        <v>1304</v>
      </c>
      <c r="D2110" s="5" t="s">
        <v>3565</v>
      </c>
      <c r="E2110" s="5">
        <v>1280775</v>
      </c>
      <c r="F2110" s="34" t="s">
        <v>3574</v>
      </c>
      <c r="G2110" s="26">
        <v>6.8999999999999992E-2</v>
      </c>
      <c r="H2110" s="1" t="s">
        <v>774</v>
      </c>
      <c r="I2110" s="9">
        <v>200</v>
      </c>
      <c r="J2110" s="36">
        <v>0.06</v>
      </c>
    </row>
    <row r="2111" spans="2:10" s="44" customFormat="1" x14ac:dyDescent="0.35">
      <c r="B2111" s="9" t="s">
        <v>1305</v>
      </c>
      <c r="C2111" s="5" t="s">
        <v>1306</v>
      </c>
      <c r="D2111" s="5" t="s">
        <v>3565</v>
      </c>
      <c r="E2111" s="5">
        <v>1280783</v>
      </c>
      <c r="F2111" s="34" t="s">
        <v>3574</v>
      </c>
      <c r="G2111" s="26">
        <v>0.23800000000000002</v>
      </c>
      <c r="H2111" s="1" t="s">
        <v>774</v>
      </c>
      <c r="I2111" s="9">
        <v>200</v>
      </c>
      <c r="J2111" s="36">
        <v>0.06</v>
      </c>
    </row>
    <row r="2112" spans="2:10" s="44" customFormat="1" x14ac:dyDescent="0.35">
      <c r="B2112" s="9" t="s">
        <v>1307</v>
      </c>
      <c r="C2112" s="5" t="s">
        <v>1308</v>
      </c>
      <c r="D2112" s="5" t="s">
        <v>3565</v>
      </c>
      <c r="E2112" s="5" t="s">
        <v>1309</v>
      </c>
      <c r="F2112" s="34" t="s">
        <v>3574</v>
      </c>
      <c r="G2112" s="26">
        <v>0.22</v>
      </c>
      <c r="H2112" s="1" t="s">
        <v>774</v>
      </c>
      <c r="I2112" s="9">
        <v>200</v>
      </c>
      <c r="J2112" s="36">
        <v>0.06</v>
      </c>
    </row>
    <row r="2113" spans="2:10" s="44" customFormat="1" x14ac:dyDescent="0.35">
      <c r="B2113" s="9" t="s">
        <v>1278</v>
      </c>
      <c r="C2113" s="5" t="s">
        <v>1279</v>
      </c>
      <c r="D2113" s="5" t="s">
        <v>3565</v>
      </c>
      <c r="E2113" s="5" t="s">
        <v>1277</v>
      </c>
      <c r="F2113" s="34" t="s">
        <v>3574</v>
      </c>
      <c r="G2113" s="26">
        <v>0.41499999999999998</v>
      </c>
      <c r="H2113" s="1" t="s">
        <v>774</v>
      </c>
      <c r="I2113" s="9">
        <v>100</v>
      </c>
      <c r="J2113" s="36">
        <v>0.06</v>
      </c>
    </row>
    <row r="2114" spans="2:10" s="44" customFormat="1" x14ac:dyDescent="0.35">
      <c r="B2114" s="9" t="s">
        <v>1282</v>
      </c>
      <c r="C2114" s="5" t="s">
        <v>1283</v>
      </c>
      <c r="D2114" s="5" t="s">
        <v>3565</v>
      </c>
      <c r="E2114" s="5" t="s">
        <v>1277</v>
      </c>
      <c r="F2114" s="34" t="s">
        <v>3574</v>
      </c>
      <c r="G2114" s="26">
        <v>0.52500000000000002</v>
      </c>
      <c r="H2114" s="1" t="s">
        <v>774</v>
      </c>
      <c r="I2114" s="9">
        <v>100</v>
      </c>
      <c r="J2114" s="36">
        <v>0.06</v>
      </c>
    </row>
    <row r="2115" spans="2:10" s="44" customFormat="1" x14ac:dyDescent="0.35">
      <c r="B2115" s="9" t="s">
        <v>1077</v>
      </c>
      <c r="C2115" s="5" t="s">
        <v>1078</v>
      </c>
      <c r="D2115" s="5" t="s">
        <v>3565</v>
      </c>
      <c r="E2115" s="5" t="s">
        <v>1068</v>
      </c>
      <c r="F2115" s="34" t="s">
        <v>3574</v>
      </c>
      <c r="G2115" s="26">
        <v>7.3999999999999996E-2</v>
      </c>
      <c r="H2115" s="1" t="s">
        <v>774</v>
      </c>
      <c r="I2115" s="9">
        <v>100</v>
      </c>
      <c r="J2115" s="36">
        <v>0.06</v>
      </c>
    </row>
    <row r="2116" spans="2:10" s="44" customFormat="1" x14ac:dyDescent="0.35">
      <c r="B2116" s="9" t="s">
        <v>1073</v>
      </c>
      <c r="C2116" s="5" t="s">
        <v>1074</v>
      </c>
      <c r="D2116" s="5" t="s">
        <v>3565</v>
      </c>
      <c r="E2116" s="5" t="s">
        <v>1068</v>
      </c>
      <c r="F2116" s="34" t="s">
        <v>3574</v>
      </c>
      <c r="G2116" s="26">
        <v>4.6999999999999993E-2</v>
      </c>
      <c r="H2116" s="1" t="s">
        <v>774</v>
      </c>
      <c r="I2116" s="9">
        <v>100</v>
      </c>
      <c r="J2116" s="36">
        <v>0.06</v>
      </c>
    </row>
    <row r="2117" spans="2:10" s="44" customFormat="1" x14ac:dyDescent="0.35">
      <c r="B2117" s="9" t="s">
        <v>2956</v>
      </c>
      <c r="C2117" s="5" t="s">
        <v>2957</v>
      </c>
      <c r="D2117" s="5" t="s">
        <v>3565</v>
      </c>
      <c r="E2117" s="5" t="s">
        <v>2958</v>
      </c>
      <c r="F2117" s="34" t="s">
        <v>3574</v>
      </c>
      <c r="G2117" s="26">
        <v>0.72099999999999997</v>
      </c>
      <c r="H2117" s="1" t="s">
        <v>774</v>
      </c>
      <c r="I2117" s="9">
        <v>100</v>
      </c>
      <c r="J2117" s="36">
        <v>0.06</v>
      </c>
    </row>
    <row r="2118" spans="2:10" s="44" customFormat="1" x14ac:dyDescent="0.35">
      <c r="B2118" s="9" t="s">
        <v>2290</v>
      </c>
      <c r="C2118" s="5" t="s">
        <v>2291</v>
      </c>
      <c r="D2118" s="5" t="s">
        <v>3565</v>
      </c>
      <c r="E2118" s="5" t="s">
        <v>2292</v>
      </c>
      <c r="F2118" s="34" t="s">
        <v>3574</v>
      </c>
      <c r="G2118" s="26">
        <v>0.66399999999999992</v>
      </c>
      <c r="H2118" s="1" t="s">
        <v>774</v>
      </c>
      <c r="I2118" s="9">
        <v>100</v>
      </c>
      <c r="J2118" s="36">
        <v>0.06</v>
      </c>
    </row>
    <row r="2119" spans="2:10" s="44" customFormat="1" x14ac:dyDescent="0.35">
      <c r="B2119" s="9" t="s">
        <v>1280</v>
      </c>
      <c r="C2119" s="5" t="s">
        <v>1281</v>
      </c>
      <c r="D2119" s="5" t="s">
        <v>3565</v>
      </c>
      <c r="E2119" s="5" t="s">
        <v>1277</v>
      </c>
      <c r="F2119" s="34" t="s">
        <v>3574</v>
      </c>
      <c r="G2119" s="26">
        <v>0.58300000000000007</v>
      </c>
      <c r="H2119" s="1" t="s">
        <v>774</v>
      </c>
      <c r="I2119" s="9">
        <v>100</v>
      </c>
      <c r="J2119" s="36">
        <v>0.06</v>
      </c>
    </row>
    <row r="2120" spans="2:10" s="44" customFormat="1" x14ac:dyDescent="0.35">
      <c r="B2120" s="9" t="s">
        <v>1092</v>
      </c>
      <c r="C2120" s="5" t="s">
        <v>1093</v>
      </c>
      <c r="D2120" s="5" t="s">
        <v>3565</v>
      </c>
      <c r="E2120" s="11" t="s">
        <v>3573</v>
      </c>
      <c r="F2120" s="34" t="s">
        <v>3574</v>
      </c>
      <c r="G2120" s="26">
        <v>0.1</v>
      </c>
      <c r="H2120" s="1" t="s">
        <v>774</v>
      </c>
      <c r="I2120" s="9">
        <v>100</v>
      </c>
      <c r="J2120" s="36">
        <v>0.06</v>
      </c>
    </row>
    <row r="2121" spans="2:10" s="44" customFormat="1" x14ac:dyDescent="0.35">
      <c r="B2121" s="9" t="s">
        <v>1089</v>
      </c>
      <c r="C2121" s="5" t="s">
        <v>1090</v>
      </c>
      <c r="D2121" s="5" t="s">
        <v>3565</v>
      </c>
      <c r="E2121" s="5" t="s">
        <v>1068</v>
      </c>
      <c r="F2121" s="34" t="s">
        <v>3574</v>
      </c>
      <c r="G2121" s="26">
        <v>7.8E-2</v>
      </c>
      <c r="H2121" s="1" t="s">
        <v>774</v>
      </c>
      <c r="I2121" s="9">
        <v>100</v>
      </c>
      <c r="J2121" s="36">
        <v>0.06</v>
      </c>
    </row>
    <row r="2122" spans="2:10" s="44" customFormat="1" x14ac:dyDescent="0.35">
      <c r="B2122" s="9" t="s">
        <v>2371</v>
      </c>
      <c r="C2122" s="5" t="s">
        <v>2291</v>
      </c>
      <c r="D2122" s="5" t="s">
        <v>3565</v>
      </c>
      <c r="E2122" s="5" t="s">
        <v>2372</v>
      </c>
      <c r="F2122" s="34" t="s">
        <v>3574</v>
      </c>
      <c r="G2122" s="26">
        <v>0.84</v>
      </c>
      <c r="H2122" s="1" t="s">
        <v>774</v>
      </c>
      <c r="I2122" s="9">
        <v>100</v>
      </c>
      <c r="J2122" s="36">
        <v>0.06</v>
      </c>
    </row>
    <row r="2123" spans="2:10" s="44" customFormat="1" x14ac:dyDescent="0.35">
      <c r="B2123" s="9">
        <v>6504000809</v>
      </c>
      <c r="C2123" s="5" t="s">
        <v>1446</v>
      </c>
      <c r="D2123" s="5" t="s">
        <v>3565</v>
      </c>
      <c r="E2123" s="5" t="s">
        <v>1443</v>
      </c>
      <c r="F2123" s="34" t="s">
        <v>3574</v>
      </c>
      <c r="G2123" s="26">
        <v>0.21600000000000003</v>
      </c>
      <c r="H2123" s="1" t="s">
        <v>774</v>
      </c>
      <c r="I2123" s="9">
        <v>100</v>
      </c>
      <c r="J2123" s="36">
        <v>0.06</v>
      </c>
    </row>
    <row r="2124" spans="2:10" s="44" customFormat="1" x14ac:dyDescent="0.35">
      <c r="B2124" s="9" t="s">
        <v>3602</v>
      </c>
      <c r="C2124" s="5" t="s">
        <v>1868</v>
      </c>
      <c r="D2124" s="5" t="s">
        <v>3565</v>
      </c>
      <c r="E2124" s="5" t="s">
        <v>2251</v>
      </c>
      <c r="F2124" s="34" t="s">
        <v>3574</v>
      </c>
      <c r="G2124" s="26">
        <v>5.1999999999999991E-2</v>
      </c>
      <c r="H2124" s="1" t="s">
        <v>774</v>
      </c>
      <c r="I2124" s="9">
        <v>100</v>
      </c>
      <c r="J2124" s="36">
        <v>0.06</v>
      </c>
    </row>
    <row r="2125" spans="2:10" s="44" customFormat="1" x14ac:dyDescent="0.35">
      <c r="B2125" s="9" t="s">
        <v>1066</v>
      </c>
      <c r="C2125" s="5" t="s">
        <v>1067</v>
      </c>
      <c r="D2125" s="5" t="s">
        <v>3565</v>
      </c>
      <c r="E2125" s="5" t="s">
        <v>1068</v>
      </c>
      <c r="F2125" s="34" t="s">
        <v>3574</v>
      </c>
      <c r="G2125" s="26">
        <v>5.3999999999999992E-2</v>
      </c>
      <c r="H2125" s="1" t="s">
        <v>774</v>
      </c>
      <c r="I2125" s="9">
        <v>100</v>
      </c>
      <c r="J2125" s="36">
        <v>0.06</v>
      </c>
    </row>
    <row r="2126" spans="2:10" s="44" customFormat="1" x14ac:dyDescent="0.35">
      <c r="B2126" s="9" t="s">
        <v>1071</v>
      </c>
      <c r="C2126" s="5" t="s">
        <v>1072</v>
      </c>
      <c r="D2126" s="5" t="s">
        <v>3565</v>
      </c>
      <c r="E2126" s="5" t="s">
        <v>1068</v>
      </c>
      <c r="F2126" s="34" t="s">
        <v>3574</v>
      </c>
      <c r="G2126" s="26">
        <v>4.5999999999999999E-2</v>
      </c>
      <c r="H2126" s="1" t="s">
        <v>774</v>
      </c>
      <c r="I2126" s="9">
        <v>100</v>
      </c>
      <c r="J2126" s="36">
        <v>0.06</v>
      </c>
    </row>
    <row r="2127" spans="2:10" s="44" customFormat="1" x14ac:dyDescent="0.35">
      <c r="B2127" s="9" t="s">
        <v>1069</v>
      </c>
      <c r="C2127" s="5" t="s">
        <v>1070</v>
      </c>
      <c r="D2127" s="5" t="s">
        <v>3565</v>
      </c>
      <c r="E2127" s="5">
        <v>1225332</v>
      </c>
      <c r="F2127" s="34" t="s">
        <v>3574</v>
      </c>
      <c r="G2127" s="26">
        <v>4.8000000000000001E-2</v>
      </c>
      <c r="H2127" s="1" t="s">
        <v>774</v>
      </c>
      <c r="I2127" s="9">
        <v>100</v>
      </c>
      <c r="J2127" s="36">
        <v>0.06</v>
      </c>
    </row>
    <row r="2128" spans="2:10" s="44" customFormat="1" x14ac:dyDescent="0.35">
      <c r="B2128" s="9" t="s">
        <v>1275</v>
      </c>
      <c r="C2128" s="5" t="s">
        <v>1276</v>
      </c>
      <c r="D2128" s="5" t="s">
        <v>3565</v>
      </c>
      <c r="E2128" s="5" t="s">
        <v>1277</v>
      </c>
      <c r="F2128" s="34" t="s">
        <v>3574</v>
      </c>
      <c r="G2128" s="26">
        <v>0.59</v>
      </c>
      <c r="H2128" s="1" t="s">
        <v>774</v>
      </c>
      <c r="I2128" s="9">
        <v>100</v>
      </c>
      <c r="J2128" s="36">
        <v>0.06</v>
      </c>
    </row>
    <row r="2129" spans="2:10" s="44" customFormat="1" x14ac:dyDescent="0.35">
      <c r="B2129" s="9" t="s">
        <v>1867</v>
      </c>
      <c r="C2129" s="5" t="s">
        <v>1868</v>
      </c>
      <c r="D2129" s="5" t="s">
        <v>3565</v>
      </c>
      <c r="E2129" s="5" t="s">
        <v>1869</v>
      </c>
      <c r="F2129" s="34" t="s">
        <v>3574</v>
      </c>
      <c r="G2129" s="26">
        <v>0.126</v>
      </c>
      <c r="H2129" s="1" t="s">
        <v>774</v>
      </c>
      <c r="I2129" s="9">
        <v>100</v>
      </c>
      <c r="J2129" s="36">
        <v>0.06</v>
      </c>
    </row>
    <row r="2130" spans="2:10" s="44" customFormat="1" x14ac:dyDescent="0.35">
      <c r="B2130" s="9" t="s">
        <v>1079</v>
      </c>
      <c r="C2130" s="5" t="s">
        <v>1080</v>
      </c>
      <c r="D2130" s="5" t="s">
        <v>3565</v>
      </c>
      <c r="E2130" s="5" t="s">
        <v>1068</v>
      </c>
      <c r="F2130" s="34" t="s">
        <v>3574</v>
      </c>
      <c r="G2130" s="26">
        <v>0.111</v>
      </c>
      <c r="H2130" s="1" t="s">
        <v>774</v>
      </c>
      <c r="I2130" s="9">
        <v>200</v>
      </c>
      <c r="J2130" s="36">
        <v>0.06</v>
      </c>
    </row>
    <row r="2131" spans="2:10" s="44" customFormat="1" x14ac:dyDescent="0.35">
      <c r="B2131" s="9" t="s">
        <v>1081</v>
      </c>
      <c r="C2131" s="5" t="s">
        <v>1082</v>
      </c>
      <c r="D2131" s="5" t="s">
        <v>3565</v>
      </c>
      <c r="E2131" s="5" t="s">
        <v>1068</v>
      </c>
      <c r="F2131" s="34" t="s">
        <v>3574</v>
      </c>
      <c r="G2131" s="26">
        <v>0.105</v>
      </c>
      <c r="H2131" s="1" t="s">
        <v>774</v>
      </c>
      <c r="I2131" s="9">
        <v>200</v>
      </c>
      <c r="J2131" s="36">
        <v>0.06</v>
      </c>
    </row>
    <row r="2132" spans="2:10" s="44" customFormat="1" x14ac:dyDescent="0.35">
      <c r="B2132" s="9" t="s">
        <v>1085</v>
      </c>
      <c r="C2132" s="5" t="s">
        <v>1086</v>
      </c>
      <c r="D2132" s="5" t="s">
        <v>3565</v>
      </c>
      <c r="E2132" s="5" t="s">
        <v>1068</v>
      </c>
      <c r="F2132" s="34" t="s">
        <v>3574</v>
      </c>
      <c r="G2132" s="26">
        <v>0.13200000000000001</v>
      </c>
      <c r="H2132" s="1" t="s">
        <v>774</v>
      </c>
      <c r="I2132" s="9">
        <v>100</v>
      </c>
      <c r="J2132" s="36">
        <v>0.06</v>
      </c>
    </row>
    <row r="2133" spans="2:10" s="44" customFormat="1" x14ac:dyDescent="0.35">
      <c r="B2133" s="9" t="s">
        <v>1083</v>
      </c>
      <c r="C2133" s="5" t="s">
        <v>1084</v>
      </c>
      <c r="D2133" s="5" t="s">
        <v>3565</v>
      </c>
      <c r="E2133" s="11" t="s">
        <v>3573</v>
      </c>
      <c r="F2133" s="34" t="s">
        <v>3574</v>
      </c>
      <c r="G2133" s="26">
        <v>0.27</v>
      </c>
      <c r="H2133" s="1" t="s">
        <v>774</v>
      </c>
      <c r="I2133" s="9">
        <v>100</v>
      </c>
      <c r="J2133" s="36">
        <v>0.06</v>
      </c>
    </row>
    <row r="2134" spans="2:10" s="44" customFormat="1" x14ac:dyDescent="0.35">
      <c r="B2134" s="9" t="s">
        <v>2011</v>
      </c>
      <c r="C2134" s="5" t="s">
        <v>2012</v>
      </c>
      <c r="D2134" s="5" t="s">
        <v>3565</v>
      </c>
      <c r="E2134" s="5" t="s">
        <v>2013</v>
      </c>
      <c r="F2134" s="34" t="s">
        <v>3574</v>
      </c>
      <c r="G2134" s="26">
        <v>0.109</v>
      </c>
      <c r="H2134" s="1" t="s">
        <v>774</v>
      </c>
      <c r="I2134" s="9">
        <v>200</v>
      </c>
      <c r="J2134" s="36">
        <v>0.06</v>
      </c>
    </row>
    <row r="2135" spans="2:10" s="44" customFormat="1" x14ac:dyDescent="0.35">
      <c r="B2135" s="9" t="s">
        <v>2623</v>
      </c>
      <c r="C2135" s="5" t="s">
        <v>2624</v>
      </c>
      <c r="D2135" s="5" t="s">
        <v>3565</v>
      </c>
      <c r="E2135" s="5" t="s">
        <v>2625</v>
      </c>
      <c r="F2135" s="34" t="s">
        <v>3574</v>
      </c>
      <c r="G2135" s="26">
        <v>0.72099999999999997</v>
      </c>
      <c r="H2135" s="1" t="s">
        <v>774</v>
      </c>
      <c r="I2135" s="9">
        <v>100</v>
      </c>
      <c r="J2135" s="36">
        <v>0.06</v>
      </c>
    </row>
    <row r="2136" spans="2:10" s="44" customFormat="1" x14ac:dyDescent="0.35">
      <c r="B2136" s="9" t="s">
        <v>1273</v>
      </c>
      <c r="C2136" s="5" t="s">
        <v>1274</v>
      </c>
      <c r="D2136" s="5" t="s">
        <v>3565</v>
      </c>
      <c r="E2136" s="5" t="s">
        <v>788</v>
      </c>
      <c r="F2136" s="34" t="s">
        <v>3574</v>
      </c>
      <c r="G2136" s="26">
        <v>0.35600000000000004</v>
      </c>
      <c r="H2136" s="1" t="s">
        <v>774</v>
      </c>
      <c r="I2136" s="9">
        <v>100</v>
      </c>
      <c r="J2136" s="36">
        <v>0.06</v>
      </c>
    </row>
    <row r="2137" spans="2:10" s="44" customFormat="1" x14ac:dyDescent="0.35">
      <c r="B2137" s="9" t="s">
        <v>1266</v>
      </c>
      <c r="C2137" s="5" t="s">
        <v>1267</v>
      </c>
      <c r="D2137" s="5" t="s">
        <v>3565</v>
      </c>
      <c r="E2137" s="5" t="s">
        <v>788</v>
      </c>
      <c r="F2137" s="34" t="s">
        <v>3574</v>
      </c>
      <c r="G2137" s="26">
        <v>4.8000000000000001E-2</v>
      </c>
      <c r="H2137" s="1" t="s">
        <v>774</v>
      </c>
      <c r="I2137" s="9">
        <v>200</v>
      </c>
      <c r="J2137" s="36">
        <v>0.06</v>
      </c>
    </row>
    <row r="2138" spans="2:10" s="44" customFormat="1" x14ac:dyDescent="0.35">
      <c r="B2138" s="9" t="s">
        <v>1257</v>
      </c>
      <c r="C2138" s="5" t="s">
        <v>1258</v>
      </c>
      <c r="D2138" s="5" t="s">
        <v>3565</v>
      </c>
      <c r="E2138" s="5" t="s">
        <v>1259</v>
      </c>
      <c r="F2138" s="34" t="s">
        <v>3574</v>
      </c>
      <c r="G2138" s="26">
        <v>0.155</v>
      </c>
      <c r="H2138" s="1" t="s">
        <v>774</v>
      </c>
      <c r="I2138" s="9">
        <v>100</v>
      </c>
      <c r="J2138" s="36">
        <v>0.06</v>
      </c>
    </row>
    <row r="2139" spans="2:10" s="44" customFormat="1" x14ac:dyDescent="0.35">
      <c r="B2139" s="9" t="s">
        <v>1270</v>
      </c>
      <c r="C2139" s="5" t="s">
        <v>1271</v>
      </c>
      <c r="D2139" s="5" t="s">
        <v>3565</v>
      </c>
      <c r="E2139" s="5" t="s">
        <v>788</v>
      </c>
      <c r="F2139" s="34" t="s">
        <v>3574</v>
      </c>
      <c r="G2139" s="26">
        <v>0.27500000000000002</v>
      </c>
      <c r="H2139" s="1" t="s">
        <v>774</v>
      </c>
      <c r="I2139" s="9">
        <v>200</v>
      </c>
      <c r="J2139" s="36">
        <v>0.06</v>
      </c>
    </row>
    <row r="2140" spans="2:10" s="44" customFormat="1" x14ac:dyDescent="0.35">
      <c r="B2140" s="9" t="s">
        <v>637</v>
      </c>
      <c r="C2140" s="5" t="s">
        <v>1260</v>
      </c>
      <c r="D2140" s="5" t="s">
        <v>3565</v>
      </c>
      <c r="E2140" s="5" t="s">
        <v>1259</v>
      </c>
      <c r="F2140" s="34" t="s">
        <v>3574</v>
      </c>
      <c r="G2140" s="26">
        <v>0.25700000000000001</v>
      </c>
      <c r="H2140" s="1" t="s">
        <v>774</v>
      </c>
      <c r="I2140" s="9">
        <v>100</v>
      </c>
      <c r="J2140" s="36">
        <v>0.06</v>
      </c>
    </row>
    <row r="2141" spans="2:10" s="44" customFormat="1" x14ac:dyDescent="0.35">
      <c r="B2141" s="9" t="s">
        <v>1261</v>
      </c>
      <c r="C2141" s="5" t="s">
        <v>1262</v>
      </c>
      <c r="D2141" s="5" t="s">
        <v>3565</v>
      </c>
      <c r="E2141" s="5" t="s">
        <v>1263</v>
      </c>
      <c r="F2141" s="34" t="s">
        <v>3574</v>
      </c>
      <c r="G2141" s="26">
        <v>0.23900000000000002</v>
      </c>
      <c r="H2141" s="1" t="s">
        <v>774</v>
      </c>
      <c r="I2141" s="9">
        <v>100</v>
      </c>
      <c r="J2141" s="36">
        <v>0.06</v>
      </c>
    </row>
    <row r="2142" spans="2:10" s="44" customFormat="1" x14ac:dyDescent="0.35">
      <c r="B2142" s="9" t="s">
        <v>2420</v>
      </c>
      <c r="C2142" s="5" t="s">
        <v>2421</v>
      </c>
      <c r="D2142" s="5" t="s">
        <v>3565</v>
      </c>
      <c r="E2142" s="5" t="s">
        <v>2422</v>
      </c>
      <c r="F2142" s="34" t="s">
        <v>3574</v>
      </c>
      <c r="G2142" s="26">
        <v>0.57800000000000007</v>
      </c>
      <c r="H2142" s="1" t="s">
        <v>774</v>
      </c>
      <c r="I2142" s="9">
        <v>100</v>
      </c>
      <c r="J2142" s="36">
        <v>0.06</v>
      </c>
    </row>
    <row r="2143" spans="2:10" s="44" customFormat="1" x14ac:dyDescent="0.35">
      <c r="B2143" s="9" t="s">
        <v>2611</v>
      </c>
      <c r="C2143" s="5" t="s">
        <v>2612</v>
      </c>
      <c r="D2143" s="5" t="s">
        <v>3565</v>
      </c>
      <c r="E2143" s="5" t="s">
        <v>2613</v>
      </c>
      <c r="F2143" s="34" t="s">
        <v>3574</v>
      </c>
      <c r="G2143" s="26">
        <v>0.77300000000000002</v>
      </c>
      <c r="H2143" s="1" t="s">
        <v>774</v>
      </c>
      <c r="I2143" s="9">
        <v>100</v>
      </c>
      <c r="J2143" s="36">
        <v>0.06</v>
      </c>
    </row>
    <row r="2144" spans="2:10" s="44" customFormat="1" x14ac:dyDescent="0.35">
      <c r="B2144" s="9" t="s">
        <v>1854</v>
      </c>
      <c r="C2144" s="5" t="s">
        <v>1855</v>
      </c>
      <c r="D2144" s="5" t="s">
        <v>3565</v>
      </c>
      <c r="E2144" s="5" t="s">
        <v>1856</v>
      </c>
      <c r="F2144" s="34" t="s">
        <v>3574</v>
      </c>
      <c r="G2144" s="26">
        <v>2.1000000000000001E-2</v>
      </c>
      <c r="H2144" s="1" t="s">
        <v>774</v>
      </c>
      <c r="I2144" s="9">
        <v>100</v>
      </c>
      <c r="J2144" s="36">
        <v>0.06</v>
      </c>
    </row>
    <row r="2145" spans="2:10" s="44" customFormat="1" x14ac:dyDescent="0.35">
      <c r="B2145" s="9" t="s">
        <v>1712</v>
      </c>
      <c r="C2145" s="5" t="s">
        <v>1713</v>
      </c>
      <c r="D2145" s="5" t="s">
        <v>3565</v>
      </c>
      <c r="E2145" s="5" t="s">
        <v>786</v>
      </c>
      <c r="F2145" s="34" t="s">
        <v>3574</v>
      </c>
      <c r="G2145" s="26">
        <v>7.0999999999999994E-2</v>
      </c>
      <c r="H2145" s="1" t="s">
        <v>774</v>
      </c>
      <c r="I2145" s="9">
        <v>200</v>
      </c>
      <c r="J2145" s="36">
        <v>0.06</v>
      </c>
    </row>
    <row r="2146" spans="2:10" s="44" customFormat="1" x14ac:dyDescent="0.35">
      <c r="B2146" s="9" t="s">
        <v>1714</v>
      </c>
      <c r="C2146" s="5" t="s">
        <v>1715</v>
      </c>
      <c r="D2146" s="5" t="s">
        <v>3565</v>
      </c>
      <c r="E2146" s="5" t="s">
        <v>786</v>
      </c>
      <c r="F2146" s="34" t="s">
        <v>3574</v>
      </c>
      <c r="G2146" s="26">
        <v>2.4E-2</v>
      </c>
      <c r="H2146" s="1" t="s">
        <v>774</v>
      </c>
      <c r="I2146" s="9">
        <v>200</v>
      </c>
      <c r="J2146" s="36">
        <v>0.06</v>
      </c>
    </row>
    <row r="2147" spans="2:10" s="44" customFormat="1" x14ac:dyDescent="0.35">
      <c r="B2147" s="9" t="s">
        <v>1268</v>
      </c>
      <c r="C2147" s="5" t="s">
        <v>1269</v>
      </c>
      <c r="D2147" s="5" t="s">
        <v>3565</v>
      </c>
      <c r="E2147" s="5" t="s">
        <v>788</v>
      </c>
      <c r="F2147" s="34" t="s">
        <v>3574</v>
      </c>
      <c r="G2147" s="26">
        <v>0.08</v>
      </c>
      <c r="H2147" s="1" t="s">
        <v>774</v>
      </c>
      <c r="I2147" s="9">
        <v>200</v>
      </c>
      <c r="J2147" s="36">
        <v>0.06</v>
      </c>
    </row>
    <row r="2148" spans="2:10" s="44" customFormat="1" x14ac:dyDescent="0.35">
      <c r="B2148" s="9" t="s">
        <v>1718</v>
      </c>
      <c r="C2148" s="5" t="s">
        <v>1212</v>
      </c>
      <c r="D2148" s="5" t="s">
        <v>3565</v>
      </c>
      <c r="E2148" s="5" t="s">
        <v>786</v>
      </c>
      <c r="F2148" s="34" t="s">
        <v>3574</v>
      </c>
      <c r="G2148" s="26">
        <v>2.4E-2</v>
      </c>
      <c r="H2148" s="1" t="s">
        <v>774</v>
      </c>
      <c r="I2148" s="9">
        <v>200</v>
      </c>
      <c r="J2148" s="36">
        <v>0.06</v>
      </c>
    </row>
    <row r="2149" spans="2:10" s="44" customFormat="1" x14ac:dyDescent="0.35">
      <c r="B2149" s="9" t="s">
        <v>1703</v>
      </c>
      <c r="C2149" s="5" t="s">
        <v>1704</v>
      </c>
      <c r="D2149" s="5" t="s">
        <v>3565</v>
      </c>
      <c r="E2149" s="5">
        <v>1762036</v>
      </c>
      <c r="F2149" s="34" t="s">
        <v>3574</v>
      </c>
      <c r="G2149" s="26">
        <v>0.114</v>
      </c>
      <c r="H2149" s="1" t="s">
        <v>774</v>
      </c>
      <c r="I2149" s="9">
        <v>200</v>
      </c>
      <c r="J2149" s="36">
        <v>0.06</v>
      </c>
    </row>
    <row r="2150" spans="2:10" s="44" customFormat="1" x14ac:dyDescent="0.35">
      <c r="B2150" s="9" t="s">
        <v>784</v>
      </c>
      <c r="C2150" s="5" t="s">
        <v>785</v>
      </c>
      <c r="D2150" s="5" t="s">
        <v>3565</v>
      </c>
      <c r="E2150" s="5" t="s">
        <v>786</v>
      </c>
      <c r="F2150" s="34" t="s">
        <v>3574</v>
      </c>
      <c r="G2150" s="26">
        <v>2.6000000000000002E-2</v>
      </c>
      <c r="H2150" s="1" t="s">
        <v>774</v>
      </c>
      <c r="I2150" s="9">
        <v>1000</v>
      </c>
      <c r="J2150" s="36">
        <v>0.06</v>
      </c>
    </row>
    <row r="2151" spans="2:10" s="44" customFormat="1" x14ac:dyDescent="0.35">
      <c r="B2151" s="9" t="s">
        <v>675</v>
      </c>
      <c r="C2151" s="5" t="s">
        <v>1705</v>
      </c>
      <c r="D2151" s="5" t="s">
        <v>3565</v>
      </c>
      <c r="E2151" s="5" t="s">
        <v>1215</v>
      </c>
      <c r="F2151" s="34" t="s">
        <v>3574</v>
      </c>
      <c r="G2151" s="26">
        <v>0.121</v>
      </c>
      <c r="H2151" s="1" t="s">
        <v>774</v>
      </c>
      <c r="I2151" s="9">
        <v>200</v>
      </c>
      <c r="J2151" s="36">
        <v>0.06</v>
      </c>
    </row>
    <row r="2152" spans="2:10" s="44" customFormat="1" x14ac:dyDescent="0.35">
      <c r="B2152" s="9" t="s">
        <v>1697</v>
      </c>
      <c r="C2152" s="5" t="s">
        <v>1698</v>
      </c>
      <c r="D2152" s="5" t="s">
        <v>3565</v>
      </c>
      <c r="E2152" s="5" t="s">
        <v>1215</v>
      </c>
      <c r="F2152" s="34" t="s">
        <v>3574</v>
      </c>
      <c r="G2152" s="26">
        <v>0.36799999999999999</v>
      </c>
      <c r="H2152" s="1" t="s">
        <v>774</v>
      </c>
      <c r="I2152" s="9">
        <v>200</v>
      </c>
      <c r="J2152" s="36">
        <v>0.06</v>
      </c>
    </row>
    <row r="2153" spans="2:10" s="44" customFormat="1" x14ac:dyDescent="0.35">
      <c r="B2153" s="9" t="s">
        <v>1960</v>
      </c>
      <c r="C2153" s="5" t="s">
        <v>1961</v>
      </c>
      <c r="D2153" s="5" t="s">
        <v>3565</v>
      </c>
      <c r="E2153" s="5" t="s">
        <v>1962</v>
      </c>
      <c r="F2153" s="34" t="s">
        <v>3574</v>
      </c>
      <c r="G2153" s="26">
        <v>0.315</v>
      </c>
      <c r="H2153" s="1" t="s">
        <v>774</v>
      </c>
      <c r="I2153" s="9">
        <v>100</v>
      </c>
      <c r="J2153" s="36">
        <v>0.06</v>
      </c>
    </row>
    <row r="2154" spans="2:10" s="44" customFormat="1" x14ac:dyDescent="0.35">
      <c r="B2154" s="9" t="s">
        <v>1249</v>
      </c>
      <c r="C2154" s="5" t="s">
        <v>1250</v>
      </c>
      <c r="D2154" s="5" t="s">
        <v>3565</v>
      </c>
      <c r="E2154" s="5" t="s">
        <v>1251</v>
      </c>
      <c r="F2154" s="34" t="s">
        <v>3574</v>
      </c>
      <c r="G2154" s="26">
        <v>0.08</v>
      </c>
      <c r="H2154" s="1" t="s">
        <v>774</v>
      </c>
      <c r="I2154" s="9">
        <v>200</v>
      </c>
      <c r="J2154" s="36">
        <v>0.06</v>
      </c>
    </row>
    <row r="2155" spans="2:10" s="44" customFormat="1" x14ac:dyDescent="0.35">
      <c r="B2155" s="9" t="s">
        <v>1252</v>
      </c>
      <c r="C2155" s="5" t="s">
        <v>1253</v>
      </c>
      <c r="D2155" s="5" t="s">
        <v>3565</v>
      </c>
      <c r="E2155" s="5" t="s">
        <v>1254</v>
      </c>
      <c r="F2155" s="34" t="s">
        <v>3574</v>
      </c>
      <c r="G2155" s="26">
        <v>2.8000000000000004E-2</v>
      </c>
      <c r="H2155" s="1" t="s">
        <v>774</v>
      </c>
      <c r="I2155" s="9">
        <v>200</v>
      </c>
      <c r="J2155" s="36">
        <v>0.06</v>
      </c>
    </row>
    <row r="2156" spans="2:10" s="44" customFormat="1" x14ac:dyDescent="0.35">
      <c r="B2156" s="9" t="s">
        <v>1213</v>
      </c>
      <c r="C2156" s="5" t="s">
        <v>1214</v>
      </c>
      <c r="D2156" s="5" t="s">
        <v>3565</v>
      </c>
      <c r="E2156" s="5" t="s">
        <v>1215</v>
      </c>
      <c r="F2156" s="34" t="s">
        <v>3574</v>
      </c>
      <c r="G2156" s="26">
        <v>0.85</v>
      </c>
      <c r="H2156" s="1" t="s">
        <v>774</v>
      </c>
      <c r="I2156" s="9">
        <v>100</v>
      </c>
      <c r="J2156" s="36">
        <v>0.06</v>
      </c>
    </row>
    <row r="2157" spans="2:10" s="44" customFormat="1" x14ac:dyDescent="0.35">
      <c r="B2157" s="9" t="s">
        <v>2132</v>
      </c>
      <c r="C2157" s="5" t="s">
        <v>1872</v>
      </c>
      <c r="D2157" s="5" t="s">
        <v>3565</v>
      </c>
      <c r="E2157" s="5" t="s">
        <v>2133</v>
      </c>
      <c r="F2157" s="34" t="s">
        <v>3574</v>
      </c>
      <c r="G2157" s="26">
        <v>0.11599999999999999</v>
      </c>
      <c r="H2157" s="1" t="s">
        <v>774</v>
      </c>
      <c r="I2157" s="9">
        <v>200</v>
      </c>
      <c r="J2157" s="36">
        <v>0.06</v>
      </c>
    </row>
    <row r="2158" spans="2:10" s="44" customFormat="1" x14ac:dyDescent="0.35">
      <c r="B2158" s="9" t="s">
        <v>1291</v>
      </c>
      <c r="C2158" s="5" t="s">
        <v>1292</v>
      </c>
      <c r="D2158" s="5" t="s">
        <v>3565</v>
      </c>
      <c r="E2158" s="5" t="s">
        <v>1293</v>
      </c>
      <c r="F2158" s="34" t="s">
        <v>3574</v>
      </c>
      <c r="G2158" s="26">
        <v>2.6000000000000002E-2</v>
      </c>
      <c r="H2158" s="1" t="s">
        <v>774</v>
      </c>
      <c r="I2158" s="9">
        <v>200</v>
      </c>
      <c r="J2158" s="36">
        <v>0.06</v>
      </c>
    </row>
    <row r="2159" spans="2:10" s="44" customFormat="1" x14ac:dyDescent="0.35">
      <c r="B2159" s="9">
        <v>1135772</v>
      </c>
      <c r="C2159" s="5" t="s">
        <v>1868</v>
      </c>
      <c r="D2159" s="5" t="s">
        <v>3565</v>
      </c>
      <c r="E2159" s="5" t="s">
        <v>2251</v>
      </c>
      <c r="F2159" s="34" t="s">
        <v>3574</v>
      </c>
      <c r="G2159" s="26">
        <v>5.1999999999999991E-2</v>
      </c>
      <c r="H2159" s="1" t="s">
        <v>774</v>
      </c>
      <c r="I2159" s="9">
        <v>100</v>
      </c>
      <c r="J2159" s="36">
        <v>0.06</v>
      </c>
    </row>
    <row r="2160" spans="2:10" s="44" customFormat="1" x14ac:dyDescent="0.35">
      <c r="B2160" s="9" t="s">
        <v>3601</v>
      </c>
      <c r="C2160" s="5" t="s">
        <v>1294</v>
      </c>
      <c r="D2160" s="5" t="s">
        <v>3565</v>
      </c>
      <c r="E2160" s="5" t="s">
        <v>1295</v>
      </c>
      <c r="F2160" s="34" t="s">
        <v>3574</v>
      </c>
      <c r="G2160" s="26">
        <v>2.6000000000000002E-2</v>
      </c>
      <c r="H2160" s="1" t="s">
        <v>774</v>
      </c>
      <c r="I2160" s="9">
        <v>200</v>
      </c>
      <c r="J2160" s="36">
        <v>0.06</v>
      </c>
    </row>
    <row r="2161" spans="2:10" s="44" customFormat="1" x14ac:dyDescent="0.35">
      <c r="B2161" s="9" t="s">
        <v>1871</v>
      </c>
      <c r="C2161" s="5" t="s">
        <v>1872</v>
      </c>
      <c r="D2161" s="5" t="s">
        <v>3565</v>
      </c>
      <c r="E2161" s="5" t="s">
        <v>1873</v>
      </c>
      <c r="F2161" s="34" t="s">
        <v>3574</v>
      </c>
      <c r="G2161" s="26">
        <v>0.06</v>
      </c>
      <c r="H2161" s="1" t="s">
        <v>774</v>
      </c>
      <c r="I2161" s="9">
        <v>200</v>
      </c>
      <c r="J2161" s="36">
        <v>0.06</v>
      </c>
    </row>
    <row r="2162" spans="2:10" s="44" customFormat="1" x14ac:dyDescent="0.35">
      <c r="B2162" s="9">
        <v>4000254</v>
      </c>
      <c r="C2162" s="5" t="s">
        <v>1294</v>
      </c>
      <c r="D2162" s="5" t="s">
        <v>3565</v>
      </c>
      <c r="E2162" s="5" t="s">
        <v>1295</v>
      </c>
      <c r="F2162" s="34" t="s">
        <v>3574</v>
      </c>
      <c r="G2162" s="26">
        <v>2.6000000000000002E-2</v>
      </c>
      <c r="H2162" s="1" t="s">
        <v>774</v>
      </c>
      <c r="I2162" s="9">
        <v>200</v>
      </c>
      <c r="J2162" s="36">
        <v>0.06</v>
      </c>
    </row>
    <row r="2163" spans="2:10" s="44" customFormat="1" x14ac:dyDescent="0.35">
      <c r="B2163" s="9" t="s">
        <v>3603</v>
      </c>
      <c r="C2163" s="5" t="s">
        <v>1296</v>
      </c>
      <c r="D2163" s="5" t="s">
        <v>3565</v>
      </c>
      <c r="E2163" s="5" t="s">
        <v>1297</v>
      </c>
      <c r="F2163" s="34" t="s">
        <v>3574</v>
      </c>
      <c r="G2163" s="26">
        <v>7.0000000000000007E-2</v>
      </c>
      <c r="H2163" s="1" t="s">
        <v>774</v>
      </c>
      <c r="I2163" s="9">
        <v>200</v>
      </c>
      <c r="J2163" s="36">
        <v>0.06</v>
      </c>
    </row>
    <row r="2164" spans="2:10" s="44" customFormat="1" x14ac:dyDescent="0.35">
      <c r="B2164" s="9">
        <v>4000152</v>
      </c>
      <c r="C2164" s="5" t="s">
        <v>1296</v>
      </c>
      <c r="D2164" s="5" t="s">
        <v>3565</v>
      </c>
      <c r="E2164" s="5" t="s">
        <v>1297</v>
      </c>
      <c r="F2164" s="34" t="s">
        <v>3574</v>
      </c>
      <c r="G2164" s="26">
        <v>7.0000000000000007E-2</v>
      </c>
      <c r="H2164" s="1" t="s">
        <v>774</v>
      </c>
      <c r="I2164" s="9">
        <v>200</v>
      </c>
      <c r="J2164" s="36">
        <v>0.06</v>
      </c>
    </row>
    <row r="2165" spans="2:10" s="44" customFormat="1" x14ac:dyDescent="0.35">
      <c r="B2165" s="9" t="s">
        <v>1219</v>
      </c>
      <c r="C2165" s="5" t="s">
        <v>1220</v>
      </c>
      <c r="D2165" s="5" t="s">
        <v>3565</v>
      </c>
      <c r="E2165" s="5" t="s">
        <v>1221</v>
      </c>
      <c r="F2165" s="34" t="s">
        <v>3574</v>
      </c>
      <c r="G2165" s="26">
        <v>0.03</v>
      </c>
      <c r="H2165" s="1" t="s">
        <v>774</v>
      </c>
      <c r="I2165" s="9">
        <v>200</v>
      </c>
      <c r="J2165" s="36">
        <v>0.06</v>
      </c>
    </row>
    <row r="2166" spans="2:10" s="44" customFormat="1" x14ac:dyDescent="0.35">
      <c r="B2166" s="9" t="s">
        <v>1264</v>
      </c>
      <c r="C2166" s="5" t="s">
        <v>1265</v>
      </c>
      <c r="D2166" s="5" t="s">
        <v>3565</v>
      </c>
      <c r="E2166" s="5" t="s">
        <v>788</v>
      </c>
      <c r="F2166" s="34" t="s">
        <v>3574</v>
      </c>
      <c r="G2166" s="26">
        <v>2.5000000000000001E-2</v>
      </c>
      <c r="H2166" s="1" t="s">
        <v>774</v>
      </c>
      <c r="I2166" s="9">
        <v>200</v>
      </c>
      <c r="J2166" s="36">
        <v>0.06</v>
      </c>
    </row>
    <row r="2167" spans="2:10" s="44" customFormat="1" x14ac:dyDescent="0.35">
      <c r="B2167" s="9" t="s">
        <v>1087</v>
      </c>
      <c r="C2167" s="5" t="s">
        <v>1088</v>
      </c>
      <c r="D2167" s="5" t="s">
        <v>3565</v>
      </c>
      <c r="E2167" s="5" t="s">
        <v>1068</v>
      </c>
      <c r="F2167" s="34" t="s">
        <v>3574</v>
      </c>
      <c r="G2167" s="26">
        <v>7.4999999999999997E-2</v>
      </c>
      <c r="H2167" s="1" t="s">
        <v>774</v>
      </c>
      <c r="I2167" s="9">
        <v>100</v>
      </c>
      <c r="J2167" s="36">
        <v>0.06</v>
      </c>
    </row>
    <row r="2168" spans="2:10" s="44" customFormat="1" x14ac:dyDescent="0.35">
      <c r="B2168" s="9" t="s">
        <v>674</v>
      </c>
      <c r="C2168" s="5" t="s">
        <v>1091</v>
      </c>
      <c r="D2168" s="5" t="s">
        <v>3565</v>
      </c>
      <c r="E2168" s="5" t="s">
        <v>1068</v>
      </c>
      <c r="F2168" s="34" t="s">
        <v>3574</v>
      </c>
      <c r="G2168" s="26">
        <v>7.4999999999999997E-2</v>
      </c>
      <c r="H2168" s="1" t="s">
        <v>774</v>
      </c>
      <c r="I2168" s="9">
        <v>100</v>
      </c>
      <c r="J2168" s="36">
        <v>0.06</v>
      </c>
    </row>
    <row r="2169" spans="2:10" s="44" customFormat="1" x14ac:dyDescent="0.35">
      <c r="B2169" s="9" t="s">
        <v>671</v>
      </c>
      <c r="C2169" s="5" t="s">
        <v>672</v>
      </c>
      <c r="D2169" s="5" t="s">
        <v>3565</v>
      </c>
      <c r="E2169" s="5" t="s">
        <v>2897</v>
      </c>
      <c r="F2169" s="34" t="s">
        <v>3574</v>
      </c>
      <c r="G2169" s="26">
        <v>0.10300000000000001</v>
      </c>
      <c r="H2169" s="1" t="s">
        <v>774</v>
      </c>
      <c r="I2169" s="9">
        <v>100</v>
      </c>
      <c r="J2169" s="36">
        <v>0.06</v>
      </c>
    </row>
    <row r="2170" spans="2:10" s="44" customFormat="1" x14ac:dyDescent="0.35">
      <c r="B2170" s="9" t="s">
        <v>787</v>
      </c>
      <c r="C2170" s="5" t="s">
        <v>1272</v>
      </c>
      <c r="D2170" s="5" t="s">
        <v>3565</v>
      </c>
      <c r="E2170" s="5" t="s">
        <v>788</v>
      </c>
      <c r="F2170" s="34" t="s">
        <v>3574</v>
      </c>
      <c r="G2170" s="26">
        <v>0.7</v>
      </c>
      <c r="H2170" s="1" t="s">
        <v>774</v>
      </c>
      <c r="I2170" s="9">
        <v>200</v>
      </c>
      <c r="J2170" s="36">
        <v>0.06</v>
      </c>
    </row>
    <row r="2171" spans="2:10" s="44" customFormat="1" x14ac:dyDescent="0.35">
      <c r="B2171" s="9" t="s">
        <v>1700</v>
      </c>
      <c r="C2171" s="5" t="s">
        <v>1701</v>
      </c>
      <c r="D2171" s="5" t="s">
        <v>3565</v>
      </c>
      <c r="E2171" s="5" t="s">
        <v>1702</v>
      </c>
      <c r="F2171" s="34" t="s">
        <v>3574</v>
      </c>
      <c r="G2171" s="26">
        <v>0.02</v>
      </c>
      <c r="H2171" s="1" t="s">
        <v>774</v>
      </c>
      <c r="I2171" s="9">
        <v>200</v>
      </c>
      <c r="J2171" s="36">
        <v>0.06</v>
      </c>
    </row>
    <row r="2172" spans="2:10" s="44" customFormat="1" x14ac:dyDescent="0.35">
      <c r="B2172" s="9" t="s">
        <v>3255</v>
      </c>
      <c r="C2172" s="5" t="s">
        <v>3256</v>
      </c>
      <c r="D2172" s="5" t="s">
        <v>3565</v>
      </c>
      <c r="E2172" s="5" t="s">
        <v>3257</v>
      </c>
      <c r="F2172" s="34" t="s">
        <v>3574</v>
      </c>
      <c r="G2172" s="26">
        <v>3.5</v>
      </c>
      <c r="H2172" s="1" t="s">
        <v>774</v>
      </c>
      <c r="I2172" s="9">
        <v>500</v>
      </c>
      <c r="J2172" s="36">
        <v>0.06</v>
      </c>
    </row>
    <row r="2173" spans="2:10" s="44" customFormat="1" x14ac:dyDescent="0.35">
      <c r="B2173" s="9" t="s">
        <v>759</v>
      </c>
      <c r="C2173" s="5" t="s">
        <v>1310</v>
      </c>
      <c r="D2173" s="5" t="s">
        <v>3565</v>
      </c>
      <c r="E2173" s="5">
        <v>1500</v>
      </c>
      <c r="F2173" s="34" t="s">
        <v>3574</v>
      </c>
      <c r="G2173" s="26">
        <v>5.1999999999999991E-2</v>
      </c>
      <c r="H2173" s="1" t="s">
        <v>774</v>
      </c>
      <c r="I2173" s="9">
        <v>100</v>
      </c>
      <c r="J2173" s="36">
        <v>0.06</v>
      </c>
    </row>
    <row r="2174" spans="2:10" s="44" customFormat="1" x14ac:dyDescent="0.35">
      <c r="B2174" s="9" t="s">
        <v>1075</v>
      </c>
      <c r="C2174" s="5" t="s">
        <v>1076</v>
      </c>
      <c r="D2174" s="5" t="s">
        <v>3565</v>
      </c>
      <c r="E2174" s="5">
        <v>1225375</v>
      </c>
      <c r="F2174" s="34" t="s">
        <v>3574</v>
      </c>
      <c r="G2174" s="26">
        <v>0.1</v>
      </c>
      <c r="H2174" s="1" t="s">
        <v>774</v>
      </c>
      <c r="I2174" s="9">
        <v>100</v>
      </c>
      <c r="J2174" s="36">
        <v>0.06</v>
      </c>
    </row>
    <row r="2175" spans="2:10" s="44" customFormat="1" x14ac:dyDescent="0.35">
      <c r="B2175" s="9" t="s">
        <v>1094</v>
      </c>
      <c r="C2175" s="5" t="s">
        <v>1095</v>
      </c>
      <c r="D2175" s="5" t="s">
        <v>3565</v>
      </c>
      <c r="E2175" s="11" t="s">
        <v>3573</v>
      </c>
      <c r="F2175" s="34" t="s">
        <v>3574</v>
      </c>
      <c r="G2175" s="26">
        <v>0.14000000000000001</v>
      </c>
      <c r="H2175" s="1" t="s">
        <v>774</v>
      </c>
      <c r="I2175" s="9">
        <v>100</v>
      </c>
      <c r="J2175" s="36">
        <v>0.06</v>
      </c>
    </row>
    <row r="2176" spans="2:10" s="44" customFormat="1" x14ac:dyDescent="0.35">
      <c r="B2176" s="9" t="s">
        <v>1246</v>
      </c>
      <c r="C2176" s="5" t="s">
        <v>1247</v>
      </c>
      <c r="D2176" s="5" t="s">
        <v>3565</v>
      </c>
      <c r="E2176" s="5" t="s">
        <v>1248</v>
      </c>
      <c r="F2176" s="34" t="s">
        <v>3574</v>
      </c>
      <c r="G2176" s="26">
        <v>9.6000000000000002E-2</v>
      </c>
      <c r="H2176" s="1" t="s">
        <v>774</v>
      </c>
      <c r="I2176" s="9">
        <v>200</v>
      </c>
      <c r="J2176" s="36">
        <v>0.06</v>
      </c>
    </row>
    <row r="2177" spans="2:10" s="44" customFormat="1" x14ac:dyDescent="0.35">
      <c r="B2177" s="9" t="s">
        <v>2477</v>
      </c>
      <c r="C2177" s="5" t="s">
        <v>2478</v>
      </c>
      <c r="D2177" s="5" t="s">
        <v>3565</v>
      </c>
      <c r="E2177" s="5" t="s">
        <v>2479</v>
      </c>
      <c r="F2177" s="34" t="s">
        <v>3574</v>
      </c>
      <c r="G2177" s="26">
        <v>0.376</v>
      </c>
      <c r="H2177" s="1" t="s">
        <v>774</v>
      </c>
      <c r="I2177" s="9">
        <v>100</v>
      </c>
      <c r="J2177" s="36">
        <v>0.06</v>
      </c>
    </row>
    <row r="2178" spans="2:10" s="44" customFormat="1" x14ac:dyDescent="0.35">
      <c r="B2178" s="9" t="s">
        <v>736</v>
      </c>
      <c r="C2178" s="5" t="s">
        <v>2255</v>
      </c>
      <c r="D2178" s="5" t="s">
        <v>3565</v>
      </c>
      <c r="E2178" s="5" t="s">
        <v>2256</v>
      </c>
      <c r="F2178" s="34" t="s">
        <v>3574</v>
      </c>
      <c r="G2178" s="26">
        <v>8.6999999999999994E-2</v>
      </c>
      <c r="H2178" s="1" t="s">
        <v>774</v>
      </c>
      <c r="I2178" s="9">
        <v>200</v>
      </c>
      <c r="J2178" s="36">
        <v>0.06</v>
      </c>
    </row>
    <row r="2179" spans="2:10" s="44" customFormat="1" x14ac:dyDescent="0.35">
      <c r="B2179" s="9" t="s">
        <v>2115</v>
      </c>
      <c r="C2179" s="5" t="s">
        <v>2116</v>
      </c>
      <c r="D2179" s="5" t="s">
        <v>3565</v>
      </c>
      <c r="E2179" s="5" t="s">
        <v>2117</v>
      </c>
      <c r="F2179" s="34" t="s">
        <v>3574</v>
      </c>
      <c r="G2179" s="26">
        <v>0.158</v>
      </c>
      <c r="H2179" s="1" t="s">
        <v>774</v>
      </c>
      <c r="I2179" s="9">
        <v>100</v>
      </c>
      <c r="J2179" s="36">
        <v>0.06</v>
      </c>
    </row>
    <row r="2180" spans="2:10" s="44" customFormat="1" x14ac:dyDescent="0.35">
      <c r="B2180" s="9" t="s">
        <v>979</v>
      </c>
      <c r="C2180" s="5" t="s">
        <v>980</v>
      </c>
      <c r="D2180" s="5" t="s">
        <v>3565</v>
      </c>
      <c r="E2180" s="5" t="s">
        <v>976</v>
      </c>
      <c r="F2180" s="34" t="s">
        <v>3574</v>
      </c>
      <c r="G2180" s="26">
        <v>0.16600000000000001</v>
      </c>
      <c r="H2180" s="1" t="s">
        <v>774</v>
      </c>
      <c r="I2180" s="9">
        <v>100</v>
      </c>
      <c r="J2180" s="36">
        <v>0.06</v>
      </c>
    </row>
    <row r="2181" spans="2:10" x14ac:dyDescent="0.35">
      <c r="B2181" s="18">
        <v>800003759</v>
      </c>
      <c r="C2181" s="19" t="s">
        <v>4191</v>
      </c>
      <c r="D2181" s="5" t="s">
        <v>8</v>
      </c>
      <c r="E2181" s="19" t="s">
        <v>5345</v>
      </c>
      <c r="F2181" s="34" t="s">
        <v>3574</v>
      </c>
      <c r="G2181" s="27">
        <v>1.78</v>
      </c>
      <c r="H2181" s="1" t="s">
        <v>774</v>
      </c>
      <c r="I2181" s="20">
        <v>1</v>
      </c>
      <c r="J2181" s="36">
        <v>0.06</v>
      </c>
    </row>
    <row r="2182" spans="2:10" x14ac:dyDescent="0.35">
      <c r="B2182" s="18">
        <v>1800655</v>
      </c>
      <c r="C2182" s="19" t="s">
        <v>4192</v>
      </c>
      <c r="D2182" s="5" t="s">
        <v>8</v>
      </c>
      <c r="E2182" s="19" t="s">
        <v>5346</v>
      </c>
      <c r="F2182" s="34" t="s">
        <v>3574</v>
      </c>
      <c r="G2182" s="27">
        <v>122.65</v>
      </c>
      <c r="H2182" s="1" t="s">
        <v>774</v>
      </c>
      <c r="I2182" s="20">
        <v>1</v>
      </c>
      <c r="J2182" s="36">
        <v>0.06</v>
      </c>
    </row>
    <row r="2183" spans="2:10" x14ac:dyDescent="0.35">
      <c r="B2183" s="18">
        <v>1800656</v>
      </c>
      <c r="C2183" s="19" t="s">
        <v>4192</v>
      </c>
      <c r="D2183" s="5" t="s">
        <v>8</v>
      </c>
      <c r="E2183" s="19" t="s">
        <v>5347</v>
      </c>
      <c r="F2183" s="34" t="s">
        <v>3574</v>
      </c>
      <c r="G2183" s="27">
        <v>140.88</v>
      </c>
      <c r="H2183" s="1" t="s">
        <v>774</v>
      </c>
      <c r="I2183" s="20">
        <v>1</v>
      </c>
      <c r="J2183" s="36">
        <v>0.06</v>
      </c>
    </row>
    <row r="2184" spans="2:10" x14ac:dyDescent="0.35">
      <c r="B2184" s="18">
        <v>1585184</v>
      </c>
      <c r="C2184" s="19" t="s">
        <v>4193</v>
      </c>
      <c r="D2184" s="5" t="s">
        <v>8</v>
      </c>
      <c r="E2184" s="19" t="s">
        <v>5348</v>
      </c>
      <c r="F2184" s="34" t="s">
        <v>3574</v>
      </c>
      <c r="G2184" s="27">
        <v>341.43</v>
      </c>
      <c r="H2184" s="1" t="s">
        <v>774</v>
      </c>
      <c r="I2184" s="20">
        <v>1</v>
      </c>
      <c r="J2184" s="36">
        <v>0.06</v>
      </c>
    </row>
    <row r="2185" spans="2:10" x14ac:dyDescent="0.35">
      <c r="B2185" s="18" t="s">
        <v>3604</v>
      </c>
      <c r="C2185" s="19" t="s">
        <v>4194</v>
      </c>
      <c r="D2185" s="5" t="s">
        <v>8</v>
      </c>
      <c r="E2185" s="19" t="s">
        <v>5349</v>
      </c>
      <c r="F2185" s="34" t="s">
        <v>3574</v>
      </c>
      <c r="G2185" s="27">
        <v>209.24</v>
      </c>
      <c r="H2185" s="1" t="s">
        <v>774</v>
      </c>
      <c r="I2185" s="20">
        <v>1</v>
      </c>
      <c r="J2185" s="36">
        <v>0.06</v>
      </c>
    </row>
    <row r="2186" spans="2:10" x14ac:dyDescent="0.35">
      <c r="B2186" s="18">
        <v>3603382</v>
      </c>
      <c r="C2186" s="19" t="s">
        <v>4195</v>
      </c>
      <c r="D2186" s="5" t="s">
        <v>8</v>
      </c>
      <c r="E2186" s="19" t="s">
        <v>5350</v>
      </c>
      <c r="F2186" s="34" t="s">
        <v>3574</v>
      </c>
      <c r="G2186" s="27">
        <v>246.48</v>
      </c>
      <c r="H2186" s="1" t="s">
        <v>774</v>
      </c>
      <c r="I2186" s="20">
        <v>1</v>
      </c>
      <c r="J2186" s="36">
        <v>0.06</v>
      </c>
    </row>
    <row r="2187" spans="2:10" x14ac:dyDescent="0.35">
      <c r="B2187" s="18">
        <v>3604377</v>
      </c>
      <c r="C2187" s="19" t="s">
        <v>4196</v>
      </c>
      <c r="D2187" s="5" t="s">
        <v>8</v>
      </c>
      <c r="E2187" s="19" t="s">
        <v>5351</v>
      </c>
      <c r="F2187" s="34" t="s">
        <v>3574</v>
      </c>
      <c r="G2187" s="27">
        <v>200.78</v>
      </c>
      <c r="H2187" s="1" t="s">
        <v>774</v>
      </c>
      <c r="I2187" s="20">
        <v>1</v>
      </c>
      <c r="J2187" s="36">
        <v>0.06</v>
      </c>
    </row>
    <row r="2188" spans="2:10" x14ac:dyDescent="0.35">
      <c r="B2188" s="18">
        <v>3604279</v>
      </c>
      <c r="C2188" s="19" t="s">
        <v>4197</v>
      </c>
      <c r="D2188" s="5" t="s">
        <v>8</v>
      </c>
      <c r="E2188" s="19" t="s">
        <v>5352</v>
      </c>
      <c r="F2188" s="34" t="s">
        <v>3574</v>
      </c>
      <c r="G2188" s="27">
        <v>262.77</v>
      </c>
      <c r="H2188" s="1" t="s">
        <v>774</v>
      </c>
      <c r="I2188" s="20">
        <v>1</v>
      </c>
      <c r="J2188" s="36">
        <v>0.06</v>
      </c>
    </row>
    <row r="2189" spans="2:10" x14ac:dyDescent="0.35">
      <c r="B2189" s="18">
        <v>3602140</v>
      </c>
      <c r="C2189" s="19" t="s">
        <v>4197</v>
      </c>
      <c r="D2189" s="5" t="s">
        <v>8</v>
      </c>
      <c r="E2189" s="19" t="s">
        <v>5353</v>
      </c>
      <c r="F2189" s="34" t="s">
        <v>3574</v>
      </c>
      <c r="G2189" s="27">
        <v>268.14</v>
      </c>
      <c r="H2189" s="1" t="s">
        <v>774</v>
      </c>
      <c r="I2189" s="20">
        <v>1</v>
      </c>
      <c r="J2189" s="36">
        <v>0.06</v>
      </c>
    </row>
    <row r="2190" spans="2:10" x14ac:dyDescent="0.35">
      <c r="B2190" s="18">
        <v>3604695</v>
      </c>
      <c r="C2190" s="19" t="s">
        <v>4198</v>
      </c>
      <c r="D2190" s="5" t="s">
        <v>8</v>
      </c>
      <c r="E2190" s="19" t="s">
        <v>5354</v>
      </c>
      <c r="F2190" s="34" t="s">
        <v>3574</v>
      </c>
      <c r="G2190" s="27">
        <v>517.47</v>
      </c>
      <c r="H2190" s="1" t="s">
        <v>774</v>
      </c>
      <c r="I2190" s="20">
        <v>1</v>
      </c>
      <c r="J2190" s="36">
        <v>0.06</v>
      </c>
    </row>
    <row r="2191" spans="2:10" x14ac:dyDescent="0.35">
      <c r="B2191" s="18">
        <v>3604694</v>
      </c>
      <c r="C2191" s="19" t="s">
        <v>4198</v>
      </c>
      <c r="D2191" s="5" t="s">
        <v>8</v>
      </c>
      <c r="E2191" s="19" t="s">
        <v>5355</v>
      </c>
      <c r="F2191" s="34" t="s">
        <v>3574</v>
      </c>
      <c r="G2191" s="27">
        <v>402.61</v>
      </c>
      <c r="H2191" s="1" t="s">
        <v>774</v>
      </c>
      <c r="I2191" s="20">
        <v>1</v>
      </c>
      <c r="J2191" s="36">
        <v>0.06</v>
      </c>
    </row>
    <row r="2192" spans="2:10" x14ac:dyDescent="0.35">
      <c r="B2192" s="18" t="s">
        <v>3605</v>
      </c>
      <c r="C2192" s="19" t="s">
        <v>4199</v>
      </c>
      <c r="D2192" s="5" t="s">
        <v>8</v>
      </c>
      <c r="E2192" s="19" t="s">
        <v>5356</v>
      </c>
      <c r="F2192" s="34" t="s">
        <v>3574</v>
      </c>
      <c r="G2192" s="27">
        <v>31.96</v>
      </c>
      <c r="H2192" s="1" t="s">
        <v>774</v>
      </c>
      <c r="I2192" s="20">
        <v>1</v>
      </c>
      <c r="J2192" s="36">
        <v>0.06</v>
      </c>
    </row>
    <row r="2193" spans="2:10" x14ac:dyDescent="0.35">
      <c r="B2193" s="18">
        <v>4020028</v>
      </c>
      <c r="C2193" s="19" t="s">
        <v>4200</v>
      </c>
      <c r="D2193" s="5" t="s">
        <v>8</v>
      </c>
      <c r="E2193" s="19" t="s">
        <v>5357</v>
      </c>
      <c r="F2193" s="34" t="s">
        <v>3574</v>
      </c>
      <c r="G2193" s="27">
        <v>54.22</v>
      </c>
      <c r="H2193" s="1" t="s">
        <v>774</v>
      </c>
      <c r="I2193" s="20">
        <v>1</v>
      </c>
      <c r="J2193" s="36">
        <v>0.06</v>
      </c>
    </row>
    <row r="2194" spans="2:10" x14ac:dyDescent="0.35">
      <c r="B2194" s="18">
        <v>3604696</v>
      </c>
      <c r="C2194" s="19" t="s">
        <v>4201</v>
      </c>
      <c r="D2194" s="5" t="s">
        <v>8</v>
      </c>
      <c r="E2194" s="19" t="s">
        <v>5358</v>
      </c>
      <c r="F2194" s="34" t="s">
        <v>3574</v>
      </c>
      <c r="G2194" s="27">
        <v>48.31</v>
      </c>
      <c r="H2194" s="1" t="s">
        <v>774</v>
      </c>
      <c r="I2194" s="20">
        <v>1</v>
      </c>
      <c r="J2194" s="36">
        <v>0.06</v>
      </c>
    </row>
    <row r="2195" spans="2:10" x14ac:dyDescent="0.35">
      <c r="B2195" s="18" t="s">
        <v>3606</v>
      </c>
      <c r="C2195" s="19" t="s">
        <v>4202</v>
      </c>
      <c r="D2195" s="5" t="s">
        <v>8</v>
      </c>
      <c r="E2195" s="19" t="s">
        <v>5359</v>
      </c>
      <c r="F2195" s="34" t="s">
        <v>3574</v>
      </c>
      <c r="G2195" s="27">
        <v>63.11</v>
      </c>
      <c r="H2195" s="1" t="s">
        <v>774</v>
      </c>
      <c r="I2195" s="20">
        <v>1</v>
      </c>
      <c r="J2195" s="36">
        <v>0.06</v>
      </c>
    </row>
    <row r="2196" spans="2:10" x14ac:dyDescent="0.35">
      <c r="B2196" s="18" t="s">
        <v>3607</v>
      </c>
      <c r="C2196" s="19" t="s">
        <v>4203</v>
      </c>
      <c r="D2196" s="5" t="s">
        <v>8</v>
      </c>
      <c r="E2196" s="19" t="s">
        <v>5360</v>
      </c>
      <c r="F2196" s="34" t="s">
        <v>3574</v>
      </c>
      <c r="G2196" s="27">
        <v>4.1500000000000004</v>
      </c>
      <c r="H2196" s="1" t="s">
        <v>774</v>
      </c>
      <c r="I2196" s="20">
        <v>1</v>
      </c>
      <c r="J2196" s="36">
        <v>0.06</v>
      </c>
    </row>
    <row r="2197" spans="2:10" x14ac:dyDescent="0.35">
      <c r="B2197" s="18">
        <v>1360147</v>
      </c>
      <c r="C2197" s="19" t="s">
        <v>4204</v>
      </c>
      <c r="D2197" s="5" t="s">
        <v>8</v>
      </c>
      <c r="E2197" s="19" t="s">
        <v>5361</v>
      </c>
      <c r="F2197" s="34" t="s">
        <v>3574</v>
      </c>
      <c r="G2197" s="27">
        <v>6.13</v>
      </c>
      <c r="H2197" s="1" t="s">
        <v>774</v>
      </c>
      <c r="I2197" s="20">
        <v>1</v>
      </c>
      <c r="J2197" s="36">
        <v>0.06</v>
      </c>
    </row>
    <row r="2198" spans="2:10" x14ac:dyDescent="0.35">
      <c r="B2198" s="18" t="s">
        <v>3608</v>
      </c>
      <c r="C2198" s="19" t="s">
        <v>4199</v>
      </c>
      <c r="D2198" s="5" t="s">
        <v>8</v>
      </c>
      <c r="E2198" s="19" t="s">
        <v>5362</v>
      </c>
      <c r="F2198" s="34" t="s">
        <v>3574</v>
      </c>
      <c r="G2198" s="27">
        <v>41.01</v>
      </c>
      <c r="H2198" s="1" t="s">
        <v>774</v>
      </c>
      <c r="I2198" s="20">
        <v>1</v>
      </c>
      <c r="J2198" s="36">
        <v>0.06</v>
      </c>
    </row>
    <row r="2199" spans="2:10" x14ac:dyDescent="0.35">
      <c r="B2199" s="18" t="s">
        <v>3609</v>
      </c>
      <c r="C2199" s="19" t="s">
        <v>4199</v>
      </c>
      <c r="D2199" s="5" t="s">
        <v>8</v>
      </c>
      <c r="E2199" s="19" t="s">
        <v>5363</v>
      </c>
      <c r="F2199" s="34" t="s">
        <v>3574</v>
      </c>
      <c r="G2199" s="27">
        <v>148.34</v>
      </c>
      <c r="H2199" s="1" t="s">
        <v>774</v>
      </c>
      <c r="I2199" s="20">
        <v>1</v>
      </c>
      <c r="J2199" s="36">
        <v>0.06</v>
      </c>
    </row>
    <row r="2200" spans="2:10" x14ac:dyDescent="0.35">
      <c r="B2200" s="18" t="s">
        <v>3610</v>
      </c>
      <c r="C2200" s="19" t="s">
        <v>4199</v>
      </c>
      <c r="D2200" s="5" t="s">
        <v>8</v>
      </c>
      <c r="E2200" s="19" t="s">
        <v>5364</v>
      </c>
      <c r="F2200" s="34" t="s">
        <v>3574</v>
      </c>
      <c r="G2200" s="27">
        <v>143.59</v>
      </c>
      <c r="H2200" s="1" t="s">
        <v>774</v>
      </c>
      <c r="I2200" s="20">
        <v>1</v>
      </c>
      <c r="J2200" s="36">
        <v>0.06</v>
      </c>
    </row>
    <row r="2201" spans="2:10" x14ac:dyDescent="0.35">
      <c r="B2201" s="18">
        <v>4001236</v>
      </c>
      <c r="C2201" s="19" t="s">
        <v>4205</v>
      </c>
      <c r="D2201" s="5" t="s">
        <v>8</v>
      </c>
      <c r="E2201" s="19" t="s">
        <v>5365</v>
      </c>
      <c r="F2201" s="34" t="s">
        <v>3574</v>
      </c>
      <c r="G2201" s="27">
        <v>56.85</v>
      </c>
      <c r="H2201" s="1" t="s">
        <v>774</v>
      </c>
      <c r="I2201" s="20">
        <v>1</v>
      </c>
      <c r="J2201" s="36">
        <v>0.06</v>
      </c>
    </row>
    <row r="2202" spans="2:10" x14ac:dyDescent="0.35">
      <c r="B2202" s="18" t="s">
        <v>3611</v>
      </c>
      <c r="C2202" s="19" t="s">
        <v>4206</v>
      </c>
      <c r="D2202" s="5" t="s">
        <v>8</v>
      </c>
      <c r="E2202" s="19" t="s">
        <v>5366</v>
      </c>
      <c r="F2202" s="34" t="s">
        <v>3574</v>
      </c>
      <c r="G2202" s="27">
        <v>12.35</v>
      </c>
      <c r="H2202" s="1" t="s">
        <v>774</v>
      </c>
      <c r="I2202" s="20">
        <v>1</v>
      </c>
      <c r="J2202" s="36">
        <v>0.06</v>
      </c>
    </row>
    <row r="2203" spans="2:10" x14ac:dyDescent="0.35">
      <c r="B2203" s="18" t="s">
        <v>3612</v>
      </c>
      <c r="C2203" s="19" t="s">
        <v>4207</v>
      </c>
      <c r="D2203" s="5" t="s">
        <v>8</v>
      </c>
      <c r="E2203" s="19" t="s">
        <v>5367</v>
      </c>
      <c r="F2203" s="34" t="s">
        <v>3574</v>
      </c>
      <c r="G2203" s="27">
        <v>53.94</v>
      </c>
      <c r="H2203" s="1" t="s">
        <v>774</v>
      </c>
      <c r="I2203" s="20">
        <v>1</v>
      </c>
      <c r="J2203" s="36">
        <v>0.06</v>
      </c>
    </row>
    <row r="2204" spans="2:10" x14ac:dyDescent="0.35">
      <c r="B2204" s="18">
        <v>3602655</v>
      </c>
      <c r="C2204" s="19" t="s">
        <v>4208</v>
      </c>
      <c r="D2204" s="5" t="s">
        <v>8</v>
      </c>
      <c r="E2204" s="19" t="s">
        <v>5368</v>
      </c>
      <c r="F2204" s="34" t="s">
        <v>3574</v>
      </c>
      <c r="G2204" s="27">
        <v>18.2</v>
      </c>
      <c r="H2204" s="1" t="s">
        <v>774</v>
      </c>
      <c r="I2204" s="20">
        <v>1</v>
      </c>
      <c r="J2204" s="36">
        <v>0.06</v>
      </c>
    </row>
    <row r="2205" spans="2:10" x14ac:dyDescent="0.35">
      <c r="B2205" s="18" t="s">
        <v>3613</v>
      </c>
      <c r="C2205" s="19" t="s">
        <v>4199</v>
      </c>
      <c r="D2205" s="5" t="s">
        <v>8</v>
      </c>
      <c r="E2205" s="19" t="s">
        <v>5369</v>
      </c>
      <c r="F2205" s="34" t="s">
        <v>3574</v>
      </c>
      <c r="G2205" s="27">
        <v>74.099999999999994</v>
      </c>
      <c r="H2205" s="1" t="s">
        <v>774</v>
      </c>
      <c r="I2205" s="20">
        <v>1</v>
      </c>
      <c r="J2205" s="36">
        <v>0.06</v>
      </c>
    </row>
    <row r="2206" spans="2:10" x14ac:dyDescent="0.35">
      <c r="B2206" s="18">
        <v>1360694</v>
      </c>
      <c r="C2206" s="19" t="s">
        <v>4209</v>
      </c>
      <c r="D2206" s="5" t="s">
        <v>8</v>
      </c>
      <c r="E2206" s="19" t="s">
        <v>5370</v>
      </c>
      <c r="F2206" s="34" t="s">
        <v>3574</v>
      </c>
      <c r="G2206" s="27">
        <v>95.39</v>
      </c>
      <c r="H2206" s="1" t="s">
        <v>774</v>
      </c>
      <c r="I2206" s="20">
        <v>1</v>
      </c>
      <c r="J2206" s="36">
        <v>0.06</v>
      </c>
    </row>
    <row r="2207" spans="2:10" x14ac:dyDescent="0.35">
      <c r="B2207" s="18">
        <v>4020029</v>
      </c>
      <c r="C2207" s="19" t="s">
        <v>4210</v>
      </c>
      <c r="D2207" s="5" t="s">
        <v>8</v>
      </c>
      <c r="E2207" s="19" t="s">
        <v>5371</v>
      </c>
      <c r="F2207" s="34" t="s">
        <v>3574</v>
      </c>
      <c r="G2207" s="27">
        <v>67.849999999999994</v>
      </c>
      <c r="H2207" s="1" t="s">
        <v>774</v>
      </c>
      <c r="I2207" s="20">
        <v>1</v>
      </c>
      <c r="J2207" s="36">
        <v>0.06</v>
      </c>
    </row>
    <row r="2208" spans="2:10" x14ac:dyDescent="0.35">
      <c r="B2208" s="18">
        <v>800004641</v>
      </c>
      <c r="C2208" s="19" t="s">
        <v>4211</v>
      </c>
      <c r="D2208" s="5" t="s">
        <v>8</v>
      </c>
      <c r="E2208" s="19" t="s">
        <v>5372</v>
      </c>
      <c r="F2208" s="34" t="s">
        <v>3574</v>
      </c>
      <c r="G2208" s="27">
        <v>70.489999999999995</v>
      </c>
      <c r="H2208" s="1" t="s">
        <v>774</v>
      </c>
      <c r="I2208" s="20">
        <v>1</v>
      </c>
      <c r="J2208" s="36">
        <v>0.06</v>
      </c>
    </row>
    <row r="2209" spans="2:10" x14ac:dyDescent="0.35">
      <c r="B2209" s="18">
        <v>1587039</v>
      </c>
      <c r="C2209" s="19" t="s">
        <v>4212</v>
      </c>
      <c r="D2209" s="5" t="s">
        <v>8</v>
      </c>
      <c r="E2209" s="19" t="s">
        <v>5373</v>
      </c>
      <c r="F2209" s="34" t="s">
        <v>3574</v>
      </c>
      <c r="G2209" s="27">
        <v>42.64</v>
      </c>
      <c r="H2209" s="1" t="s">
        <v>774</v>
      </c>
      <c r="I2209" s="20">
        <v>1</v>
      </c>
      <c r="J2209" s="36">
        <v>0.06</v>
      </c>
    </row>
    <row r="2210" spans="2:10" x14ac:dyDescent="0.35">
      <c r="B2210" s="18">
        <v>3602644</v>
      </c>
      <c r="C2210" s="19" t="s">
        <v>4213</v>
      </c>
      <c r="D2210" s="5" t="s">
        <v>8</v>
      </c>
      <c r="E2210" s="19" t="s">
        <v>5374</v>
      </c>
      <c r="F2210" s="34" t="s">
        <v>3574</v>
      </c>
      <c r="G2210" s="27">
        <v>97.52</v>
      </c>
      <c r="H2210" s="1" t="s">
        <v>774</v>
      </c>
      <c r="I2210" s="20">
        <v>1</v>
      </c>
      <c r="J2210" s="36">
        <v>0.06</v>
      </c>
    </row>
    <row r="2211" spans="2:10" x14ac:dyDescent="0.35">
      <c r="B2211" s="18">
        <v>3602656</v>
      </c>
      <c r="C2211" s="19" t="s">
        <v>4214</v>
      </c>
      <c r="D2211" s="5" t="s">
        <v>8</v>
      </c>
      <c r="E2211" s="19" t="s">
        <v>5375</v>
      </c>
      <c r="F2211" s="34" t="s">
        <v>3574</v>
      </c>
      <c r="G2211" s="27">
        <v>58.6</v>
      </c>
      <c r="H2211" s="1" t="s">
        <v>774</v>
      </c>
      <c r="I2211" s="20">
        <v>1</v>
      </c>
      <c r="J2211" s="36">
        <v>0.06</v>
      </c>
    </row>
    <row r="2212" spans="2:10" x14ac:dyDescent="0.35">
      <c r="B2212" s="18">
        <v>1800561</v>
      </c>
      <c r="C2212" s="19" t="s">
        <v>4215</v>
      </c>
      <c r="D2212" s="5" t="s">
        <v>8</v>
      </c>
      <c r="E2212" s="19" t="s">
        <v>5376</v>
      </c>
      <c r="F2212" s="34" t="s">
        <v>3574</v>
      </c>
      <c r="G2212" s="27">
        <v>24.7</v>
      </c>
      <c r="H2212" s="1" t="s">
        <v>774</v>
      </c>
      <c r="I2212" s="20">
        <v>1</v>
      </c>
      <c r="J2212" s="36">
        <v>0.06</v>
      </c>
    </row>
    <row r="2213" spans="2:10" x14ac:dyDescent="0.35">
      <c r="B2213" s="18">
        <v>1360962</v>
      </c>
      <c r="C2213" s="19" t="s">
        <v>4216</v>
      </c>
      <c r="D2213" s="5" t="s">
        <v>8</v>
      </c>
      <c r="E2213" s="19" t="s">
        <v>5377</v>
      </c>
      <c r="F2213" s="34" t="s">
        <v>3574</v>
      </c>
      <c r="G2213" s="27">
        <v>59.03</v>
      </c>
      <c r="H2213" s="1" t="s">
        <v>774</v>
      </c>
      <c r="I2213" s="20">
        <v>1</v>
      </c>
      <c r="J2213" s="36">
        <v>0.06</v>
      </c>
    </row>
    <row r="2214" spans="2:10" x14ac:dyDescent="0.35">
      <c r="B2214" s="18">
        <v>1360862</v>
      </c>
      <c r="C2214" s="19" t="s">
        <v>4218</v>
      </c>
      <c r="D2214" s="5" t="s">
        <v>8</v>
      </c>
      <c r="E2214" s="19" t="s">
        <v>5378</v>
      </c>
      <c r="F2214" s="34" t="s">
        <v>3574</v>
      </c>
      <c r="G2214" s="27">
        <v>13.87</v>
      </c>
      <c r="H2214" s="1" t="s">
        <v>774</v>
      </c>
      <c r="I2214" s="20">
        <v>1</v>
      </c>
      <c r="J2214" s="36">
        <v>0.06</v>
      </c>
    </row>
    <row r="2215" spans="2:10" x14ac:dyDescent="0.35">
      <c r="B2215" s="18" t="s">
        <v>3614</v>
      </c>
      <c r="C2215" s="19" t="s">
        <v>4219</v>
      </c>
      <c r="D2215" s="5" t="s">
        <v>8</v>
      </c>
      <c r="E2215" s="19" t="s">
        <v>5379</v>
      </c>
      <c r="F2215" s="34" t="s">
        <v>3574</v>
      </c>
      <c r="G2215" s="27">
        <v>11.55</v>
      </c>
      <c r="H2215" s="1" t="s">
        <v>774</v>
      </c>
      <c r="I2215" s="20">
        <v>1</v>
      </c>
      <c r="J2215" s="36">
        <v>0.06</v>
      </c>
    </row>
    <row r="2216" spans="2:10" x14ac:dyDescent="0.35">
      <c r="B2216" s="18" t="s">
        <v>3615</v>
      </c>
      <c r="C2216" s="19" t="s">
        <v>4220</v>
      </c>
      <c r="D2216" s="5" t="s">
        <v>8</v>
      </c>
      <c r="E2216" s="19" t="s">
        <v>5380</v>
      </c>
      <c r="F2216" s="34" t="s">
        <v>3574</v>
      </c>
      <c r="G2216" s="27">
        <v>17</v>
      </c>
      <c r="H2216" s="1" t="s">
        <v>774</v>
      </c>
      <c r="I2216" s="20">
        <v>1</v>
      </c>
      <c r="J2216" s="36">
        <v>0.06</v>
      </c>
    </row>
    <row r="2217" spans="2:10" x14ac:dyDescent="0.35">
      <c r="B2217" s="18" t="s">
        <v>3616</v>
      </c>
      <c r="C2217" s="19" t="s">
        <v>4221</v>
      </c>
      <c r="D2217" s="5" t="s">
        <v>8</v>
      </c>
      <c r="E2217" s="19" t="s">
        <v>5381</v>
      </c>
      <c r="F2217" s="34" t="s">
        <v>3574</v>
      </c>
      <c r="G2217" s="27">
        <v>18.829999999999998</v>
      </c>
      <c r="H2217" s="1" t="s">
        <v>774</v>
      </c>
      <c r="I2217" s="20">
        <v>1</v>
      </c>
      <c r="J2217" s="36">
        <v>0.06</v>
      </c>
    </row>
    <row r="2218" spans="2:10" x14ac:dyDescent="0.35">
      <c r="B2218" s="18" t="s">
        <v>3617</v>
      </c>
      <c r="C2218" s="19" t="s">
        <v>4217</v>
      </c>
      <c r="D2218" s="5" t="s">
        <v>8</v>
      </c>
      <c r="E2218" s="19" t="s">
        <v>5382</v>
      </c>
      <c r="F2218" s="34" t="s">
        <v>3574</v>
      </c>
      <c r="G2218" s="27">
        <v>29.2</v>
      </c>
      <c r="H2218" s="1" t="s">
        <v>774</v>
      </c>
      <c r="I2218" s="20">
        <v>1</v>
      </c>
      <c r="J2218" s="36">
        <v>0.06</v>
      </c>
    </row>
    <row r="2219" spans="2:10" x14ac:dyDescent="0.35">
      <c r="B2219" s="18" t="s">
        <v>3618</v>
      </c>
      <c r="C2219" s="19" t="s">
        <v>4219</v>
      </c>
      <c r="D2219" s="5" t="s">
        <v>8</v>
      </c>
      <c r="E2219" s="19" t="s">
        <v>5382</v>
      </c>
      <c r="F2219" s="34" t="s">
        <v>3574</v>
      </c>
      <c r="G2219" s="27">
        <v>29.2</v>
      </c>
      <c r="H2219" s="1" t="s">
        <v>774</v>
      </c>
      <c r="I2219" s="20">
        <v>1</v>
      </c>
      <c r="J2219" s="36">
        <v>0.06</v>
      </c>
    </row>
    <row r="2220" spans="2:10" x14ac:dyDescent="0.35">
      <c r="B2220" s="18" t="s">
        <v>3619</v>
      </c>
      <c r="C2220" s="19" t="s">
        <v>4222</v>
      </c>
      <c r="D2220" s="5" t="s">
        <v>8</v>
      </c>
      <c r="E2220" s="19" t="s">
        <v>5383</v>
      </c>
      <c r="F2220" s="34" t="s">
        <v>3574</v>
      </c>
      <c r="G2220" s="27">
        <v>39.57</v>
      </c>
      <c r="H2220" s="1" t="s">
        <v>774</v>
      </c>
      <c r="I2220" s="20">
        <v>1</v>
      </c>
      <c r="J2220" s="36">
        <v>0.06</v>
      </c>
    </row>
    <row r="2221" spans="2:10" x14ac:dyDescent="0.35">
      <c r="B2221" s="18" t="s">
        <v>3620</v>
      </c>
      <c r="C2221" s="19" t="s">
        <v>4223</v>
      </c>
      <c r="D2221" s="5" t="s">
        <v>8</v>
      </c>
      <c r="E2221" s="19" t="s">
        <v>5384</v>
      </c>
      <c r="F2221" s="34" t="s">
        <v>3574</v>
      </c>
      <c r="G2221" s="27">
        <v>51.96</v>
      </c>
      <c r="H2221" s="1" t="s">
        <v>774</v>
      </c>
      <c r="I2221" s="20">
        <v>1</v>
      </c>
      <c r="J2221" s="36">
        <v>0.06</v>
      </c>
    </row>
    <row r="2222" spans="2:10" x14ac:dyDescent="0.35">
      <c r="B2222" s="18">
        <v>1587041</v>
      </c>
      <c r="C2222" s="19" t="s">
        <v>4224</v>
      </c>
      <c r="D2222" s="5" t="s">
        <v>8</v>
      </c>
      <c r="E2222" s="19" t="s">
        <v>5385</v>
      </c>
      <c r="F2222" s="34" t="s">
        <v>3574</v>
      </c>
      <c r="G2222" s="27">
        <v>63.56</v>
      </c>
      <c r="H2222" s="1" t="s">
        <v>774</v>
      </c>
      <c r="I2222" s="20">
        <v>1</v>
      </c>
      <c r="J2222" s="36">
        <v>0.06</v>
      </c>
    </row>
    <row r="2223" spans="2:10" x14ac:dyDescent="0.35">
      <c r="B2223" s="18">
        <v>3601394</v>
      </c>
      <c r="C2223" s="19" t="s">
        <v>4225</v>
      </c>
      <c r="D2223" s="5" t="s">
        <v>8</v>
      </c>
      <c r="E2223" s="19" t="s">
        <v>5386</v>
      </c>
      <c r="F2223" s="34" t="s">
        <v>3574</v>
      </c>
      <c r="G2223" s="27">
        <v>9.84</v>
      </c>
      <c r="H2223" s="1" t="s">
        <v>774</v>
      </c>
      <c r="I2223" s="20">
        <v>1</v>
      </c>
      <c r="J2223" s="36">
        <v>0.06</v>
      </c>
    </row>
    <row r="2224" spans="2:10" x14ac:dyDescent="0.35">
      <c r="B2224" s="18">
        <v>3601768</v>
      </c>
      <c r="C2224" s="19" t="s">
        <v>4226</v>
      </c>
      <c r="D2224" s="5" t="s">
        <v>8</v>
      </c>
      <c r="E2224" s="19" t="s">
        <v>5386</v>
      </c>
      <c r="F2224" s="34" t="s">
        <v>3574</v>
      </c>
      <c r="G2224" s="27">
        <v>9.84</v>
      </c>
      <c r="H2224" s="1" t="s">
        <v>774</v>
      </c>
      <c r="I2224" s="20">
        <v>1</v>
      </c>
      <c r="J2224" s="36">
        <v>0.06</v>
      </c>
    </row>
    <row r="2225" spans="2:10" x14ac:dyDescent="0.35">
      <c r="B2225" s="18">
        <v>3602841</v>
      </c>
      <c r="C2225" s="19" t="s">
        <v>4227</v>
      </c>
      <c r="D2225" s="5" t="s">
        <v>8</v>
      </c>
      <c r="E2225" s="19" t="s">
        <v>5387</v>
      </c>
      <c r="F2225" s="34" t="s">
        <v>3574</v>
      </c>
      <c r="G2225" s="27">
        <v>5.38</v>
      </c>
      <c r="H2225" s="1" t="s">
        <v>774</v>
      </c>
      <c r="I2225" s="20">
        <v>1</v>
      </c>
      <c r="J2225" s="36">
        <v>0.06</v>
      </c>
    </row>
    <row r="2226" spans="2:10" x14ac:dyDescent="0.35">
      <c r="B2226" s="18" t="s">
        <v>3621</v>
      </c>
      <c r="C2226" s="19" t="s">
        <v>4229</v>
      </c>
      <c r="D2226" s="5" t="s">
        <v>8</v>
      </c>
      <c r="E2226" s="19" t="s">
        <v>5388</v>
      </c>
      <c r="F2226" s="34" t="s">
        <v>3574</v>
      </c>
      <c r="G2226" s="27">
        <v>3.56</v>
      </c>
      <c r="H2226" s="1" t="s">
        <v>774</v>
      </c>
      <c r="I2226" s="20">
        <v>1</v>
      </c>
      <c r="J2226" s="36">
        <v>0.06</v>
      </c>
    </row>
    <row r="2227" spans="2:10" x14ac:dyDescent="0.35">
      <c r="B2227" s="18" t="s">
        <v>3622</v>
      </c>
      <c r="C2227" s="19" t="s">
        <v>4229</v>
      </c>
      <c r="D2227" s="5" t="s">
        <v>8</v>
      </c>
      <c r="E2227" s="19" t="s">
        <v>5389</v>
      </c>
      <c r="F2227" s="34" t="s">
        <v>3574</v>
      </c>
      <c r="G2227" s="27">
        <v>3.87</v>
      </c>
      <c r="H2227" s="1" t="s">
        <v>774</v>
      </c>
      <c r="I2227" s="20">
        <v>1</v>
      </c>
      <c r="J2227" s="36">
        <v>0.06</v>
      </c>
    </row>
    <row r="2228" spans="2:10" x14ac:dyDescent="0.35">
      <c r="B2228" s="18" t="s">
        <v>3623</v>
      </c>
      <c r="C2228" s="19" t="s">
        <v>4230</v>
      </c>
      <c r="D2228" s="5" t="s">
        <v>8</v>
      </c>
      <c r="E2228" s="19" t="s">
        <v>5390</v>
      </c>
      <c r="F2228" s="34" t="s">
        <v>3574</v>
      </c>
      <c r="G2228" s="27">
        <v>11.07</v>
      </c>
      <c r="H2228" s="1" t="s">
        <v>774</v>
      </c>
      <c r="I2228" s="20">
        <v>1</v>
      </c>
      <c r="J2228" s="36">
        <v>0.06</v>
      </c>
    </row>
    <row r="2229" spans="2:10" x14ac:dyDescent="0.35">
      <c r="B2229" s="18" t="s">
        <v>3624</v>
      </c>
      <c r="C2229" s="19" t="s">
        <v>4229</v>
      </c>
      <c r="D2229" s="5" t="s">
        <v>8</v>
      </c>
      <c r="E2229" s="19" t="s">
        <v>5391</v>
      </c>
      <c r="F2229" s="34" t="s">
        <v>3574</v>
      </c>
      <c r="G2229" s="27">
        <v>8.7100000000000009</v>
      </c>
      <c r="H2229" s="1" t="s">
        <v>774</v>
      </c>
      <c r="I2229" s="20">
        <v>1</v>
      </c>
      <c r="J2229" s="36">
        <v>0.06</v>
      </c>
    </row>
    <row r="2230" spans="2:10" x14ac:dyDescent="0.35">
      <c r="B2230" s="18">
        <v>3603780</v>
      </c>
      <c r="C2230" s="19" t="s">
        <v>4231</v>
      </c>
      <c r="D2230" s="5" t="s">
        <v>8</v>
      </c>
      <c r="E2230" s="19" t="s">
        <v>5392</v>
      </c>
      <c r="F2230" s="34" t="s">
        <v>3574</v>
      </c>
      <c r="G2230" s="27">
        <v>9.23</v>
      </c>
      <c r="H2230" s="1" t="s">
        <v>774</v>
      </c>
      <c r="I2230" s="20">
        <v>1</v>
      </c>
      <c r="J2230" s="36">
        <v>0.06</v>
      </c>
    </row>
    <row r="2231" spans="2:10" x14ac:dyDescent="0.35">
      <c r="B2231" s="18" t="s">
        <v>3625</v>
      </c>
      <c r="C2231" s="19" t="s">
        <v>4228</v>
      </c>
      <c r="D2231" s="5" t="s">
        <v>8</v>
      </c>
      <c r="E2231" s="19" t="s">
        <v>5393</v>
      </c>
      <c r="F2231" s="34" t="s">
        <v>3574</v>
      </c>
      <c r="G2231" s="27">
        <v>8.98</v>
      </c>
      <c r="H2231" s="1" t="s">
        <v>774</v>
      </c>
      <c r="I2231" s="20">
        <v>1</v>
      </c>
      <c r="J2231" s="36">
        <v>0.06</v>
      </c>
    </row>
    <row r="2232" spans="2:10" x14ac:dyDescent="0.35">
      <c r="B2232" s="18">
        <v>1313018</v>
      </c>
      <c r="C2232" s="19" t="s">
        <v>4232</v>
      </c>
      <c r="D2232" s="5" t="s">
        <v>8</v>
      </c>
      <c r="E2232" s="19" t="s">
        <v>5394</v>
      </c>
      <c r="F2232" s="34" t="s">
        <v>3574</v>
      </c>
      <c r="G2232" s="27">
        <v>14.33</v>
      </c>
      <c r="H2232" s="1" t="s">
        <v>774</v>
      </c>
      <c r="I2232" s="20">
        <v>1</v>
      </c>
      <c r="J2232" s="36">
        <v>0.06</v>
      </c>
    </row>
    <row r="2233" spans="2:10" x14ac:dyDescent="0.35">
      <c r="B2233" s="18">
        <v>1313015</v>
      </c>
      <c r="C2233" s="19" t="s">
        <v>4233</v>
      </c>
      <c r="D2233" s="5" t="s">
        <v>8</v>
      </c>
      <c r="E2233" s="19" t="s">
        <v>5395</v>
      </c>
      <c r="F2233" s="34" t="s">
        <v>3574</v>
      </c>
      <c r="G2233" s="27">
        <v>8.35</v>
      </c>
      <c r="H2233" s="1" t="s">
        <v>774</v>
      </c>
      <c r="I2233" s="20">
        <v>1</v>
      </c>
      <c r="J2233" s="36">
        <v>0.06</v>
      </c>
    </row>
    <row r="2234" spans="2:10" x14ac:dyDescent="0.35">
      <c r="B2234" s="18">
        <v>3604203</v>
      </c>
      <c r="C2234" s="19" t="s">
        <v>4234</v>
      </c>
      <c r="D2234" s="5" t="s">
        <v>8</v>
      </c>
      <c r="E2234" s="19" t="s">
        <v>5396</v>
      </c>
      <c r="F2234" s="34" t="s">
        <v>3574</v>
      </c>
      <c r="G2234" s="27">
        <v>13.45</v>
      </c>
      <c r="H2234" s="1" t="s">
        <v>774</v>
      </c>
      <c r="I2234" s="20">
        <v>1</v>
      </c>
      <c r="J2234" s="36">
        <v>0.06</v>
      </c>
    </row>
    <row r="2235" spans="2:10" x14ac:dyDescent="0.35">
      <c r="B2235" s="18">
        <v>1360738</v>
      </c>
      <c r="C2235" s="19" t="s">
        <v>4235</v>
      </c>
      <c r="D2235" s="5" t="s">
        <v>8</v>
      </c>
      <c r="E2235" s="19" t="s">
        <v>5397</v>
      </c>
      <c r="F2235" s="34" t="s">
        <v>3574</v>
      </c>
      <c r="G2235" s="27">
        <v>18.079999999999998</v>
      </c>
      <c r="H2235" s="1" t="s">
        <v>774</v>
      </c>
      <c r="I2235" s="20">
        <v>1</v>
      </c>
      <c r="J2235" s="36">
        <v>0.06</v>
      </c>
    </row>
    <row r="2236" spans="2:10" x14ac:dyDescent="0.35">
      <c r="B2236" s="18" t="s">
        <v>3626</v>
      </c>
      <c r="C2236" s="19" t="s">
        <v>4236</v>
      </c>
      <c r="D2236" s="5" t="s">
        <v>8</v>
      </c>
      <c r="E2236" s="19" t="s">
        <v>5398</v>
      </c>
      <c r="F2236" s="34" t="s">
        <v>3574</v>
      </c>
      <c r="G2236" s="27">
        <v>21.43</v>
      </c>
      <c r="H2236" s="1" t="s">
        <v>774</v>
      </c>
      <c r="I2236" s="20">
        <v>1</v>
      </c>
      <c r="J2236" s="36">
        <v>0.06</v>
      </c>
    </row>
    <row r="2237" spans="2:10" x14ac:dyDescent="0.35">
      <c r="B2237" s="18" t="s">
        <v>3627</v>
      </c>
      <c r="C2237" s="19" t="s">
        <v>4237</v>
      </c>
      <c r="D2237" s="5" t="s">
        <v>8</v>
      </c>
      <c r="E2237" s="19" t="s">
        <v>5399</v>
      </c>
      <c r="F2237" s="34" t="s">
        <v>3574</v>
      </c>
      <c r="G2237" s="27">
        <v>21.43</v>
      </c>
      <c r="H2237" s="1" t="s">
        <v>774</v>
      </c>
      <c r="I2237" s="20">
        <v>1</v>
      </c>
      <c r="J2237" s="36">
        <v>0.06</v>
      </c>
    </row>
    <row r="2238" spans="2:10" x14ac:dyDescent="0.35">
      <c r="B2238" s="18">
        <v>1800392</v>
      </c>
      <c r="C2238" s="19" t="s">
        <v>4238</v>
      </c>
      <c r="D2238" s="5" t="s">
        <v>8</v>
      </c>
      <c r="E2238" s="19" t="s">
        <v>5400</v>
      </c>
      <c r="F2238" s="34" t="s">
        <v>3574</v>
      </c>
      <c r="G2238" s="27">
        <v>32.54</v>
      </c>
      <c r="H2238" s="1" t="s">
        <v>774</v>
      </c>
      <c r="I2238" s="20">
        <v>1</v>
      </c>
      <c r="J2238" s="36">
        <v>0.06</v>
      </c>
    </row>
    <row r="2239" spans="2:10" x14ac:dyDescent="0.35">
      <c r="B2239" s="18">
        <v>1322039</v>
      </c>
      <c r="C2239" s="19" t="s">
        <v>4239</v>
      </c>
      <c r="D2239" s="5" t="s">
        <v>8</v>
      </c>
      <c r="E2239" s="19" t="s">
        <v>5401</v>
      </c>
      <c r="F2239" s="34" t="s">
        <v>3574</v>
      </c>
      <c r="G2239" s="27">
        <v>27.9</v>
      </c>
      <c r="H2239" s="1" t="s">
        <v>774</v>
      </c>
      <c r="I2239" s="20">
        <v>1</v>
      </c>
      <c r="J2239" s="36">
        <v>0.06</v>
      </c>
    </row>
    <row r="2240" spans="2:10" x14ac:dyDescent="0.35">
      <c r="B2240" s="18">
        <v>1322034</v>
      </c>
      <c r="C2240" s="19" t="s">
        <v>4240</v>
      </c>
      <c r="D2240" s="5" t="s">
        <v>8</v>
      </c>
      <c r="E2240" s="19" t="s">
        <v>5402</v>
      </c>
      <c r="F2240" s="34" t="s">
        <v>3574</v>
      </c>
      <c r="G2240" s="27">
        <v>26.01</v>
      </c>
      <c r="H2240" s="1" t="s">
        <v>774</v>
      </c>
      <c r="I2240" s="20">
        <v>1</v>
      </c>
      <c r="J2240" s="36">
        <v>0.06</v>
      </c>
    </row>
    <row r="2241" spans="2:10" x14ac:dyDescent="0.35">
      <c r="B2241" s="18">
        <v>4001166</v>
      </c>
      <c r="C2241" s="19" t="s">
        <v>4241</v>
      </c>
      <c r="D2241" s="5" t="s">
        <v>8</v>
      </c>
      <c r="E2241" s="19" t="s">
        <v>5403</v>
      </c>
      <c r="F2241" s="34" t="s">
        <v>3574</v>
      </c>
      <c r="G2241" s="27">
        <v>54</v>
      </c>
      <c r="H2241" s="1" t="s">
        <v>774</v>
      </c>
      <c r="I2241" s="20">
        <v>1</v>
      </c>
      <c r="J2241" s="36">
        <v>0.06</v>
      </c>
    </row>
    <row r="2242" spans="2:10" x14ac:dyDescent="0.35">
      <c r="B2242" s="18">
        <v>3603996</v>
      </c>
      <c r="C2242" s="19" t="s">
        <v>4242</v>
      </c>
      <c r="D2242" s="5" t="s">
        <v>8</v>
      </c>
      <c r="E2242" s="19" t="s">
        <v>5404</v>
      </c>
      <c r="F2242" s="34" t="s">
        <v>3574</v>
      </c>
      <c r="G2242" s="27">
        <v>54</v>
      </c>
      <c r="H2242" s="1" t="s">
        <v>774</v>
      </c>
      <c r="I2242" s="20">
        <v>1</v>
      </c>
      <c r="J2242" s="36">
        <v>0.06</v>
      </c>
    </row>
    <row r="2243" spans="2:10" x14ac:dyDescent="0.35">
      <c r="B2243" s="18">
        <v>3602840</v>
      </c>
      <c r="C2243" s="19" t="s">
        <v>4243</v>
      </c>
      <c r="D2243" s="5" t="s">
        <v>8</v>
      </c>
      <c r="E2243" s="19" t="s">
        <v>5405</v>
      </c>
      <c r="F2243" s="34" t="s">
        <v>3574</v>
      </c>
      <c r="G2243" s="27">
        <v>71.73</v>
      </c>
      <c r="H2243" s="1" t="s">
        <v>774</v>
      </c>
      <c r="I2243" s="20">
        <v>1</v>
      </c>
      <c r="J2243" s="36">
        <v>0.06</v>
      </c>
    </row>
    <row r="2244" spans="2:10" x14ac:dyDescent="0.35">
      <c r="B2244" s="18">
        <v>4020030</v>
      </c>
      <c r="C2244" s="19" t="s">
        <v>4244</v>
      </c>
      <c r="D2244" s="5" t="s">
        <v>8</v>
      </c>
      <c r="E2244" s="19" t="s">
        <v>5406</v>
      </c>
      <c r="F2244" s="34" t="s">
        <v>3574</v>
      </c>
      <c r="G2244" s="27">
        <v>43.34</v>
      </c>
      <c r="H2244" s="1" t="s">
        <v>774</v>
      </c>
      <c r="I2244" s="20">
        <v>1</v>
      </c>
      <c r="J2244" s="36">
        <v>0.06</v>
      </c>
    </row>
    <row r="2245" spans="2:10" x14ac:dyDescent="0.35">
      <c r="B2245" s="18">
        <v>4001275</v>
      </c>
      <c r="C2245" s="19" t="s">
        <v>4245</v>
      </c>
      <c r="D2245" s="5" t="s">
        <v>8</v>
      </c>
      <c r="E2245" s="19" t="s">
        <v>5407</v>
      </c>
      <c r="F2245" s="34" t="s">
        <v>3574</v>
      </c>
      <c r="G2245" s="27">
        <v>50.22</v>
      </c>
      <c r="H2245" s="1" t="s">
        <v>774</v>
      </c>
      <c r="I2245" s="20">
        <v>1</v>
      </c>
      <c r="J2245" s="36">
        <v>0.06</v>
      </c>
    </row>
    <row r="2246" spans="2:10" x14ac:dyDescent="0.35">
      <c r="B2246" s="18">
        <v>3604583</v>
      </c>
      <c r="C2246" s="19" t="s">
        <v>4246</v>
      </c>
      <c r="D2246" s="5" t="s">
        <v>8</v>
      </c>
      <c r="E2246" s="19" t="s">
        <v>5408</v>
      </c>
      <c r="F2246" s="34" t="s">
        <v>3574</v>
      </c>
      <c r="G2246" s="27">
        <v>50.23</v>
      </c>
      <c r="H2246" s="1" t="s">
        <v>774</v>
      </c>
      <c r="I2246" s="20">
        <v>1</v>
      </c>
      <c r="J2246" s="36">
        <v>0.06</v>
      </c>
    </row>
    <row r="2247" spans="2:10" x14ac:dyDescent="0.35">
      <c r="B2247" s="18">
        <v>800004637</v>
      </c>
      <c r="C2247" s="19" t="s">
        <v>4247</v>
      </c>
      <c r="D2247" s="5" t="s">
        <v>8</v>
      </c>
      <c r="E2247" s="19" t="s">
        <v>5409</v>
      </c>
      <c r="F2247" s="34" t="s">
        <v>3574</v>
      </c>
      <c r="G2247" s="27">
        <v>50.87</v>
      </c>
      <c r="H2247" s="1" t="s">
        <v>774</v>
      </c>
      <c r="I2247" s="20">
        <v>1</v>
      </c>
      <c r="J2247" s="36">
        <v>0.06</v>
      </c>
    </row>
    <row r="2248" spans="2:10" x14ac:dyDescent="0.35">
      <c r="B2248" s="18" t="s">
        <v>3628</v>
      </c>
      <c r="C2248" s="19" t="s">
        <v>4248</v>
      </c>
      <c r="D2248" s="5" t="s">
        <v>8</v>
      </c>
      <c r="E2248" s="19" t="s">
        <v>5410</v>
      </c>
      <c r="F2248" s="34" t="s">
        <v>3574</v>
      </c>
      <c r="G2248" s="27">
        <v>46.27</v>
      </c>
      <c r="H2248" s="1" t="s">
        <v>774</v>
      </c>
      <c r="I2248" s="20">
        <v>1</v>
      </c>
      <c r="J2248" s="36">
        <v>0.06</v>
      </c>
    </row>
    <row r="2249" spans="2:10" x14ac:dyDescent="0.35">
      <c r="B2249" s="18" t="s">
        <v>3629</v>
      </c>
      <c r="C2249" s="19" t="s">
        <v>4194</v>
      </c>
      <c r="D2249" s="5" t="s">
        <v>8</v>
      </c>
      <c r="E2249" s="19" t="s">
        <v>5410</v>
      </c>
      <c r="F2249" s="34" t="s">
        <v>3574</v>
      </c>
      <c r="G2249" s="27">
        <v>46.27</v>
      </c>
      <c r="H2249" s="1" t="s">
        <v>774</v>
      </c>
      <c r="I2249" s="20">
        <v>1</v>
      </c>
      <c r="J2249" s="36">
        <v>0.06</v>
      </c>
    </row>
    <row r="2250" spans="2:10" x14ac:dyDescent="0.35">
      <c r="B2250" s="18">
        <v>3602747</v>
      </c>
      <c r="C2250" s="19" t="s">
        <v>4249</v>
      </c>
      <c r="D2250" s="5" t="s">
        <v>8</v>
      </c>
      <c r="E2250" s="19" t="s">
        <v>5411</v>
      </c>
      <c r="F2250" s="34" t="s">
        <v>3574</v>
      </c>
      <c r="G2250" s="27">
        <v>71.73</v>
      </c>
      <c r="H2250" s="1" t="s">
        <v>774</v>
      </c>
      <c r="I2250" s="20">
        <v>1</v>
      </c>
      <c r="J2250" s="36">
        <v>0.06</v>
      </c>
    </row>
    <row r="2251" spans="2:10" x14ac:dyDescent="0.35">
      <c r="B2251" s="18">
        <v>3602676</v>
      </c>
      <c r="C2251" s="19" t="s">
        <v>4250</v>
      </c>
      <c r="D2251" s="5" t="s">
        <v>8</v>
      </c>
      <c r="E2251" s="19" t="s">
        <v>5412</v>
      </c>
      <c r="F2251" s="34" t="s">
        <v>3574</v>
      </c>
      <c r="G2251" s="27">
        <v>53.83</v>
      </c>
      <c r="H2251" s="1" t="s">
        <v>774</v>
      </c>
      <c r="I2251" s="20">
        <v>1</v>
      </c>
      <c r="J2251" s="36">
        <v>0.06</v>
      </c>
    </row>
    <row r="2252" spans="2:10" x14ac:dyDescent="0.35">
      <c r="B2252" s="18">
        <v>3604249</v>
      </c>
      <c r="C2252" s="19" t="s">
        <v>4251</v>
      </c>
      <c r="D2252" s="5" t="s">
        <v>8</v>
      </c>
      <c r="E2252" s="19" t="s">
        <v>5413</v>
      </c>
      <c r="F2252" s="34" t="s">
        <v>3574</v>
      </c>
      <c r="G2252" s="27">
        <v>46.27</v>
      </c>
      <c r="H2252" s="1" t="s">
        <v>774</v>
      </c>
      <c r="I2252" s="20">
        <v>1</v>
      </c>
      <c r="J2252" s="36">
        <v>0.06</v>
      </c>
    </row>
    <row r="2253" spans="2:10" x14ac:dyDescent="0.35">
      <c r="B2253" s="18" t="s">
        <v>3630</v>
      </c>
      <c r="C2253" s="19" t="s">
        <v>4252</v>
      </c>
      <c r="D2253" s="5" t="s">
        <v>8</v>
      </c>
      <c r="E2253" s="19" t="s">
        <v>5414</v>
      </c>
      <c r="F2253" s="34" t="s">
        <v>3574</v>
      </c>
      <c r="G2253" s="27">
        <v>1.98</v>
      </c>
      <c r="H2253" s="1" t="s">
        <v>774</v>
      </c>
      <c r="I2253" s="20">
        <v>1</v>
      </c>
      <c r="J2253" s="36">
        <v>0.06</v>
      </c>
    </row>
    <row r="2254" spans="2:10" x14ac:dyDescent="0.35">
      <c r="B2254" s="18">
        <v>3602658</v>
      </c>
      <c r="C2254" s="19" t="s">
        <v>4253</v>
      </c>
      <c r="D2254" s="5" t="s">
        <v>8</v>
      </c>
      <c r="E2254" s="19" t="s">
        <v>5415</v>
      </c>
      <c r="F2254" s="34" t="s">
        <v>3574</v>
      </c>
      <c r="G2254" s="27">
        <v>4.1100000000000003</v>
      </c>
      <c r="H2254" s="1" t="s">
        <v>774</v>
      </c>
      <c r="I2254" s="20">
        <v>1</v>
      </c>
      <c r="J2254" s="36">
        <v>0.06</v>
      </c>
    </row>
    <row r="2255" spans="2:10" x14ac:dyDescent="0.35">
      <c r="B2255" s="18" t="s">
        <v>3631</v>
      </c>
      <c r="C2255" s="19" t="s">
        <v>4254</v>
      </c>
      <c r="D2255" s="5" t="s">
        <v>8</v>
      </c>
      <c r="E2255" s="19" t="s">
        <v>5416</v>
      </c>
      <c r="F2255" s="34" t="s">
        <v>3574</v>
      </c>
      <c r="G2255" s="27">
        <v>12.02</v>
      </c>
      <c r="H2255" s="1" t="s">
        <v>774</v>
      </c>
      <c r="I2255" s="20">
        <v>1</v>
      </c>
      <c r="J2255" s="36">
        <v>0.06</v>
      </c>
    </row>
    <row r="2256" spans="2:10" x14ac:dyDescent="0.35">
      <c r="B2256" s="18">
        <v>4002666</v>
      </c>
      <c r="C2256" s="19" t="s">
        <v>4255</v>
      </c>
      <c r="D2256" s="5" t="s">
        <v>8</v>
      </c>
      <c r="E2256" s="19" t="s">
        <v>5417</v>
      </c>
      <c r="F2256" s="34" t="s">
        <v>3574</v>
      </c>
      <c r="G2256" s="27">
        <v>6.75</v>
      </c>
      <c r="H2256" s="1" t="s">
        <v>774</v>
      </c>
      <c r="I2256" s="20">
        <v>1</v>
      </c>
      <c r="J2256" s="36">
        <v>0.06</v>
      </c>
    </row>
    <row r="2257" spans="2:10" x14ac:dyDescent="0.35">
      <c r="B2257" s="18">
        <v>3604280</v>
      </c>
      <c r="C2257" s="19" t="s">
        <v>4256</v>
      </c>
      <c r="D2257" s="5" t="s">
        <v>8</v>
      </c>
      <c r="E2257" s="19" t="s">
        <v>5418</v>
      </c>
      <c r="F2257" s="34" t="s">
        <v>3574</v>
      </c>
      <c r="G2257" s="27">
        <v>53.86</v>
      </c>
      <c r="H2257" s="1" t="s">
        <v>774</v>
      </c>
      <c r="I2257" s="20">
        <v>1</v>
      </c>
      <c r="J2257" s="36">
        <v>0.06</v>
      </c>
    </row>
    <row r="2258" spans="2:10" x14ac:dyDescent="0.35">
      <c r="B2258" s="18">
        <v>800000313</v>
      </c>
      <c r="C2258" s="19" t="s">
        <v>4257</v>
      </c>
      <c r="D2258" s="5" t="s">
        <v>8</v>
      </c>
      <c r="E2258" s="19" t="s">
        <v>5419</v>
      </c>
      <c r="F2258" s="34" t="s">
        <v>3574</v>
      </c>
      <c r="G2258" s="27">
        <v>68.02</v>
      </c>
      <c r="H2258" s="1" t="s">
        <v>774</v>
      </c>
      <c r="I2258" s="20">
        <v>1</v>
      </c>
      <c r="J2258" s="36">
        <v>0.06</v>
      </c>
    </row>
    <row r="2259" spans="2:10" x14ac:dyDescent="0.35">
      <c r="B2259" s="18">
        <v>3604106</v>
      </c>
      <c r="C2259" s="19" t="s">
        <v>4258</v>
      </c>
      <c r="D2259" s="5" t="s">
        <v>8</v>
      </c>
      <c r="E2259" s="19" t="s">
        <v>5420</v>
      </c>
      <c r="F2259" s="34" t="s">
        <v>3574</v>
      </c>
      <c r="G2259" s="27">
        <v>87.64</v>
      </c>
      <c r="H2259" s="1" t="s">
        <v>774</v>
      </c>
      <c r="I2259" s="20">
        <v>1</v>
      </c>
      <c r="J2259" s="36">
        <v>0.06</v>
      </c>
    </row>
    <row r="2260" spans="2:10" x14ac:dyDescent="0.35">
      <c r="B2260" s="18">
        <v>3604206</v>
      </c>
      <c r="C2260" s="19" t="s">
        <v>4259</v>
      </c>
      <c r="D2260" s="5" t="s">
        <v>8</v>
      </c>
      <c r="E2260" s="19" t="s">
        <v>5421</v>
      </c>
      <c r="F2260" s="34" t="s">
        <v>3574</v>
      </c>
      <c r="G2260" s="27">
        <v>87.64</v>
      </c>
      <c r="H2260" s="1" t="s">
        <v>774</v>
      </c>
      <c r="I2260" s="20">
        <v>1</v>
      </c>
      <c r="J2260" s="36">
        <v>0.06</v>
      </c>
    </row>
    <row r="2261" spans="2:10" x14ac:dyDescent="0.35">
      <c r="B2261" s="18">
        <v>1585959</v>
      </c>
      <c r="C2261" s="19" t="s">
        <v>4260</v>
      </c>
      <c r="D2261" s="5" t="s">
        <v>8</v>
      </c>
      <c r="E2261" s="19" t="s">
        <v>5422</v>
      </c>
      <c r="F2261" s="34" t="s">
        <v>3574</v>
      </c>
      <c r="G2261" s="27">
        <v>3.67</v>
      </c>
      <c r="H2261" s="1" t="s">
        <v>774</v>
      </c>
      <c r="I2261" s="20">
        <v>1</v>
      </c>
      <c r="J2261" s="36">
        <v>0.06</v>
      </c>
    </row>
    <row r="2262" spans="2:10" x14ac:dyDescent="0.35">
      <c r="B2262" s="18">
        <v>800001869</v>
      </c>
      <c r="C2262" s="19" t="s">
        <v>4261</v>
      </c>
      <c r="D2262" s="5" t="s">
        <v>8</v>
      </c>
      <c r="E2262" s="19" t="s">
        <v>5423</v>
      </c>
      <c r="F2262" s="34" t="s">
        <v>3574</v>
      </c>
      <c r="G2262" s="27">
        <v>118.04</v>
      </c>
      <c r="H2262" s="1" t="s">
        <v>774</v>
      </c>
      <c r="I2262" s="20">
        <v>1</v>
      </c>
      <c r="J2262" s="36">
        <v>0.06</v>
      </c>
    </row>
    <row r="2263" spans="2:10" x14ac:dyDescent="0.35">
      <c r="B2263" s="18" t="s">
        <v>3632</v>
      </c>
      <c r="C2263" s="19" t="s">
        <v>4194</v>
      </c>
      <c r="D2263" s="5" t="s">
        <v>8</v>
      </c>
      <c r="E2263" s="19" t="s">
        <v>5424</v>
      </c>
      <c r="F2263" s="34" t="s">
        <v>3574</v>
      </c>
      <c r="G2263" s="27">
        <v>58.84</v>
      </c>
      <c r="H2263" s="1" t="s">
        <v>774</v>
      </c>
      <c r="I2263" s="20">
        <v>1</v>
      </c>
      <c r="J2263" s="36">
        <v>0.06</v>
      </c>
    </row>
    <row r="2264" spans="2:10" x14ac:dyDescent="0.35">
      <c r="B2264" s="18">
        <v>3602682</v>
      </c>
      <c r="C2264" s="19" t="s">
        <v>4262</v>
      </c>
      <c r="D2264" s="5" t="s">
        <v>8</v>
      </c>
      <c r="E2264" s="19" t="s">
        <v>5425</v>
      </c>
      <c r="F2264" s="34" t="s">
        <v>3574</v>
      </c>
      <c r="G2264" s="27">
        <v>53.63</v>
      </c>
      <c r="H2264" s="1" t="s">
        <v>774</v>
      </c>
      <c r="I2264" s="20">
        <v>1</v>
      </c>
      <c r="J2264" s="36">
        <v>0.06</v>
      </c>
    </row>
    <row r="2265" spans="2:10" x14ac:dyDescent="0.35">
      <c r="B2265" s="18">
        <v>4001534</v>
      </c>
      <c r="C2265" s="19" t="s">
        <v>4263</v>
      </c>
      <c r="D2265" s="5" t="s">
        <v>8</v>
      </c>
      <c r="E2265" s="19" t="s">
        <v>5426</v>
      </c>
      <c r="F2265" s="34" t="s">
        <v>3574</v>
      </c>
      <c r="G2265" s="27">
        <v>69.42</v>
      </c>
      <c r="H2265" s="1" t="s">
        <v>774</v>
      </c>
      <c r="I2265" s="20">
        <v>1</v>
      </c>
      <c r="J2265" s="36">
        <v>0.06</v>
      </c>
    </row>
    <row r="2266" spans="2:10" x14ac:dyDescent="0.35">
      <c r="B2266" s="18">
        <v>800003407</v>
      </c>
      <c r="C2266" s="19" t="s">
        <v>4264</v>
      </c>
      <c r="D2266" s="5" t="s">
        <v>8</v>
      </c>
      <c r="E2266" s="19" t="s">
        <v>5427</v>
      </c>
      <c r="F2266" s="34" t="s">
        <v>3574</v>
      </c>
      <c r="G2266" s="27">
        <v>203.11</v>
      </c>
      <c r="H2266" s="1" t="s">
        <v>774</v>
      </c>
      <c r="I2266" s="20">
        <v>1</v>
      </c>
      <c r="J2266" s="36">
        <v>0.06</v>
      </c>
    </row>
    <row r="2267" spans="2:10" x14ac:dyDescent="0.35">
      <c r="B2267" s="18">
        <v>1586699</v>
      </c>
      <c r="C2267" s="19" t="s">
        <v>4265</v>
      </c>
      <c r="D2267" s="5" t="s">
        <v>8</v>
      </c>
      <c r="E2267" s="19" t="s">
        <v>5428</v>
      </c>
      <c r="F2267" s="34" t="s">
        <v>3574</v>
      </c>
      <c r="G2267" s="27">
        <v>172.09</v>
      </c>
      <c r="H2267" s="1" t="s">
        <v>774</v>
      </c>
      <c r="I2267" s="20">
        <v>1</v>
      </c>
      <c r="J2267" s="36">
        <v>0.06</v>
      </c>
    </row>
    <row r="2268" spans="2:10" x14ac:dyDescent="0.35">
      <c r="B2268" s="18" t="s">
        <v>3633</v>
      </c>
      <c r="C2268" s="19" t="s">
        <v>4266</v>
      </c>
      <c r="D2268" s="5" t="s">
        <v>8</v>
      </c>
      <c r="E2268" s="19" t="s">
        <v>5429</v>
      </c>
      <c r="F2268" s="34" t="s">
        <v>3574</v>
      </c>
      <c r="G2268" s="27">
        <v>35.529999999999994</v>
      </c>
      <c r="H2268" s="1" t="s">
        <v>774</v>
      </c>
      <c r="I2268" s="20">
        <v>1</v>
      </c>
      <c r="J2268" s="36">
        <v>0.06</v>
      </c>
    </row>
    <row r="2269" spans="2:10" x14ac:dyDescent="0.35">
      <c r="B2269" s="18" t="s">
        <v>3634</v>
      </c>
      <c r="C2269" s="19" t="s">
        <v>4267</v>
      </c>
      <c r="D2269" s="5" t="s">
        <v>8</v>
      </c>
      <c r="E2269" s="19" t="s">
        <v>5430</v>
      </c>
      <c r="F2269" s="34" t="s">
        <v>3574</v>
      </c>
      <c r="G2269" s="27">
        <v>41.52</v>
      </c>
      <c r="H2269" s="1" t="s">
        <v>774</v>
      </c>
      <c r="I2269" s="20">
        <v>1</v>
      </c>
      <c r="J2269" s="36">
        <v>0.06</v>
      </c>
    </row>
    <row r="2270" spans="2:10" x14ac:dyDescent="0.35">
      <c r="B2270" s="18" t="s">
        <v>3635</v>
      </c>
      <c r="C2270" s="19" t="s">
        <v>4268</v>
      </c>
      <c r="D2270" s="5" t="s">
        <v>8</v>
      </c>
      <c r="E2270" s="19" t="s">
        <v>5431</v>
      </c>
      <c r="F2270" s="34" t="s">
        <v>3574</v>
      </c>
      <c r="G2270" s="27">
        <v>22.51</v>
      </c>
      <c r="H2270" s="1" t="s">
        <v>774</v>
      </c>
      <c r="I2270" s="20">
        <v>1</v>
      </c>
      <c r="J2270" s="36">
        <v>0.06</v>
      </c>
    </row>
    <row r="2271" spans="2:10" x14ac:dyDescent="0.35">
      <c r="B2271" s="18" t="s">
        <v>3636</v>
      </c>
      <c r="C2271" s="19" t="s">
        <v>4269</v>
      </c>
      <c r="D2271" s="5" t="s">
        <v>8</v>
      </c>
      <c r="E2271" s="19" t="s">
        <v>5432</v>
      </c>
      <c r="F2271" s="34" t="s">
        <v>3574</v>
      </c>
      <c r="G2271" s="27">
        <v>41.52</v>
      </c>
      <c r="H2271" s="1" t="s">
        <v>774</v>
      </c>
      <c r="I2271" s="20">
        <v>1</v>
      </c>
      <c r="J2271" s="36">
        <v>0.06</v>
      </c>
    </row>
    <row r="2272" spans="2:10" x14ac:dyDescent="0.35">
      <c r="B2272" s="18" t="s">
        <v>3637</v>
      </c>
      <c r="C2272" s="19" t="s">
        <v>4270</v>
      </c>
      <c r="D2272" s="5" t="s">
        <v>8</v>
      </c>
      <c r="E2272" s="19" t="s">
        <v>5433</v>
      </c>
      <c r="F2272" s="34" t="s">
        <v>3574</v>
      </c>
      <c r="G2272" s="27">
        <v>41.52</v>
      </c>
      <c r="H2272" s="1" t="s">
        <v>774</v>
      </c>
      <c r="I2272" s="20">
        <v>1</v>
      </c>
      <c r="J2272" s="36">
        <v>0.06</v>
      </c>
    </row>
    <row r="2273" spans="2:10" x14ac:dyDescent="0.35">
      <c r="B2273" s="18" t="s">
        <v>3638</v>
      </c>
      <c r="C2273" s="19" t="s">
        <v>4271</v>
      </c>
      <c r="D2273" s="5" t="s">
        <v>8</v>
      </c>
      <c r="E2273" s="19" t="s">
        <v>5434</v>
      </c>
      <c r="F2273" s="34" t="s">
        <v>3574</v>
      </c>
      <c r="G2273" s="27">
        <v>35.529999999999994</v>
      </c>
      <c r="H2273" s="1" t="s">
        <v>774</v>
      </c>
      <c r="I2273" s="20">
        <v>1</v>
      </c>
      <c r="J2273" s="36">
        <v>0.06</v>
      </c>
    </row>
    <row r="2274" spans="2:10" x14ac:dyDescent="0.35">
      <c r="B2274" s="18" t="s">
        <v>3639</v>
      </c>
      <c r="C2274" s="19" t="s">
        <v>4272</v>
      </c>
      <c r="D2274" s="5" t="s">
        <v>8</v>
      </c>
      <c r="E2274" s="19" t="s">
        <v>5435</v>
      </c>
      <c r="F2274" s="34" t="s">
        <v>3574</v>
      </c>
      <c r="G2274" s="27">
        <v>42.64</v>
      </c>
      <c r="H2274" s="1" t="s">
        <v>774</v>
      </c>
      <c r="I2274" s="20">
        <v>1</v>
      </c>
      <c r="J2274" s="36">
        <v>0.06</v>
      </c>
    </row>
    <row r="2275" spans="2:10" x14ac:dyDescent="0.35">
      <c r="B2275" s="18" t="s">
        <v>3640</v>
      </c>
      <c r="C2275" s="19" t="s">
        <v>4273</v>
      </c>
      <c r="D2275" s="5" t="s">
        <v>8</v>
      </c>
      <c r="E2275" s="19" t="s">
        <v>5436</v>
      </c>
      <c r="F2275" s="34" t="s">
        <v>3574</v>
      </c>
      <c r="G2275" s="27">
        <v>42.64</v>
      </c>
      <c r="H2275" s="1" t="s">
        <v>774</v>
      </c>
      <c r="I2275" s="20">
        <v>1</v>
      </c>
      <c r="J2275" s="36">
        <v>0.06</v>
      </c>
    </row>
    <row r="2276" spans="2:10" x14ac:dyDescent="0.35">
      <c r="B2276" s="18">
        <v>1800640</v>
      </c>
      <c r="C2276" s="19" t="s">
        <v>4274</v>
      </c>
      <c r="D2276" s="5" t="s">
        <v>8</v>
      </c>
      <c r="E2276" s="19" t="s">
        <v>5437</v>
      </c>
      <c r="F2276" s="34" t="s">
        <v>3574</v>
      </c>
      <c r="G2276" s="27">
        <v>19</v>
      </c>
      <c r="H2276" s="1" t="s">
        <v>774</v>
      </c>
      <c r="I2276" s="20">
        <v>1</v>
      </c>
      <c r="J2276" s="36">
        <v>0.06</v>
      </c>
    </row>
    <row r="2277" spans="2:10" x14ac:dyDescent="0.35">
      <c r="B2277" s="18" t="s">
        <v>3641</v>
      </c>
      <c r="C2277" s="19" t="s">
        <v>4275</v>
      </c>
      <c r="D2277" s="5" t="s">
        <v>8</v>
      </c>
      <c r="E2277" s="19" t="s">
        <v>5438</v>
      </c>
      <c r="F2277" s="34" t="s">
        <v>3574</v>
      </c>
      <c r="G2277" s="27">
        <v>10.83</v>
      </c>
      <c r="H2277" s="1" t="s">
        <v>774</v>
      </c>
      <c r="I2277" s="20">
        <v>1</v>
      </c>
      <c r="J2277" s="36">
        <v>0.06</v>
      </c>
    </row>
    <row r="2278" spans="2:10" x14ac:dyDescent="0.35">
      <c r="B2278" s="18" t="s">
        <v>3642</v>
      </c>
      <c r="C2278" s="19" t="s">
        <v>4276</v>
      </c>
      <c r="D2278" s="5" t="s">
        <v>8</v>
      </c>
      <c r="E2278" s="19" t="s">
        <v>5439</v>
      </c>
      <c r="F2278" s="34" t="s">
        <v>3574</v>
      </c>
      <c r="G2278" s="27">
        <v>35.799999999999997</v>
      </c>
      <c r="H2278" s="1" t="s">
        <v>774</v>
      </c>
      <c r="I2278" s="20">
        <v>1</v>
      </c>
      <c r="J2278" s="36">
        <v>0.06</v>
      </c>
    </row>
    <row r="2279" spans="2:10" x14ac:dyDescent="0.35">
      <c r="B2279" s="18" t="s">
        <v>3643</v>
      </c>
      <c r="C2279" s="19" t="s">
        <v>4277</v>
      </c>
      <c r="D2279" s="5" t="s">
        <v>8</v>
      </c>
      <c r="E2279" s="19" t="s">
        <v>5440</v>
      </c>
      <c r="F2279" s="34" t="s">
        <v>3574</v>
      </c>
      <c r="G2279" s="27">
        <v>35.799999999999997</v>
      </c>
      <c r="H2279" s="1" t="s">
        <v>774</v>
      </c>
      <c r="I2279" s="20">
        <v>1</v>
      </c>
      <c r="J2279" s="36">
        <v>0.06</v>
      </c>
    </row>
    <row r="2280" spans="2:10" x14ac:dyDescent="0.35">
      <c r="B2280" s="18" t="s">
        <v>3644</v>
      </c>
      <c r="C2280" s="19" t="s">
        <v>4278</v>
      </c>
      <c r="D2280" s="5" t="s">
        <v>8</v>
      </c>
      <c r="E2280" s="19" t="s">
        <v>5441</v>
      </c>
      <c r="F2280" s="34" t="s">
        <v>3574</v>
      </c>
      <c r="G2280" s="27">
        <v>43</v>
      </c>
      <c r="H2280" s="1" t="s">
        <v>774</v>
      </c>
      <c r="I2280" s="20">
        <v>1</v>
      </c>
      <c r="J2280" s="36">
        <v>0.06</v>
      </c>
    </row>
    <row r="2281" spans="2:10" x14ac:dyDescent="0.35">
      <c r="B2281" s="18" t="s">
        <v>3645</v>
      </c>
      <c r="C2281" s="19" t="s">
        <v>4194</v>
      </c>
      <c r="D2281" s="5" t="s">
        <v>8</v>
      </c>
      <c r="E2281" s="19" t="s">
        <v>5442</v>
      </c>
      <c r="F2281" s="34" t="s">
        <v>3574</v>
      </c>
      <c r="G2281" s="27">
        <v>20.28</v>
      </c>
      <c r="H2281" s="1" t="s">
        <v>774</v>
      </c>
      <c r="I2281" s="20">
        <v>1</v>
      </c>
      <c r="J2281" s="36">
        <v>0.06</v>
      </c>
    </row>
    <row r="2282" spans="2:10" x14ac:dyDescent="0.35">
      <c r="B2282" s="18">
        <v>1316027</v>
      </c>
      <c r="C2282" s="19" t="s">
        <v>4279</v>
      </c>
      <c r="D2282" s="5" t="s">
        <v>8</v>
      </c>
      <c r="E2282" s="19" t="s">
        <v>5443</v>
      </c>
      <c r="F2282" s="34" t="s">
        <v>3574</v>
      </c>
      <c r="G2282" s="27">
        <v>11.06</v>
      </c>
      <c r="H2282" s="1" t="s">
        <v>774</v>
      </c>
      <c r="I2282" s="20">
        <v>1</v>
      </c>
      <c r="J2282" s="36">
        <v>0.06</v>
      </c>
    </row>
    <row r="2283" spans="2:10" x14ac:dyDescent="0.35">
      <c r="B2283" s="18">
        <v>3603760</v>
      </c>
      <c r="C2283" s="19" t="s">
        <v>4280</v>
      </c>
      <c r="D2283" s="5" t="s">
        <v>8</v>
      </c>
      <c r="E2283" s="19" t="s">
        <v>5443</v>
      </c>
      <c r="F2283" s="34" t="s">
        <v>3574</v>
      </c>
      <c r="G2283" s="27">
        <v>11.06</v>
      </c>
      <c r="H2283" s="1" t="s">
        <v>774</v>
      </c>
      <c r="I2283" s="20">
        <v>1</v>
      </c>
      <c r="J2283" s="36">
        <v>0.06</v>
      </c>
    </row>
    <row r="2284" spans="2:10" x14ac:dyDescent="0.35">
      <c r="B2284" s="18">
        <v>1361157</v>
      </c>
      <c r="C2284" s="19" t="s">
        <v>4281</v>
      </c>
      <c r="D2284" s="5" t="s">
        <v>8</v>
      </c>
      <c r="E2284" s="19" t="s">
        <v>5444</v>
      </c>
      <c r="F2284" s="34" t="s">
        <v>3574</v>
      </c>
      <c r="G2284" s="27">
        <v>10.91</v>
      </c>
      <c r="H2284" s="1" t="s">
        <v>774</v>
      </c>
      <c r="I2284" s="20">
        <v>1</v>
      </c>
      <c r="J2284" s="36">
        <v>0.06</v>
      </c>
    </row>
    <row r="2285" spans="2:10" x14ac:dyDescent="0.35">
      <c r="B2285" s="18" t="s">
        <v>3646</v>
      </c>
      <c r="C2285" s="19" t="s">
        <v>4282</v>
      </c>
      <c r="D2285" s="5" t="s">
        <v>8</v>
      </c>
      <c r="E2285" s="19" t="s">
        <v>5445</v>
      </c>
      <c r="F2285" s="34" t="s">
        <v>3574</v>
      </c>
      <c r="G2285" s="27">
        <v>47.52</v>
      </c>
      <c r="H2285" s="1" t="s">
        <v>774</v>
      </c>
      <c r="I2285" s="20">
        <v>1</v>
      </c>
      <c r="J2285" s="36">
        <v>0.06</v>
      </c>
    </row>
    <row r="2286" spans="2:10" x14ac:dyDescent="0.35">
      <c r="B2286" s="18" t="s">
        <v>3647</v>
      </c>
      <c r="C2286" s="19" t="s">
        <v>4283</v>
      </c>
      <c r="D2286" s="5" t="s">
        <v>8</v>
      </c>
      <c r="E2286" s="19" t="s">
        <v>5446</v>
      </c>
      <c r="F2286" s="34" t="s">
        <v>3574</v>
      </c>
      <c r="G2286" s="27">
        <v>44.1</v>
      </c>
      <c r="H2286" s="1" t="s">
        <v>774</v>
      </c>
      <c r="I2286" s="20">
        <v>1</v>
      </c>
      <c r="J2286" s="36">
        <v>0.06</v>
      </c>
    </row>
    <row r="2287" spans="2:10" x14ac:dyDescent="0.35">
      <c r="B2287" s="18" t="s">
        <v>3648</v>
      </c>
      <c r="C2287" s="19" t="s">
        <v>4284</v>
      </c>
      <c r="D2287" s="5" t="s">
        <v>8</v>
      </c>
      <c r="E2287" s="19" t="s">
        <v>5447</v>
      </c>
      <c r="F2287" s="34" t="s">
        <v>3574</v>
      </c>
      <c r="G2287" s="27">
        <v>44.55</v>
      </c>
      <c r="H2287" s="1" t="s">
        <v>774</v>
      </c>
      <c r="I2287" s="20">
        <v>1</v>
      </c>
      <c r="J2287" s="36">
        <v>0.06</v>
      </c>
    </row>
    <row r="2288" spans="2:10" x14ac:dyDescent="0.35">
      <c r="B2288" s="18" t="s">
        <v>3649</v>
      </c>
      <c r="C2288" s="19" t="s">
        <v>4285</v>
      </c>
      <c r="D2288" s="5" t="s">
        <v>8</v>
      </c>
      <c r="E2288" s="19" t="s">
        <v>5448</v>
      </c>
      <c r="F2288" s="34" t="s">
        <v>3574</v>
      </c>
      <c r="G2288" s="27">
        <v>40.1</v>
      </c>
      <c r="H2288" s="1" t="s">
        <v>774</v>
      </c>
      <c r="I2288" s="20">
        <v>1</v>
      </c>
      <c r="J2288" s="36">
        <v>0.06</v>
      </c>
    </row>
    <row r="2289" spans="2:10" x14ac:dyDescent="0.35">
      <c r="B2289" s="18" t="s">
        <v>3650</v>
      </c>
      <c r="C2289" s="19" t="s">
        <v>4286</v>
      </c>
      <c r="D2289" s="5" t="s">
        <v>8</v>
      </c>
      <c r="E2289" s="19" t="s">
        <v>5449</v>
      </c>
      <c r="F2289" s="34" t="s">
        <v>3574</v>
      </c>
      <c r="G2289" s="27">
        <v>14.55</v>
      </c>
      <c r="H2289" s="1" t="s">
        <v>774</v>
      </c>
      <c r="I2289" s="20">
        <v>1</v>
      </c>
      <c r="J2289" s="36">
        <v>0.06</v>
      </c>
    </row>
    <row r="2290" spans="2:10" x14ac:dyDescent="0.35">
      <c r="B2290" s="18" t="s">
        <v>3651</v>
      </c>
      <c r="C2290" s="19" t="s">
        <v>4287</v>
      </c>
      <c r="D2290" s="5" t="s">
        <v>8</v>
      </c>
      <c r="E2290" s="19" t="s">
        <v>5450</v>
      </c>
      <c r="F2290" s="34" t="s">
        <v>3574</v>
      </c>
      <c r="G2290" s="27">
        <v>3.12</v>
      </c>
      <c r="H2290" s="1" t="s">
        <v>774</v>
      </c>
      <c r="I2290" s="20">
        <v>1</v>
      </c>
      <c r="J2290" s="36">
        <v>0.06</v>
      </c>
    </row>
    <row r="2291" spans="2:10" x14ac:dyDescent="0.35">
      <c r="B2291" s="18">
        <v>1361024</v>
      </c>
      <c r="C2291" s="19" t="s">
        <v>4288</v>
      </c>
      <c r="D2291" s="5" t="s">
        <v>8</v>
      </c>
      <c r="E2291" s="19" t="s">
        <v>5451</v>
      </c>
      <c r="F2291" s="34" t="s">
        <v>3574</v>
      </c>
      <c r="G2291" s="27">
        <v>17.72</v>
      </c>
      <c r="H2291" s="1" t="s">
        <v>774</v>
      </c>
      <c r="I2291" s="20">
        <v>1</v>
      </c>
      <c r="J2291" s="36">
        <v>0.06</v>
      </c>
    </row>
    <row r="2292" spans="2:10" x14ac:dyDescent="0.35">
      <c r="B2292" s="18">
        <v>800003669</v>
      </c>
      <c r="C2292" s="19" t="s">
        <v>4289</v>
      </c>
      <c r="D2292" s="5" t="s">
        <v>8</v>
      </c>
      <c r="E2292" s="19" t="s">
        <v>5452</v>
      </c>
      <c r="F2292" s="34" t="s">
        <v>3574</v>
      </c>
      <c r="G2292" s="27">
        <v>15.31</v>
      </c>
      <c r="H2292" s="1" t="s">
        <v>774</v>
      </c>
      <c r="I2292" s="20">
        <v>1</v>
      </c>
      <c r="J2292" s="36">
        <v>0.06</v>
      </c>
    </row>
    <row r="2293" spans="2:10" x14ac:dyDescent="0.35">
      <c r="B2293" s="18" t="s">
        <v>3652</v>
      </c>
      <c r="C2293" s="19" t="s">
        <v>4290</v>
      </c>
      <c r="D2293" s="5" t="s">
        <v>8</v>
      </c>
      <c r="E2293" s="19" t="s">
        <v>5453</v>
      </c>
      <c r="F2293" s="34" t="s">
        <v>3574</v>
      </c>
      <c r="G2293" s="27">
        <v>13.33</v>
      </c>
      <c r="H2293" s="1" t="s">
        <v>774</v>
      </c>
      <c r="I2293" s="20">
        <v>1</v>
      </c>
      <c r="J2293" s="36">
        <v>0.06</v>
      </c>
    </row>
    <row r="2294" spans="2:10" x14ac:dyDescent="0.35">
      <c r="B2294" s="18">
        <v>1361170</v>
      </c>
      <c r="C2294" s="19" t="s">
        <v>4291</v>
      </c>
      <c r="D2294" s="5" t="s">
        <v>8</v>
      </c>
      <c r="E2294" s="19" t="s">
        <v>5454</v>
      </c>
      <c r="F2294" s="34" t="s">
        <v>3574</v>
      </c>
      <c r="G2294" s="27">
        <v>11.25</v>
      </c>
      <c r="H2294" s="1" t="s">
        <v>774</v>
      </c>
      <c r="I2294" s="20">
        <v>1</v>
      </c>
      <c r="J2294" s="36">
        <v>0.06</v>
      </c>
    </row>
    <row r="2295" spans="2:10" x14ac:dyDescent="0.35">
      <c r="B2295" s="18">
        <v>800003472</v>
      </c>
      <c r="C2295" s="19" t="s">
        <v>4292</v>
      </c>
      <c r="D2295" s="5" t="s">
        <v>8</v>
      </c>
      <c r="E2295" s="19" t="s">
        <v>5455</v>
      </c>
      <c r="F2295" s="34" t="s">
        <v>3574</v>
      </c>
      <c r="G2295" s="27">
        <v>38.83</v>
      </c>
      <c r="H2295" s="1" t="s">
        <v>774</v>
      </c>
      <c r="I2295" s="20">
        <v>1</v>
      </c>
      <c r="J2295" s="36">
        <v>0.06</v>
      </c>
    </row>
    <row r="2296" spans="2:10" x14ac:dyDescent="0.35">
      <c r="B2296" s="18" t="s">
        <v>3653</v>
      </c>
      <c r="C2296" s="19" t="s">
        <v>4293</v>
      </c>
      <c r="D2296" s="5" t="s">
        <v>8</v>
      </c>
      <c r="E2296" s="19" t="s">
        <v>5455</v>
      </c>
      <c r="F2296" s="34" t="s">
        <v>3574</v>
      </c>
      <c r="G2296" s="27">
        <v>38.83</v>
      </c>
      <c r="H2296" s="1" t="s">
        <v>774</v>
      </c>
      <c r="I2296" s="20">
        <v>1</v>
      </c>
      <c r="J2296" s="36">
        <v>0.06</v>
      </c>
    </row>
    <row r="2297" spans="2:10" x14ac:dyDescent="0.35">
      <c r="B2297" s="18" t="s">
        <v>3654</v>
      </c>
      <c r="C2297" s="19" t="s">
        <v>4270</v>
      </c>
      <c r="D2297" s="5" t="s">
        <v>8</v>
      </c>
      <c r="E2297" s="19" t="s">
        <v>5456</v>
      </c>
      <c r="F2297" s="34" t="s">
        <v>3574</v>
      </c>
      <c r="G2297" s="27">
        <v>37.22</v>
      </c>
      <c r="H2297" s="1" t="s">
        <v>774</v>
      </c>
      <c r="I2297" s="20">
        <v>1</v>
      </c>
      <c r="J2297" s="36">
        <v>0.06</v>
      </c>
    </row>
    <row r="2298" spans="2:10" x14ac:dyDescent="0.35">
      <c r="B2298" s="18" t="s">
        <v>3655</v>
      </c>
      <c r="C2298" s="19" t="s">
        <v>4294</v>
      </c>
      <c r="D2298" s="5" t="s">
        <v>8</v>
      </c>
      <c r="E2298" s="19" t="s">
        <v>5457</v>
      </c>
      <c r="F2298" s="34" t="s">
        <v>3574</v>
      </c>
      <c r="G2298" s="27">
        <v>14.06</v>
      </c>
      <c r="H2298" s="1" t="s">
        <v>774</v>
      </c>
      <c r="I2298" s="20">
        <v>1</v>
      </c>
      <c r="J2298" s="36">
        <v>0.06</v>
      </c>
    </row>
    <row r="2299" spans="2:10" x14ac:dyDescent="0.35">
      <c r="B2299" s="18">
        <v>1316022</v>
      </c>
      <c r="C2299" s="19" t="s">
        <v>4295</v>
      </c>
      <c r="D2299" s="5" t="s">
        <v>8</v>
      </c>
      <c r="E2299" s="19" t="s">
        <v>5458</v>
      </c>
      <c r="F2299" s="34" t="s">
        <v>3574</v>
      </c>
      <c r="G2299" s="27">
        <v>10.91</v>
      </c>
      <c r="H2299" s="1" t="s">
        <v>774</v>
      </c>
      <c r="I2299" s="20">
        <v>1</v>
      </c>
      <c r="J2299" s="36">
        <v>0.06</v>
      </c>
    </row>
    <row r="2300" spans="2:10" x14ac:dyDescent="0.35">
      <c r="B2300" s="18">
        <v>3603420</v>
      </c>
      <c r="C2300" s="19" t="s">
        <v>4296</v>
      </c>
      <c r="D2300" s="5" t="s">
        <v>8</v>
      </c>
      <c r="E2300" s="19" t="s">
        <v>5458</v>
      </c>
      <c r="F2300" s="34" t="s">
        <v>3574</v>
      </c>
      <c r="G2300" s="27">
        <v>10.91</v>
      </c>
      <c r="H2300" s="1" t="s">
        <v>774</v>
      </c>
      <c r="I2300" s="20">
        <v>1</v>
      </c>
      <c r="J2300" s="36">
        <v>0.06</v>
      </c>
    </row>
    <row r="2301" spans="2:10" x14ac:dyDescent="0.35">
      <c r="B2301" s="18" t="s">
        <v>3656</v>
      </c>
      <c r="C2301" s="19" t="s">
        <v>4194</v>
      </c>
      <c r="D2301" s="5" t="s">
        <v>8</v>
      </c>
      <c r="E2301" s="19" t="s">
        <v>5459</v>
      </c>
      <c r="F2301" s="34" t="s">
        <v>3574</v>
      </c>
      <c r="G2301" s="27">
        <v>11.11</v>
      </c>
      <c r="H2301" s="1" t="s">
        <v>774</v>
      </c>
      <c r="I2301" s="20">
        <v>1</v>
      </c>
      <c r="J2301" s="36">
        <v>0.06</v>
      </c>
    </row>
    <row r="2302" spans="2:10" x14ac:dyDescent="0.35">
      <c r="B2302" s="18" t="s">
        <v>3657</v>
      </c>
      <c r="C2302" s="19" t="s">
        <v>4297</v>
      </c>
      <c r="D2302" s="5" t="s">
        <v>8</v>
      </c>
      <c r="E2302" s="19" t="s">
        <v>5460</v>
      </c>
      <c r="F2302" s="34" t="s">
        <v>3574</v>
      </c>
      <c r="G2302" s="27">
        <v>19.670000000000002</v>
      </c>
      <c r="H2302" s="1" t="s">
        <v>774</v>
      </c>
      <c r="I2302" s="20">
        <v>1</v>
      </c>
      <c r="J2302" s="36">
        <v>0.06</v>
      </c>
    </row>
    <row r="2303" spans="2:10" x14ac:dyDescent="0.35">
      <c r="B2303" s="18">
        <v>1586367</v>
      </c>
      <c r="C2303" s="19" t="s">
        <v>4298</v>
      </c>
      <c r="D2303" s="5" t="s">
        <v>8</v>
      </c>
      <c r="E2303" s="19" t="s">
        <v>5461</v>
      </c>
      <c r="F2303" s="34" t="s">
        <v>3574</v>
      </c>
      <c r="G2303" s="27">
        <v>27.929999999999996</v>
      </c>
      <c r="H2303" s="1" t="s">
        <v>774</v>
      </c>
      <c r="I2303" s="20">
        <v>1</v>
      </c>
      <c r="J2303" s="36">
        <v>0.06</v>
      </c>
    </row>
    <row r="2304" spans="2:10" x14ac:dyDescent="0.35">
      <c r="B2304" s="18">
        <v>1586360</v>
      </c>
      <c r="C2304" s="19" t="s">
        <v>4299</v>
      </c>
      <c r="D2304" s="5" t="s">
        <v>8</v>
      </c>
      <c r="E2304" s="19" t="s">
        <v>5462</v>
      </c>
      <c r="F2304" s="34" t="s">
        <v>3574</v>
      </c>
      <c r="G2304" s="27">
        <v>25.7</v>
      </c>
      <c r="H2304" s="1" t="s">
        <v>774</v>
      </c>
      <c r="I2304" s="20">
        <v>1</v>
      </c>
      <c r="J2304" s="36">
        <v>0.06</v>
      </c>
    </row>
    <row r="2305" spans="2:10" x14ac:dyDescent="0.35">
      <c r="B2305" s="18" t="s">
        <v>3658</v>
      </c>
      <c r="C2305" s="19" t="s">
        <v>4220</v>
      </c>
      <c r="D2305" s="5" t="s">
        <v>8</v>
      </c>
      <c r="E2305" s="19" t="s">
        <v>5463</v>
      </c>
      <c r="F2305" s="34" t="s">
        <v>3574</v>
      </c>
      <c r="G2305" s="27">
        <v>17.23</v>
      </c>
      <c r="H2305" s="1" t="s">
        <v>774</v>
      </c>
      <c r="I2305" s="20">
        <v>1</v>
      </c>
      <c r="J2305" s="36">
        <v>0.06</v>
      </c>
    </row>
    <row r="2306" spans="2:10" x14ac:dyDescent="0.35">
      <c r="B2306" s="18" t="s">
        <v>3659</v>
      </c>
      <c r="C2306" s="19" t="s">
        <v>4300</v>
      </c>
      <c r="D2306" s="5" t="s">
        <v>8</v>
      </c>
      <c r="E2306" s="19" t="s">
        <v>5464</v>
      </c>
      <c r="F2306" s="34" t="s">
        <v>3574</v>
      </c>
      <c r="G2306" s="27">
        <v>12.35</v>
      </c>
      <c r="H2306" s="1" t="s">
        <v>774</v>
      </c>
      <c r="I2306" s="20">
        <v>1</v>
      </c>
      <c r="J2306" s="36">
        <v>0.06</v>
      </c>
    </row>
    <row r="2307" spans="2:10" x14ac:dyDescent="0.35">
      <c r="B2307" s="18">
        <v>1360368</v>
      </c>
      <c r="C2307" s="19" t="s">
        <v>4301</v>
      </c>
      <c r="D2307" s="5" t="s">
        <v>8</v>
      </c>
      <c r="E2307" s="19" t="s">
        <v>5465</v>
      </c>
      <c r="F2307" s="34" t="s">
        <v>3574</v>
      </c>
      <c r="G2307" s="27">
        <v>10.91</v>
      </c>
      <c r="H2307" s="1" t="s">
        <v>774</v>
      </c>
      <c r="I2307" s="20">
        <v>1</v>
      </c>
      <c r="J2307" s="36">
        <v>0.06</v>
      </c>
    </row>
    <row r="2308" spans="2:10" x14ac:dyDescent="0.35">
      <c r="B2308" s="18" t="s">
        <v>3660</v>
      </c>
      <c r="C2308" s="19" t="s">
        <v>4247</v>
      </c>
      <c r="D2308" s="5" t="s">
        <v>8</v>
      </c>
      <c r="E2308" s="19" t="s">
        <v>5466</v>
      </c>
      <c r="F2308" s="34" t="s">
        <v>3574</v>
      </c>
      <c r="G2308" s="27">
        <v>16.72</v>
      </c>
      <c r="H2308" s="1" t="s">
        <v>774</v>
      </c>
      <c r="I2308" s="20">
        <v>1</v>
      </c>
      <c r="J2308" s="36">
        <v>0.06</v>
      </c>
    </row>
    <row r="2309" spans="2:10" x14ac:dyDescent="0.35">
      <c r="B2309" s="18">
        <v>1586400</v>
      </c>
      <c r="C2309" s="19" t="s">
        <v>4302</v>
      </c>
      <c r="D2309" s="5" t="s">
        <v>8</v>
      </c>
      <c r="E2309" s="19" t="s">
        <v>5467</v>
      </c>
      <c r="F2309" s="34" t="s">
        <v>3574</v>
      </c>
      <c r="G2309" s="27">
        <v>28.5</v>
      </c>
      <c r="H2309" s="1" t="s">
        <v>774</v>
      </c>
      <c r="I2309" s="20">
        <v>1</v>
      </c>
      <c r="J2309" s="36">
        <v>0.06</v>
      </c>
    </row>
    <row r="2310" spans="2:10" x14ac:dyDescent="0.35">
      <c r="B2310" s="18">
        <v>1586371</v>
      </c>
      <c r="C2310" s="19" t="s">
        <v>4303</v>
      </c>
      <c r="D2310" s="5" t="s">
        <v>8</v>
      </c>
      <c r="E2310" s="19" t="s">
        <v>5468</v>
      </c>
      <c r="F2310" s="34" t="s">
        <v>3574</v>
      </c>
      <c r="G2310" s="27">
        <v>25.7</v>
      </c>
      <c r="H2310" s="1" t="s">
        <v>774</v>
      </c>
      <c r="I2310" s="20">
        <v>1</v>
      </c>
      <c r="J2310" s="36">
        <v>0.06</v>
      </c>
    </row>
    <row r="2311" spans="2:10" x14ac:dyDescent="0.35">
      <c r="B2311" s="18" t="s">
        <v>3661</v>
      </c>
      <c r="C2311" s="19" t="s">
        <v>4304</v>
      </c>
      <c r="D2311" s="5" t="s">
        <v>8</v>
      </c>
      <c r="E2311" s="19" t="s">
        <v>5469</v>
      </c>
      <c r="F2311" s="34" t="s">
        <v>3574</v>
      </c>
      <c r="G2311" s="27">
        <v>13.32</v>
      </c>
      <c r="H2311" s="1" t="s">
        <v>774</v>
      </c>
      <c r="I2311" s="20">
        <v>1</v>
      </c>
      <c r="J2311" s="36">
        <v>0.06</v>
      </c>
    </row>
    <row r="2312" spans="2:10" x14ac:dyDescent="0.35">
      <c r="B2312" s="18">
        <v>4020080</v>
      </c>
      <c r="C2312" s="19" t="s">
        <v>4305</v>
      </c>
      <c r="D2312" s="5" t="s">
        <v>8</v>
      </c>
      <c r="E2312" s="19" t="s">
        <v>5470</v>
      </c>
      <c r="F2312" s="34" t="s">
        <v>3574</v>
      </c>
      <c r="G2312" s="27">
        <v>14.24</v>
      </c>
      <c r="H2312" s="1" t="s">
        <v>774</v>
      </c>
      <c r="I2312" s="20">
        <v>1</v>
      </c>
      <c r="J2312" s="36">
        <v>0.06</v>
      </c>
    </row>
    <row r="2313" spans="2:10" x14ac:dyDescent="0.35">
      <c r="B2313" s="18" t="s">
        <v>3662</v>
      </c>
      <c r="C2313" s="19" t="s">
        <v>4306</v>
      </c>
      <c r="D2313" s="5" t="s">
        <v>8</v>
      </c>
      <c r="E2313" s="19" t="s">
        <v>5471</v>
      </c>
      <c r="F2313" s="34" t="s">
        <v>3574</v>
      </c>
      <c r="G2313" s="27">
        <v>21.65</v>
      </c>
      <c r="H2313" s="1" t="s">
        <v>774</v>
      </c>
      <c r="I2313" s="20">
        <v>1</v>
      </c>
      <c r="J2313" s="36">
        <v>0.06</v>
      </c>
    </row>
    <row r="2314" spans="2:10" x14ac:dyDescent="0.35">
      <c r="B2314" s="18">
        <v>1800641</v>
      </c>
      <c r="C2314" s="19" t="s">
        <v>4307</v>
      </c>
      <c r="D2314" s="5" t="s">
        <v>8</v>
      </c>
      <c r="E2314" s="19" t="s">
        <v>5472</v>
      </c>
      <c r="F2314" s="34" t="s">
        <v>3574</v>
      </c>
      <c r="G2314" s="27">
        <v>18.04</v>
      </c>
      <c r="H2314" s="1" t="s">
        <v>774</v>
      </c>
      <c r="I2314" s="20">
        <v>1</v>
      </c>
      <c r="J2314" s="36">
        <v>0.06</v>
      </c>
    </row>
    <row r="2315" spans="2:10" x14ac:dyDescent="0.35">
      <c r="B2315" s="18">
        <v>1800607</v>
      </c>
      <c r="C2315" s="19" t="s">
        <v>4308</v>
      </c>
      <c r="D2315" s="5" t="s">
        <v>8</v>
      </c>
      <c r="E2315" s="19" t="s">
        <v>5473</v>
      </c>
      <c r="F2315" s="34" t="s">
        <v>3574</v>
      </c>
      <c r="G2315" s="27">
        <v>22.7</v>
      </c>
      <c r="H2315" s="1" t="s">
        <v>774</v>
      </c>
      <c r="I2315" s="20">
        <v>1</v>
      </c>
      <c r="J2315" s="36">
        <v>0.06</v>
      </c>
    </row>
    <row r="2316" spans="2:10" x14ac:dyDescent="0.35">
      <c r="B2316" s="18" t="s">
        <v>3663</v>
      </c>
      <c r="C2316" s="19" t="s">
        <v>4268</v>
      </c>
      <c r="D2316" s="5" t="s">
        <v>8</v>
      </c>
      <c r="E2316" s="19" t="s">
        <v>5473</v>
      </c>
      <c r="F2316" s="34" t="s">
        <v>3574</v>
      </c>
      <c r="G2316" s="27">
        <v>22.7</v>
      </c>
      <c r="H2316" s="1" t="s">
        <v>774</v>
      </c>
      <c r="I2316" s="20">
        <v>1</v>
      </c>
      <c r="J2316" s="36">
        <v>0.06</v>
      </c>
    </row>
    <row r="2317" spans="2:10" x14ac:dyDescent="0.35">
      <c r="B2317" s="18">
        <v>2101362</v>
      </c>
      <c r="C2317" s="19" t="s">
        <v>4309</v>
      </c>
      <c r="D2317" s="5" t="s">
        <v>8</v>
      </c>
      <c r="E2317" s="19" t="s">
        <v>5474</v>
      </c>
      <c r="F2317" s="34" t="s">
        <v>3574</v>
      </c>
      <c r="G2317" s="27">
        <v>24.04</v>
      </c>
      <c r="H2317" s="1" t="s">
        <v>774</v>
      </c>
      <c r="I2317" s="20">
        <v>1</v>
      </c>
      <c r="J2317" s="36">
        <v>0.06</v>
      </c>
    </row>
    <row r="2318" spans="2:10" x14ac:dyDescent="0.35">
      <c r="B2318" s="18">
        <v>91005340</v>
      </c>
      <c r="C2318" s="19" t="s">
        <v>4310</v>
      </c>
      <c r="D2318" s="5" t="s">
        <v>8</v>
      </c>
      <c r="E2318" s="19" t="s">
        <v>5475</v>
      </c>
      <c r="F2318" s="34" t="s">
        <v>3574</v>
      </c>
      <c r="G2318" s="27">
        <v>22.56</v>
      </c>
      <c r="H2318" s="1" t="s">
        <v>774</v>
      </c>
      <c r="I2318" s="20">
        <v>1</v>
      </c>
      <c r="J2318" s="36">
        <v>0.06</v>
      </c>
    </row>
    <row r="2319" spans="2:10" x14ac:dyDescent="0.35">
      <c r="B2319" s="18">
        <v>1316037</v>
      </c>
      <c r="C2319" s="19" t="s">
        <v>4311</v>
      </c>
      <c r="D2319" s="5" t="s">
        <v>8</v>
      </c>
      <c r="E2319" s="19" t="s">
        <v>5476</v>
      </c>
      <c r="F2319" s="34" t="s">
        <v>3574</v>
      </c>
      <c r="G2319" s="27">
        <v>18.190000000000001</v>
      </c>
      <c r="H2319" s="1" t="s">
        <v>774</v>
      </c>
      <c r="I2319" s="20">
        <v>1</v>
      </c>
      <c r="J2319" s="36">
        <v>0.06</v>
      </c>
    </row>
    <row r="2320" spans="2:10" x14ac:dyDescent="0.35">
      <c r="B2320" s="18">
        <v>1316016</v>
      </c>
      <c r="C2320" s="19" t="s">
        <v>4312</v>
      </c>
      <c r="D2320" s="5" t="s">
        <v>8</v>
      </c>
      <c r="E2320" s="19" t="s">
        <v>5477</v>
      </c>
      <c r="F2320" s="34" t="s">
        <v>3574</v>
      </c>
      <c r="G2320" s="27">
        <v>18.190000000000001</v>
      </c>
      <c r="H2320" s="1" t="s">
        <v>774</v>
      </c>
      <c r="I2320" s="20">
        <v>1</v>
      </c>
      <c r="J2320" s="36">
        <v>0.06</v>
      </c>
    </row>
    <row r="2321" spans="2:10" x14ac:dyDescent="0.35">
      <c r="B2321" s="18" t="s">
        <v>3664</v>
      </c>
      <c r="C2321" s="19" t="s">
        <v>4313</v>
      </c>
      <c r="D2321" s="5" t="s">
        <v>8</v>
      </c>
      <c r="E2321" s="19" t="s">
        <v>5478</v>
      </c>
      <c r="F2321" s="34" t="s">
        <v>3574</v>
      </c>
      <c r="G2321" s="27">
        <v>34.959999999999994</v>
      </c>
      <c r="H2321" s="1" t="s">
        <v>774</v>
      </c>
      <c r="I2321" s="20">
        <v>1</v>
      </c>
      <c r="J2321" s="36">
        <v>0.06</v>
      </c>
    </row>
    <row r="2322" spans="2:10" x14ac:dyDescent="0.35">
      <c r="B2322" s="18">
        <v>1360592</v>
      </c>
      <c r="C2322" s="19" t="s">
        <v>4314</v>
      </c>
      <c r="D2322" s="5" t="s">
        <v>8</v>
      </c>
      <c r="E2322" s="19" t="s">
        <v>5479</v>
      </c>
      <c r="F2322" s="34" t="s">
        <v>3574</v>
      </c>
      <c r="G2322" s="27">
        <v>16.489999999999998</v>
      </c>
      <c r="H2322" s="1" t="s">
        <v>774</v>
      </c>
      <c r="I2322" s="20">
        <v>1</v>
      </c>
      <c r="J2322" s="36">
        <v>0.06</v>
      </c>
    </row>
    <row r="2323" spans="2:10" x14ac:dyDescent="0.35">
      <c r="B2323" s="18">
        <v>1316017</v>
      </c>
      <c r="C2323" s="19" t="s">
        <v>4315</v>
      </c>
      <c r="D2323" s="5" t="s">
        <v>8</v>
      </c>
      <c r="E2323" s="19" t="s">
        <v>5480</v>
      </c>
      <c r="F2323" s="34" t="s">
        <v>3574</v>
      </c>
      <c r="G2323" s="27">
        <v>19.100000000000001</v>
      </c>
      <c r="H2323" s="1" t="s">
        <v>774</v>
      </c>
      <c r="I2323" s="20">
        <v>1</v>
      </c>
      <c r="J2323" s="36">
        <v>0.06</v>
      </c>
    </row>
    <row r="2324" spans="2:10" x14ac:dyDescent="0.35">
      <c r="B2324" s="18" t="s">
        <v>3665</v>
      </c>
      <c r="C2324" s="19" t="s">
        <v>4316</v>
      </c>
      <c r="D2324" s="5" t="s">
        <v>8</v>
      </c>
      <c r="E2324" s="19" t="s">
        <v>5481</v>
      </c>
      <c r="F2324" s="34" t="s">
        <v>3574</v>
      </c>
      <c r="G2324" s="27">
        <v>20.21</v>
      </c>
      <c r="H2324" s="1" t="s">
        <v>774</v>
      </c>
      <c r="I2324" s="20">
        <v>1</v>
      </c>
      <c r="J2324" s="36">
        <v>0.06</v>
      </c>
    </row>
    <row r="2325" spans="2:10" x14ac:dyDescent="0.35">
      <c r="B2325" s="18">
        <v>3603991</v>
      </c>
      <c r="C2325" s="19" t="s">
        <v>4317</v>
      </c>
      <c r="D2325" s="5" t="s">
        <v>8</v>
      </c>
      <c r="E2325" s="19" t="s">
        <v>5482</v>
      </c>
      <c r="F2325" s="34" t="s">
        <v>3574</v>
      </c>
      <c r="G2325" s="27">
        <v>26.93</v>
      </c>
      <c r="H2325" s="1" t="s">
        <v>774</v>
      </c>
      <c r="I2325" s="20">
        <v>1</v>
      </c>
      <c r="J2325" s="36">
        <v>0.06</v>
      </c>
    </row>
    <row r="2326" spans="2:10" x14ac:dyDescent="0.35">
      <c r="B2326" s="18">
        <v>2101163</v>
      </c>
      <c r="C2326" s="19" t="s">
        <v>4318</v>
      </c>
      <c r="D2326" s="5" t="s">
        <v>8</v>
      </c>
      <c r="E2326" s="19" t="s">
        <v>5483</v>
      </c>
      <c r="F2326" s="34" t="s">
        <v>3574</v>
      </c>
      <c r="G2326" s="27">
        <v>22.09</v>
      </c>
      <c r="H2326" s="1" t="s">
        <v>774</v>
      </c>
      <c r="I2326" s="20">
        <v>1</v>
      </c>
      <c r="J2326" s="36">
        <v>0.06</v>
      </c>
    </row>
    <row r="2327" spans="2:10" x14ac:dyDescent="0.35">
      <c r="B2327" s="18" t="s">
        <v>3666</v>
      </c>
      <c r="C2327" s="19" t="s">
        <v>4194</v>
      </c>
      <c r="D2327" s="5" t="s">
        <v>8</v>
      </c>
      <c r="E2327" s="19" t="s">
        <v>5484</v>
      </c>
      <c r="F2327" s="34" t="s">
        <v>3574</v>
      </c>
      <c r="G2327" s="27">
        <v>18.440000000000001</v>
      </c>
      <c r="H2327" s="1" t="s">
        <v>774</v>
      </c>
      <c r="I2327" s="20">
        <v>1</v>
      </c>
      <c r="J2327" s="36">
        <v>0.06</v>
      </c>
    </row>
    <row r="2328" spans="2:10" x14ac:dyDescent="0.35">
      <c r="B2328" s="18" t="s">
        <v>3667</v>
      </c>
      <c r="C2328" s="19" t="s">
        <v>4194</v>
      </c>
      <c r="D2328" s="5" t="s">
        <v>8</v>
      </c>
      <c r="E2328" s="19" t="s">
        <v>5485</v>
      </c>
      <c r="F2328" s="34" t="s">
        <v>3574</v>
      </c>
      <c r="G2328" s="27">
        <v>17.89</v>
      </c>
      <c r="H2328" s="1" t="s">
        <v>774</v>
      </c>
      <c r="I2328" s="20">
        <v>1</v>
      </c>
      <c r="J2328" s="36">
        <v>0.06</v>
      </c>
    </row>
    <row r="2329" spans="2:10" x14ac:dyDescent="0.35">
      <c r="B2329" s="18">
        <v>800002289</v>
      </c>
      <c r="C2329" s="19" t="s">
        <v>4319</v>
      </c>
      <c r="D2329" s="5" t="s">
        <v>8</v>
      </c>
      <c r="E2329" s="19" t="s">
        <v>5486</v>
      </c>
      <c r="F2329" s="34" t="s">
        <v>3574</v>
      </c>
      <c r="G2329" s="27">
        <v>24.04</v>
      </c>
      <c r="H2329" s="1" t="s">
        <v>774</v>
      </c>
      <c r="I2329" s="20">
        <v>1</v>
      </c>
      <c r="J2329" s="36">
        <v>0.06</v>
      </c>
    </row>
    <row r="2330" spans="2:10" x14ac:dyDescent="0.35">
      <c r="B2330" s="18" t="s">
        <v>3668</v>
      </c>
      <c r="C2330" s="19" t="s">
        <v>4194</v>
      </c>
      <c r="D2330" s="5" t="s">
        <v>8</v>
      </c>
      <c r="E2330" s="19" t="s">
        <v>5487</v>
      </c>
      <c r="F2330" s="34" t="s">
        <v>3574</v>
      </c>
      <c r="G2330" s="27">
        <v>24.17</v>
      </c>
      <c r="H2330" s="1" t="s">
        <v>774</v>
      </c>
      <c r="I2330" s="20">
        <v>1</v>
      </c>
      <c r="J2330" s="36">
        <v>0.06</v>
      </c>
    </row>
    <row r="2331" spans="2:10" x14ac:dyDescent="0.35">
      <c r="B2331" s="18">
        <v>3601443</v>
      </c>
      <c r="C2331" s="19" t="s">
        <v>4320</v>
      </c>
      <c r="D2331" s="5" t="s">
        <v>8</v>
      </c>
      <c r="E2331" s="19" t="s">
        <v>5488</v>
      </c>
      <c r="F2331" s="34" t="s">
        <v>3574</v>
      </c>
      <c r="G2331" s="27">
        <v>34.01</v>
      </c>
      <c r="H2331" s="1" t="s">
        <v>774</v>
      </c>
      <c r="I2331" s="20">
        <v>1</v>
      </c>
      <c r="J2331" s="36">
        <v>0.06</v>
      </c>
    </row>
    <row r="2332" spans="2:10" x14ac:dyDescent="0.35">
      <c r="B2332" s="18" t="s">
        <v>3669</v>
      </c>
      <c r="C2332" s="19" t="s">
        <v>4275</v>
      </c>
      <c r="D2332" s="5" t="s">
        <v>8</v>
      </c>
      <c r="E2332" s="19" t="s">
        <v>5489</v>
      </c>
      <c r="F2332" s="34" t="s">
        <v>3574</v>
      </c>
      <c r="G2332" s="27">
        <v>26.68</v>
      </c>
      <c r="H2332" s="1" t="s">
        <v>774</v>
      </c>
      <c r="I2332" s="20">
        <v>1</v>
      </c>
      <c r="J2332" s="36">
        <v>0.06</v>
      </c>
    </row>
    <row r="2333" spans="2:10" x14ac:dyDescent="0.35">
      <c r="B2333" s="18" t="s">
        <v>3670</v>
      </c>
      <c r="C2333" s="19" t="s">
        <v>4316</v>
      </c>
      <c r="D2333" s="5" t="s">
        <v>8</v>
      </c>
      <c r="E2333" s="19" t="s">
        <v>5490</v>
      </c>
      <c r="F2333" s="34" t="s">
        <v>3574</v>
      </c>
      <c r="G2333" s="27">
        <v>29.69</v>
      </c>
      <c r="H2333" s="1" t="s">
        <v>774</v>
      </c>
      <c r="I2333" s="20">
        <v>1</v>
      </c>
      <c r="J2333" s="36">
        <v>0.06</v>
      </c>
    </row>
    <row r="2334" spans="2:10" x14ac:dyDescent="0.35">
      <c r="B2334" s="18">
        <v>1361116</v>
      </c>
      <c r="C2334" s="19" t="s">
        <v>4321</v>
      </c>
      <c r="D2334" s="5" t="s">
        <v>8</v>
      </c>
      <c r="E2334" s="19" t="s">
        <v>5491</v>
      </c>
      <c r="F2334" s="34" t="s">
        <v>3574</v>
      </c>
      <c r="G2334" s="27">
        <v>63.72</v>
      </c>
      <c r="H2334" s="1" t="s">
        <v>774</v>
      </c>
      <c r="I2334" s="20">
        <v>1</v>
      </c>
      <c r="J2334" s="36">
        <v>0.06</v>
      </c>
    </row>
    <row r="2335" spans="2:10" x14ac:dyDescent="0.35">
      <c r="B2335" s="18">
        <v>1301051</v>
      </c>
      <c r="C2335" s="19" t="s">
        <v>4322</v>
      </c>
      <c r="D2335" s="5" t="s">
        <v>8</v>
      </c>
      <c r="E2335" s="19" t="s">
        <v>5492</v>
      </c>
      <c r="F2335" s="34" t="s">
        <v>3574</v>
      </c>
      <c r="G2335" s="27">
        <v>246.88</v>
      </c>
      <c r="H2335" s="1" t="s">
        <v>774</v>
      </c>
      <c r="I2335" s="20">
        <v>1</v>
      </c>
      <c r="J2335" s="36">
        <v>0.06</v>
      </c>
    </row>
    <row r="2336" spans="2:10" x14ac:dyDescent="0.35">
      <c r="B2336" s="18" t="s">
        <v>3671</v>
      </c>
      <c r="C2336" s="19" t="s">
        <v>4323</v>
      </c>
      <c r="D2336" s="5" t="s">
        <v>8</v>
      </c>
      <c r="E2336" s="19" t="s">
        <v>5493</v>
      </c>
      <c r="F2336" s="34" t="s">
        <v>3574</v>
      </c>
      <c r="G2336" s="27">
        <v>49.63</v>
      </c>
      <c r="H2336" s="1" t="s">
        <v>774</v>
      </c>
      <c r="I2336" s="20">
        <v>1</v>
      </c>
      <c r="J2336" s="36">
        <v>0.06</v>
      </c>
    </row>
    <row r="2337" spans="2:10" x14ac:dyDescent="0.35">
      <c r="B2337" s="18" t="s">
        <v>3672</v>
      </c>
      <c r="C2337" s="19" t="s">
        <v>4324</v>
      </c>
      <c r="D2337" s="5" t="s">
        <v>8</v>
      </c>
      <c r="E2337" s="19" t="s">
        <v>5494</v>
      </c>
      <c r="F2337" s="34" t="s">
        <v>3574</v>
      </c>
      <c r="G2337" s="27">
        <v>82.41</v>
      </c>
      <c r="H2337" s="1" t="s">
        <v>774</v>
      </c>
      <c r="I2337" s="20">
        <v>1</v>
      </c>
      <c r="J2337" s="36">
        <v>0.06</v>
      </c>
    </row>
    <row r="2338" spans="2:10" x14ac:dyDescent="0.35">
      <c r="B2338" s="18">
        <v>3603046</v>
      </c>
      <c r="C2338" s="19" t="s">
        <v>4325</v>
      </c>
      <c r="D2338" s="5" t="s">
        <v>8</v>
      </c>
      <c r="E2338" s="19" t="s">
        <v>5495</v>
      </c>
      <c r="F2338" s="34" t="s">
        <v>3574</v>
      </c>
      <c r="G2338" s="27">
        <v>109.3</v>
      </c>
      <c r="H2338" s="1" t="s">
        <v>774</v>
      </c>
      <c r="I2338" s="20">
        <v>1</v>
      </c>
      <c r="J2338" s="36">
        <v>0.06</v>
      </c>
    </row>
    <row r="2339" spans="2:10" x14ac:dyDescent="0.35">
      <c r="B2339" s="18" t="s">
        <v>3673</v>
      </c>
      <c r="C2339" s="19" t="s">
        <v>4326</v>
      </c>
      <c r="D2339" s="5" t="s">
        <v>8</v>
      </c>
      <c r="E2339" s="19" t="s">
        <v>5496</v>
      </c>
      <c r="F2339" s="34" t="s">
        <v>3574</v>
      </c>
      <c r="G2339" s="27">
        <v>3.66</v>
      </c>
      <c r="H2339" s="1" t="s">
        <v>774</v>
      </c>
      <c r="I2339" s="20">
        <v>1</v>
      </c>
      <c r="J2339" s="36">
        <v>0.06</v>
      </c>
    </row>
    <row r="2340" spans="2:10" x14ac:dyDescent="0.35">
      <c r="B2340" s="18">
        <v>1321027</v>
      </c>
      <c r="C2340" s="19" t="s">
        <v>4327</v>
      </c>
      <c r="D2340" s="5" t="s">
        <v>8</v>
      </c>
      <c r="E2340" s="19" t="s">
        <v>5497</v>
      </c>
      <c r="F2340" s="34" t="s">
        <v>3574</v>
      </c>
      <c r="G2340" s="27">
        <v>60.14</v>
      </c>
      <c r="H2340" s="1" t="s">
        <v>774</v>
      </c>
      <c r="I2340" s="20">
        <v>1</v>
      </c>
      <c r="J2340" s="36">
        <v>0.06</v>
      </c>
    </row>
    <row r="2341" spans="2:10" x14ac:dyDescent="0.35">
      <c r="B2341" s="18">
        <v>3602645</v>
      </c>
      <c r="C2341" s="19" t="s">
        <v>4328</v>
      </c>
      <c r="D2341" s="5" t="s">
        <v>8</v>
      </c>
      <c r="E2341" s="19" t="s">
        <v>5498</v>
      </c>
      <c r="F2341" s="34" t="s">
        <v>3574</v>
      </c>
      <c r="G2341" s="27">
        <v>193.47</v>
      </c>
      <c r="H2341" s="1" t="s">
        <v>774</v>
      </c>
      <c r="I2341" s="20">
        <v>1</v>
      </c>
      <c r="J2341" s="36">
        <v>0.06</v>
      </c>
    </row>
    <row r="2342" spans="2:10" x14ac:dyDescent="0.35">
      <c r="B2342" s="18" t="s">
        <v>3674</v>
      </c>
      <c r="C2342" s="19" t="s">
        <v>4329</v>
      </c>
      <c r="D2342" s="5" t="s">
        <v>8</v>
      </c>
      <c r="E2342" s="19" t="s">
        <v>5499</v>
      </c>
      <c r="F2342" s="34" t="s">
        <v>3574</v>
      </c>
      <c r="G2342" s="27">
        <v>4.3600000000000003</v>
      </c>
      <c r="H2342" s="1" t="s">
        <v>774</v>
      </c>
      <c r="I2342" s="20">
        <v>1</v>
      </c>
      <c r="J2342" s="36">
        <v>0.06</v>
      </c>
    </row>
    <row r="2343" spans="2:10" x14ac:dyDescent="0.35">
      <c r="B2343" s="18">
        <v>2002225</v>
      </c>
      <c r="C2343" s="19" t="s">
        <v>4330</v>
      </c>
      <c r="D2343" s="5" t="s">
        <v>8</v>
      </c>
      <c r="E2343" s="19" t="s">
        <v>5500</v>
      </c>
      <c r="F2343" s="34" t="s">
        <v>3574</v>
      </c>
      <c r="G2343" s="27">
        <v>4.1900000000000004</v>
      </c>
      <c r="H2343" s="1" t="s">
        <v>774</v>
      </c>
      <c r="I2343" s="20">
        <v>1</v>
      </c>
      <c r="J2343" s="36">
        <v>0.06</v>
      </c>
    </row>
    <row r="2344" spans="2:10" x14ac:dyDescent="0.35">
      <c r="B2344" s="18" t="s">
        <v>3675</v>
      </c>
      <c r="C2344" s="19" t="s">
        <v>4331</v>
      </c>
      <c r="D2344" s="5" t="s">
        <v>8</v>
      </c>
      <c r="E2344" s="19" t="s">
        <v>5501</v>
      </c>
      <c r="F2344" s="34" t="s">
        <v>3574</v>
      </c>
      <c r="G2344" s="27">
        <v>4.3600000000000003</v>
      </c>
      <c r="H2344" s="1" t="s">
        <v>774</v>
      </c>
      <c r="I2344" s="20">
        <v>1</v>
      </c>
      <c r="J2344" s="36">
        <v>0.06</v>
      </c>
    </row>
    <row r="2345" spans="2:10" x14ac:dyDescent="0.35">
      <c r="B2345" s="18" t="s">
        <v>3676</v>
      </c>
      <c r="C2345" s="19" t="s">
        <v>4332</v>
      </c>
      <c r="D2345" s="5" t="s">
        <v>8</v>
      </c>
      <c r="E2345" s="19" t="s">
        <v>5502</v>
      </c>
      <c r="F2345" s="34" t="s">
        <v>3574</v>
      </c>
      <c r="G2345" s="27">
        <v>5.34</v>
      </c>
      <c r="H2345" s="1" t="s">
        <v>774</v>
      </c>
      <c r="I2345" s="20">
        <v>1</v>
      </c>
      <c r="J2345" s="36">
        <v>0.06</v>
      </c>
    </row>
    <row r="2346" spans="2:10" x14ac:dyDescent="0.35">
      <c r="B2346" s="18" t="s">
        <v>3677</v>
      </c>
      <c r="C2346" s="19" t="s">
        <v>4333</v>
      </c>
      <c r="D2346" s="5" t="s">
        <v>8</v>
      </c>
      <c r="E2346" s="19" t="s">
        <v>5503</v>
      </c>
      <c r="F2346" s="34" t="s">
        <v>3574</v>
      </c>
      <c r="G2346" s="27">
        <v>6.75</v>
      </c>
      <c r="H2346" s="1" t="s">
        <v>774</v>
      </c>
      <c r="I2346" s="20">
        <v>1</v>
      </c>
      <c r="J2346" s="36">
        <v>0.06</v>
      </c>
    </row>
    <row r="2347" spans="2:10" x14ac:dyDescent="0.35">
      <c r="B2347" s="18">
        <v>1325001</v>
      </c>
      <c r="C2347" s="19" t="s">
        <v>4334</v>
      </c>
      <c r="D2347" s="5" t="s">
        <v>8</v>
      </c>
      <c r="E2347" s="19" t="s">
        <v>5504</v>
      </c>
      <c r="F2347" s="34" t="s">
        <v>3574</v>
      </c>
      <c r="G2347" s="27">
        <v>3.52</v>
      </c>
      <c r="H2347" s="1" t="s">
        <v>774</v>
      </c>
      <c r="I2347" s="20">
        <v>1</v>
      </c>
      <c r="J2347" s="36">
        <v>0.06</v>
      </c>
    </row>
    <row r="2348" spans="2:10" x14ac:dyDescent="0.35">
      <c r="B2348" s="18">
        <v>4020045</v>
      </c>
      <c r="C2348" s="19" t="s">
        <v>102</v>
      </c>
      <c r="D2348" s="5" t="s">
        <v>8</v>
      </c>
      <c r="E2348" s="19" t="s">
        <v>5505</v>
      </c>
      <c r="F2348" s="34" t="s">
        <v>3574</v>
      </c>
      <c r="G2348" s="27">
        <v>1.28</v>
      </c>
      <c r="H2348" s="1" t="s">
        <v>774</v>
      </c>
      <c r="I2348" s="20">
        <v>1</v>
      </c>
      <c r="J2348" s="36">
        <v>0.06</v>
      </c>
    </row>
    <row r="2349" spans="2:10" x14ac:dyDescent="0.35">
      <c r="B2349" s="18" t="s">
        <v>3678</v>
      </c>
      <c r="C2349" s="19" t="s">
        <v>4335</v>
      </c>
      <c r="D2349" s="5" t="s">
        <v>8</v>
      </c>
      <c r="E2349" s="19" t="s">
        <v>5506</v>
      </c>
      <c r="F2349" s="34" t="s">
        <v>3574</v>
      </c>
      <c r="G2349" s="27">
        <v>20.239999999999998</v>
      </c>
      <c r="H2349" s="1" t="s">
        <v>774</v>
      </c>
      <c r="I2349" s="20">
        <v>1</v>
      </c>
      <c r="J2349" s="36">
        <v>0.06</v>
      </c>
    </row>
    <row r="2350" spans="2:10" x14ac:dyDescent="0.35">
      <c r="B2350" s="18" t="s">
        <v>3679</v>
      </c>
      <c r="C2350" s="19" t="s">
        <v>4336</v>
      </c>
      <c r="D2350" s="5" t="s">
        <v>8</v>
      </c>
      <c r="E2350" s="19" t="s">
        <v>5507</v>
      </c>
      <c r="F2350" s="34" t="s">
        <v>3574</v>
      </c>
      <c r="G2350" s="27">
        <v>4.18</v>
      </c>
      <c r="H2350" s="1" t="s">
        <v>774</v>
      </c>
      <c r="I2350" s="20">
        <v>1</v>
      </c>
      <c r="J2350" s="36">
        <v>0.06</v>
      </c>
    </row>
    <row r="2351" spans="2:10" x14ac:dyDescent="0.35">
      <c r="B2351" s="18" t="s">
        <v>3680</v>
      </c>
      <c r="C2351" s="19" t="s">
        <v>4337</v>
      </c>
      <c r="D2351" s="5" t="s">
        <v>8</v>
      </c>
      <c r="E2351" s="19" t="s">
        <v>5508</v>
      </c>
      <c r="F2351" s="34" t="s">
        <v>3574</v>
      </c>
      <c r="G2351" s="27">
        <v>6.13</v>
      </c>
      <c r="H2351" s="1" t="s">
        <v>774</v>
      </c>
      <c r="I2351" s="20">
        <v>1</v>
      </c>
      <c r="J2351" s="36">
        <v>0.06</v>
      </c>
    </row>
    <row r="2352" spans="2:10" x14ac:dyDescent="0.35">
      <c r="B2352" s="18" t="s">
        <v>3681</v>
      </c>
      <c r="C2352" s="19" t="s">
        <v>4337</v>
      </c>
      <c r="D2352" s="5" t="s">
        <v>8</v>
      </c>
      <c r="E2352" s="19" t="s">
        <v>5509</v>
      </c>
      <c r="F2352" s="34" t="s">
        <v>3574</v>
      </c>
      <c r="G2352" s="27">
        <v>6.13</v>
      </c>
      <c r="H2352" s="1" t="s">
        <v>774</v>
      </c>
      <c r="I2352" s="20">
        <v>1</v>
      </c>
      <c r="J2352" s="36">
        <v>0.06</v>
      </c>
    </row>
    <row r="2353" spans="2:10" x14ac:dyDescent="0.35">
      <c r="B2353" s="18" t="s">
        <v>3682</v>
      </c>
      <c r="C2353" s="19" t="s">
        <v>4338</v>
      </c>
      <c r="D2353" s="5" t="s">
        <v>8</v>
      </c>
      <c r="E2353" s="19" t="s">
        <v>5510</v>
      </c>
      <c r="F2353" s="34" t="s">
        <v>3574</v>
      </c>
      <c r="G2353" s="27">
        <v>6.13</v>
      </c>
      <c r="H2353" s="1" t="s">
        <v>774</v>
      </c>
      <c r="I2353" s="20">
        <v>1</v>
      </c>
      <c r="J2353" s="36">
        <v>0.06</v>
      </c>
    </row>
    <row r="2354" spans="2:10" x14ac:dyDescent="0.35">
      <c r="B2354" s="18">
        <v>1411641</v>
      </c>
      <c r="C2354" s="19" t="s">
        <v>4339</v>
      </c>
      <c r="D2354" s="5" t="s">
        <v>8</v>
      </c>
      <c r="E2354" s="19" t="s">
        <v>5511</v>
      </c>
      <c r="F2354" s="34" t="s">
        <v>3574</v>
      </c>
      <c r="G2354" s="27">
        <v>4.18</v>
      </c>
      <c r="H2354" s="1" t="s">
        <v>774</v>
      </c>
      <c r="I2354" s="20">
        <v>1</v>
      </c>
      <c r="J2354" s="36">
        <v>0.06</v>
      </c>
    </row>
    <row r="2355" spans="2:10" x14ac:dyDescent="0.35">
      <c r="B2355" s="18" t="s">
        <v>3683</v>
      </c>
      <c r="C2355" s="19" t="s">
        <v>4340</v>
      </c>
      <c r="D2355" s="5" t="s">
        <v>8</v>
      </c>
      <c r="E2355" s="19" t="s">
        <v>5512</v>
      </c>
      <c r="F2355" s="34" t="s">
        <v>3574</v>
      </c>
      <c r="G2355" s="27">
        <v>6.99</v>
      </c>
      <c r="H2355" s="1" t="s">
        <v>774</v>
      </c>
      <c r="I2355" s="20">
        <v>1</v>
      </c>
      <c r="J2355" s="36">
        <v>0.06</v>
      </c>
    </row>
    <row r="2356" spans="2:10" x14ac:dyDescent="0.35">
      <c r="B2356" s="18">
        <v>1250080</v>
      </c>
      <c r="C2356" s="19" t="s">
        <v>4341</v>
      </c>
      <c r="D2356" s="5" t="s">
        <v>8</v>
      </c>
      <c r="E2356" s="19" t="s">
        <v>5513</v>
      </c>
      <c r="F2356" s="34" t="s">
        <v>3574</v>
      </c>
      <c r="G2356" s="27">
        <v>7.25</v>
      </c>
      <c r="H2356" s="1" t="s">
        <v>774</v>
      </c>
      <c r="I2356" s="20">
        <v>1</v>
      </c>
      <c r="J2356" s="36">
        <v>0.06</v>
      </c>
    </row>
    <row r="2357" spans="2:10" x14ac:dyDescent="0.35">
      <c r="B2357" s="18">
        <v>3604577</v>
      </c>
      <c r="C2357" s="19" t="s">
        <v>4342</v>
      </c>
      <c r="D2357" s="5" t="s">
        <v>8</v>
      </c>
      <c r="E2357" s="19" t="s">
        <v>5514</v>
      </c>
      <c r="F2357" s="34" t="s">
        <v>3574</v>
      </c>
      <c r="G2357" s="27">
        <v>21.47</v>
      </c>
      <c r="H2357" s="1" t="s">
        <v>774</v>
      </c>
      <c r="I2357" s="20">
        <v>1</v>
      </c>
      <c r="J2357" s="36">
        <v>0.06</v>
      </c>
    </row>
    <row r="2358" spans="2:10" x14ac:dyDescent="0.35">
      <c r="B2358" s="18">
        <v>800002697</v>
      </c>
      <c r="C2358" s="19" t="s">
        <v>4343</v>
      </c>
      <c r="D2358" s="5" t="s">
        <v>8</v>
      </c>
      <c r="E2358" s="19" t="s">
        <v>5515</v>
      </c>
      <c r="F2358" s="34" t="s">
        <v>3574</v>
      </c>
      <c r="G2358" s="27">
        <v>3.09</v>
      </c>
      <c r="H2358" s="1" t="s">
        <v>774</v>
      </c>
      <c r="I2358" s="20">
        <v>1</v>
      </c>
      <c r="J2358" s="36">
        <v>0.06</v>
      </c>
    </row>
    <row r="2359" spans="2:10" x14ac:dyDescent="0.35">
      <c r="B2359" s="18">
        <v>4001174</v>
      </c>
      <c r="C2359" s="19" t="s">
        <v>4344</v>
      </c>
      <c r="D2359" s="5" t="s">
        <v>8</v>
      </c>
      <c r="E2359" s="19" t="s">
        <v>5516</v>
      </c>
      <c r="F2359" s="34" t="s">
        <v>3574</v>
      </c>
      <c r="G2359" s="27">
        <v>4.4400000000000004</v>
      </c>
      <c r="H2359" s="1" t="s">
        <v>774</v>
      </c>
      <c r="I2359" s="20">
        <v>1</v>
      </c>
      <c r="J2359" s="36">
        <v>0.06</v>
      </c>
    </row>
    <row r="2360" spans="2:10" x14ac:dyDescent="0.35">
      <c r="B2360" s="18">
        <v>4001351</v>
      </c>
      <c r="C2360" s="19" t="s">
        <v>4345</v>
      </c>
      <c r="D2360" s="5" t="s">
        <v>8</v>
      </c>
      <c r="E2360" s="19" t="s">
        <v>5517</v>
      </c>
      <c r="F2360" s="34" t="s">
        <v>3574</v>
      </c>
      <c r="G2360" s="27">
        <v>1.89</v>
      </c>
      <c r="H2360" s="1" t="s">
        <v>774</v>
      </c>
      <c r="I2360" s="20">
        <v>1</v>
      </c>
      <c r="J2360" s="36">
        <v>0.06</v>
      </c>
    </row>
    <row r="2361" spans="2:10" x14ac:dyDescent="0.35">
      <c r="B2361" s="18">
        <v>4001352</v>
      </c>
      <c r="C2361" s="19" t="s">
        <v>4346</v>
      </c>
      <c r="D2361" s="5" t="s">
        <v>8</v>
      </c>
      <c r="E2361" s="19" t="s">
        <v>5518</v>
      </c>
      <c r="F2361" s="34" t="s">
        <v>3574</v>
      </c>
      <c r="G2361" s="27">
        <v>5.7</v>
      </c>
      <c r="H2361" s="1" t="s">
        <v>774</v>
      </c>
      <c r="I2361" s="20">
        <v>1</v>
      </c>
      <c r="J2361" s="36">
        <v>0.06</v>
      </c>
    </row>
    <row r="2362" spans="2:10" x14ac:dyDescent="0.35">
      <c r="B2362" s="18">
        <v>1308011</v>
      </c>
      <c r="C2362" s="19" t="s">
        <v>4347</v>
      </c>
      <c r="D2362" s="5" t="s">
        <v>8</v>
      </c>
      <c r="E2362" s="19" t="s">
        <v>5519</v>
      </c>
      <c r="F2362" s="34" t="s">
        <v>3574</v>
      </c>
      <c r="G2362" s="27">
        <v>7.6</v>
      </c>
      <c r="H2362" s="1" t="s">
        <v>774</v>
      </c>
      <c r="I2362" s="20">
        <v>1</v>
      </c>
      <c r="J2362" s="36">
        <v>0.06</v>
      </c>
    </row>
    <row r="2363" spans="2:10" x14ac:dyDescent="0.35">
      <c r="B2363" s="18" t="s">
        <v>3684</v>
      </c>
      <c r="C2363" s="19" t="s">
        <v>4348</v>
      </c>
      <c r="D2363" s="5" t="s">
        <v>8</v>
      </c>
      <c r="E2363" s="19" t="s">
        <v>5520</v>
      </c>
      <c r="F2363" s="34" t="s">
        <v>3574</v>
      </c>
      <c r="G2363" s="27">
        <v>6.4</v>
      </c>
      <c r="H2363" s="1" t="s">
        <v>774</v>
      </c>
      <c r="I2363" s="20">
        <v>1</v>
      </c>
      <c r="J2363" s="36">
        <v>0.06</v>
      </c>
    </row>
    <row r="2364" spans="2:10" x14ac:dyDescent="0.35">
      <c r="B2364" s="18" t="s">
        <v>3685</v>
      </c>
      <c r="C2364" s="19" t="s">
        <v>4348</v>
      </c>
      <c r="D2364" s="5" t="s">
        <v>8</v>
      </c>
      <c r="E2364" s="19" t="s">
        <v>5521</v>
      </c>
      <c r="F2364" s="34" t="s">
        <v>3574</v>
      </c>
      <c r="G2364" s="27">
        <v>6.49</v>
      </c>
      <c r="H2364" s="1" t="s">
        <v>774</v>
      </c>
      <c r="I2364" s="20">
        <v>1</v>
      </c>
      <c r="J2364" s="36">
        <v>0.06</v>
      </c>
    </row>
    <row r="2365" spans="2:10" x14ac:dyDescent="0.35">
      <c r="B2365" s="18">
        <v>1202206</v>
      </c>
      <c r="C2365" s="19" t="s">
        <v>4349</v>
      </c>
      <c r="D2365" s="5" t="s">
        <v>8</v>
      </c>
      <c r="E2365" s="19" t="s">
        <v>5522</v>
      </c>
      <c r="F2365" s="34" t="s">
        <v>3574</v>
      </c>
      <c r="G2365" s="27">
        <v>6.87</v>
      </c>
      <c r="H2365" s="1" t="s">
        <v>774</v>
      </c>
      <c r="I2365" s="20">
        <v>1</v>
      </c>
      <c r="J2365" s="36">
        <v>0.06</v>
      </c>
    </row>
    <row r="2366" spans="2:10" x14ac:dyDescent="0.35">
      <c r="B2366" s="18" t="s">
        <v>3686</v>
      </c>
      <c r="C2366" s="19" t="s">
        <v>4350</v>
      </c>
      <c r="D2366" s="5" t="s">
        <v>8</v>
      </c>
      <c r="E2366" s="19" t="s">
        <v>5523</v>
      </c>
      <c r="F2366" s="34" t="s">
        <v>3574</v>
      </c>
      <c r="G2366" s="27">
        <v>148.05000000000001</v>
      </c>
      <c r="H2366" s="1" t="s">
        <v>774</v>
      </c>
      <c r="I2366" s="20">
        <v>1</v>
      </c>
      <c r="J2366" s="36">
        <v>0.06</v>
      </c>
    </row>
    <row r="2367" spans="2:10" x14ac:dyDescent="0.35">
      <c r="B2367" s="18">
        <v>1130292</v>
      </c>
      <c r="C2367" s="19" t="s">
        <v>4351</v>
      </c>
      <c r="D2367" s="5" t="s">
        <v>8</v>
      </c>
      <c r="E2367" s="19" t="s">
        <v>5524</v>
      </c>
      <c r="F2367" s="34" t="s">
        <v>3574</v>
      </c>
      <c r="G2367" s="27">
        <v>14.33</v>
      </c>
      <c r="H2367" s="1" t="s">
        <v>774</v>
      </c>
      <c r="I2367" s="20">
        <v>1</v>
      </c>
      <c r="J2367" s="36">
        <v>0.06</v>
      </c>
    </row>
    <row r="2368" spans="2:10" x14ac:dyDescent="0.35">
      <c r="B2368" s="18" t="s">
        <v>3687</v>
      </c>
      <c r="C2368" s="19" t="s">
        <v>4352</v>
      </c>
      <c r="D2368" s="5" t="s">
        <v>8</v>
      </c>
      <c r="E2368" s="19" t="s">
        <v>5525</v>
      </c>
      <c r="F2368" s="34" t="s">
        <v>3574</v>
      </c>
      <c r="G2368" s="27">
        <v>304.73</v>
      </c>
      <c r="H2368" s="1" t="s">
        <v>774</v>
      </c>
      <c r="I2368" s="20">
        <v>1</v>
      </c>
      <c r="J2368" s="36">
        <v>0.06</v>
      </c>
    </row>
    <row r="2369" spans="2:10" x14ac:dyDescent="0.35">
      <c r="B2369" s="18" t="s">
        <v>3688</v>
      </c>
      <c r="C2369" s="19" t="s">
        <v>4353</v>
      </c>
      <c r="D2369" s="5" t="s">
        <v>8</v>
      </c>
      <c r="E2369" s="19" t="s">
        <v>5526</v>
      </c>
      <c r="F2369" s="34" t="s">
        <v>3574</v>
      </c>
      <c r="G2369" s="27">
        <v>59.38</v>
      </c>
      <c r="H2369" s="1" t="s">
        <v>774</v>
      </c>
      <c r="I2369" s="20">
        <v>1</v>
      </c>
      <c r="J2369" s="36">
        <v>0.06</v>
      </c>
    </row>
    <row r="2370" spans="2:10" x14ac:dyDescent="0.35">
      <c r="B2370" s="18" t="s">
        <v>3689</v>
      </c>
      <c r="C2370" s="19" t="s">
        <v>4353</v>
      </c>
      <c r="D2370" s="5" t="s">
        <v>8</v>
      </c>
      <c r="E2370" s="19" t="s">
        <v>5527</v>
      </c>
      <c r="F2370" s="34" t="s">
        <v>3574</v>
      </c>
      <c r="G2370" s="27">
        <v>57.27</v>
      </c>
      <c r="H2370" s="1" t="s">
        <v>774</v>
      </c>
      <c r="I2370" s="20">
        <v>1</v>
      </c>
      <c r="J2370" s="36">
        <v>0.06</v>
      </c>
    </row>
    <row r="2371" spans="2:10" x14ac:dyDescent="0.35">
      <c r="B2371" s="18">
        <v>1261752</v>
      </c>
      <c r="C2371" s="19" t="s">
        <v>4354</v>
      </c>
      <c r="D2371" s="5" t="s">
        <v>8</v>
      </c>
      <c r="E2371" s="19" t="s">
        <v>5528</v>
      </c>
      <c r="F2371" s="34" t="s">
        <v>3574</v>
      </c>
      <c r="G2371" s="27">
        <v>76.540000000000006</v>
      </c>
      <c r="H2371" s="1" t="s">
        <v>774</v>
      </c>
      <c r="I2371" s="20">
        <v>1</v>
      </c>
      <c r="J2371" s="36">
        <v>0.06</v>
      </c>
    </row>
    <row r="2372" spans="2:10" x14ac:dyDescent="0.35">
      <c r="B2372" s="18" t="s">
        <v>3690</v>
      </c>
      <c r="C2372" s="19" t="s">
        <v>4348</v>
      </c>
      <c r="D2372" s="5" t="s">
        <v>8</v>
      </c>
      <c r="E2372" s="19" t="s">
        <v>5529</v>
      </c>
      <c r="F2372" s="34" t="s">
        <v>3574</v>
      </c>
      <c r="G2372" s="27">
        <v>43.61</v>
      </c>
      <c r="H2372" s="1" t="s">
        <v>774</v>
      </c>
      <c r="I2372" s="20">
        <v>1</v>
      </c>
      <c r="J2372" s="36">
        <v>0.06</v>
      </c>
    </row>
    <row r="2373" spans="2:10" x14ac:dyDescent="0.35">
      <c r="B2373" s="18" t="s">
        <v>3691</v>
      </c>
      <c r="C2373" s="19" t="s">
        <v>4353</v>
      </c>
      <c r="D2373" s="5" t="s">
        <v>8</v>
      </c>
      <c r="E2373" s="19" t="s">
        <v>5530</v>
      </c>
      <c r="F2373" s="34" t="s">
        <v>3574</v>
      </c>
      <c r="G2373" s="27">
        <v>68</v>
      </c>
      <c r="H2373" s="1" t="s">
        <v>774</v>
      </c>
      <c r="I2373" s="20">
        <v>1</v>
      </c>
      <c r="J2373" s="36">
        <v>0.06</v>
      </c>
    </row>
    <row r="2374" spans="2:10" x14ac:dyDescent="0.35">
      <c r="B2374" s="18">
        <v>1586341</v>
      </c>
      <c r="C2374" s="19" t="s">
        <v>4355</v>
      </c>
      <c r="D2374" s="5" t="s">
        <v>8</v>
      </c>
      <c r="E2374" s="19" t="s">
        <v>5531</v>
      </c>
      <c r="F2374" s="34" t="s">
        <v>3574</v>
      </c>
      <c r="G2374" s="27">
        <v>140.30000000000001</v>
      </c>
      <c r="H2374" s="1" t="s">
        <v>774</v>
      </c>
      <c r="I2374" s="20">
        <v>1</v>
      </c>
      <c r="J2374" s="36">
        <v>0.06</v>
      </c>
    </row>
    <row r="2375" spans="2:10" x14ac:dyDescent="0.35">
      <c r="B2375" s="18">
        <v>1586284</v>
      </c>
      <c r="C2375" s="19" t="s">
        <v>4355</v>
      </c>
      <c r="D2375" s="5" t="s">
        <v>8</v>
      </c>
      <c r="E2375" s="19" t="s">
        <v>5532</v>
      </c>
      <c r="F2375" s="34" t="s">
        <v>3574</v>
      </c>
      <c r="G2375" s="27">
        <v>155.06</v>
      </c>
      <c r="H2375" s="1" t="s">
        <v>774</v>
      </c>
      <c r="I2375" s="20">
        <v>1</v>
      </c>
      <c r="J2375" s="36">
        <v>0.06</v>
      </c>
    </row>
    <row r="2376" spans="2:10" x14ac:dyDescent="0.35">
      <c r="B2376" s="18" t="s">
        <v>3692</v>
      </c>
      <c r="C2376" s="19" t="s">
        <v>4356</v>
      </c>
      <c r="D2376" s="5" t="s">
        <v>8</v>
      </c>
      <c r="E2376" s="19" t="s">
        <v>5533</v>
      </c>
      <c r="F2376" s="34" t="s">
        <v>3574</v>
      </c>
      <c r="G2376" s="27">
        <v>94.17</v>
      </c>
      <c r="H2376" s="1" t="s">
        <v>774</v>
      </c>
      <c r="I2376" s="20">
        <v>1</v>
      </c>
      <c r="J2376" s="36">
        <v>0.06</v>
      </c>
    </row>
    <row r="2377" spans="2:10" x14ac:dyDescent="0.35">
      <c r="B2377" s="18" t="s">
        <v>3693</v>
      </c>
      <c r="C2377" s="19" t="s">
        <v>4357</v>
      </c>
      <c r="D2377" s="5" t="s">
        <v>8</v>
      </c>
      <c r="E2377" s="19" t="s">
        <v>5534</v>
      </c>
      <c r="F2377" s="34" t="s">
        <v>3574</v>
      </c>
      <c r="G2377" s="27">
        <v>134.51999999999998</v>
      </c>
      <c r="H2377" s="1" t="s">
        <v>774</v>
      </c>
      <c r="I2377" s="20">
        <v>1</v>
      </c>
      <c r="J2377" s="36">
        <v>0.06</v>
      </c>
    </row>
    <row r="2378" spans="2:10" x14ac:dyDescent="0.35">
      <c r="B2378" s="18">
        <v>1202694</v>
      </c>
      <c r="C2378" s="19" t="s">
        <v>4358</v>
      </c>
      <c r="D2378" s="5" t="s">
        <v>8</v>
      </c>
      <c r="E2378" s="19" t="s">
        <v>5535</v>
      </c>
      <c r="F2378" s="34" t="s">
        <v>3574</v>
      </c>
      <c r="G2378" s="27">
        <v>74.790000000000006</v>
      </c>
      <c r="H2378" s="1" t="s">
        <v>774</v>
      </c>
      <c r="I2378" s="20">
        <v>1</v>
      </c>
      <c r="J2378" s="36">
        <v>0.06</v>
      </c>
    </row>
    <row r="2379" spans="2:10" x14ac:dyDescent="0.35">
      <c r="B2379" s="18" t="s">
        <v>3694</v>
      </c>
      <c r="C2379" s="19" t="s">
        <v>4353</v>
      </c>
      <c r="D2379" s="5" t="s">
        <v>8</v>
      </c>
      <c r="E2379" s="19" t="s">
        <v>5536</v>
      </c>
      <c r="F2379" s="34" t="s">
        <v>3574</v>
      </c>
      <c r="G2379" s="27">
        <v>54.47</v>
      </c>
      <c r="H2379" s="1" t="s">
        <v>774</v>
      </c>
      <c r="I2379" s="20">
        <v>1</v>
      </c>
      <c r="J2379" s="36">
        <v>0.06</v>
      </c>
    </row>
    <row r="2380" spans="2:10" x14ac:dyDescent="0.35">
      <c r="B2380" s="18" t="s">
        <v>3695</v>
      </c>
      <c r="C2380" s="19" t="s">
        <v>4353</v>
      </c>
      <c r="D2380" s="5" t="s">
        <v>8</v>
      </c>
      <c r="E2380" s="19" t="s">
        <v>5537</v>
      </c>
      <c r="F2380" s="34" t="s">
        <v>3574</v>
      </c>
      <c r="G2380" s="27">
        <v>55.98</v>
      </c>
      <c r="H2380" s="1" t="s">
        <v>774</v>
      </c>
      <c r="I2380" s="20">
        <v>1</v>
      </c>
      <c r="J2380" s="36">
        <v>0.06</v>
      </c>
    </row>
    <row r="2381" spans="2:10" x14ac:dyDescent="0.35">
      <c r="B2381" s="18" t="s">
        <v>3696</v>
      </c>
      <c r="C2381" s="19" t="s">
        <v>4350</v>
      </c>
      <c r="D2381" s="5" t="s">
        <v>8</v>
      </c>
      <c r="E2381" s="19" t="s">
        <v>5538</v>
      </c>
      <c r="F2381" s="34" t="s">
        <v>3574</v>
      </c>
      <c r="G2381" s="27">
        <v>77.010000000000005</v>
      </c>
      <c r="H2381" s="1" t="s">
        <v>774</v>
      </c>
      <c r="I2381" s="20">
        <v>1</v>
      </c>
      <c r="J2381" s="36">
        <v>0.06</v>
      </c>
    </row>
    <row r="2382" spans="2:10" x14ac:dyDescent="0.35">
      <c r="B2382" s="18">
        <v>1260262</v>
      </c>
      <c r="C2382" s="19" t="s">
        <v>4359</v>
      </c>
      <c r="D2382" s="5" t="s">
        <v>8</v>
      </c>
      <c r="E2382" s="19" t="s">
        <v>5539</v>
      </c>
      <c r="F2382" s="34" t="s">
        <v>3574</v>
      </c>
      <c r="G2382" s="27">
        <v>55.17</v>
      </c>
      <c r="H2382" s="1" t="s">
        <v>774</v>
      </c>
      <c r="I2382" s="20">
        <v>1</v>
      </c>
      <c r="J2382" s="36">
        <v>0.06</v>
      </c>
    </row>
    <row r="2383" spans="2:10" x14ac:dyDescent="0.35">
      <c r="B2383" s="18" t="s">
        <v>3697</v>
      </c>
      <c r="C2383" s="19" t="s">
        <v>4353</v>
      </c>
      <c r="D2383" s="5" t="s">
        <v>8</v>
      </c>
      <c r="E2383" s="19" t="s">
        <v>5540</v>
      </c>
      <c r="F2383" s="34" t="s">
        <v>3574</v>
      </c>
      <c r="G2383" s="27">
        <v>55.17</v>
      </c>
      <c r="H2383" s="1" t="s">
        <v>774</v>
      </c>
      <c r="I2383" s="20">
        <v>1</v>
      </c>
      <c r="J2383" s="36">
        <v>0.06</v>
      </c>
    </row>
    <row r="2384" spans="2:10" x14ac:dyDescent="0.35">
      <c r="B2384" s="18" t="s">
        <v>3698</v>
      </c>
      <c r="C2384" s="19" t="s">
        <v>4360</v>
      </c>
      <c r="D2384" s="5" t="s">
        <v>8</v>
      </c>
      <c r="E2384" s="19" t="s">
        <v>5541</v>
      </c>
      <c r="F2384" s="34" t="s">
        <v>3574</v>
      </c>
      <c r="G2384" s="27">
        <v>85.56</v>
      </c>
      <c r="H2384" s="1" t="s">
        <v>774</v>
      </c>
      <c r="I2384" s="20">
        <v>1</v>
      </c>
      <c r="J2384" s="36">
        <v>0.06</v>
      </c>
    </row>
    <row r="2385" spans="2:10" x14ac:dyDescent="0.35">
      <c r="B2385" s="18" t="s">
        <v>3699</v>
      </c>
      <c r="C2385" s="19" t="s">
        <v>4353</v>
      </c>
      <c r="D2385" s="5" t="s">
        <v>8</v>
      </c>
      <c r="E2385" s="19" t="s">
        <v>5542</v>
      </c>
      <c r="F2385" s="34" t="s">
        <v>3574</v>
      </c>
      <c r="G2385" s="27">
        <v>61.85</v>
      </c>
      <c r="H2385" s="1" t="s">
        <v>774</v>
      </c>
      <c r="I2385" s="20">
        <v>1</v>
      </c>
      <c r="J2385" s="36">
        <v>0.06</v>
      </c>
    </row>
    <row r="2386" spans="2:10" x14ac:dyDescent="0.35">
      <c r="B2386" s="18" t="s">
        <v>3700</v>
      </c>
      <c r="C2386" s="19" t="s">
        <v>4361</v>
      </c>
      <c r="D2386" s="5" t="s">
        <v>8</v>
      </c>
      <c r="E2386" s="19" t="s">
        <v>5543</v>
      </c>
      <c r="F2386" s="34" t="s">
        <v>3574</v>
      </c>
      <c r="G2386" s="27">
        <v>73.290000000000006</v>
      </c>
      <c r="H2386" s="1" t="s">
        <v>774</v>
      </c>
      <c r="I2386" s="20">
        <v>1</v>
      </c>
      <c r="J2386" s="36">
        <v>0.06</v>
      </c>
    </row>
    <row r="2387" spans="2:10" x14ac:dyDescent="0.35">
      <c r="B2387" s="18" t="s">
        <v>3701</v>
      </c>
      <c r="C2387" s="19" t="s">
        <v>4362</v>
      </c>
      <c r="D2387" s="5" t="s">
        <v>8</v>
      </c>
      <c r="E2387" s="19" t="s">
        <v>5544</v>
      </c>
      <c r="F2387" s="34" t="s">
        <v>3574</v>
      </c>
      <c r="G2387" s="27">
        <v>77.06</v>
      </c>
      <c r="H2387" s="1" t="s">
        <v>774</v>
      </c>
      <c r="I2387" s="20">
        <v>1</v>
      </c>
      <c r="J2387" s="36">
        <v>0.06</v>
      </c>
    </row>
    <row r="2388" spans="2:10" x14ac:dyDescent="0.35">
      <c r="B2388" s="18" t="s">
        <v>3702</v>
      </c>
      <c r="C2388" s="19" t="s">
        <v>4359</v>
      </c>
      <c r="D2388" s="5" t="s">
        <v>8</v>
      </c>
      <c r="E2388" s="19" t="s">
        <v>5545</v>
      </c>
      <c r="F2388" s="34" t="s">
        <v>3574</v>
      </c>
      <c r="G2388" s="27">
        <v>71.010000000000005</v>
      </c>
      <c r="H2388" s="1" t="s">
        <v>774</v>
      </c>
      <c r="I2388" s="20">
        <v>1</v>
      </c>
      <c r="J2388" s="36">
        <v>0.06</v>
      </c>
    </row>
    <row r="2389" spans="2:10" x14ac:dyDescent="0.35">
      <c r="B2389" s="18" t="s">
        <v>3703</v>
      </c>
      <c r="C2389" s="19" t="s">
        <v>4359</v>
      </c>
      <c r="D2389" s="5" t="s">
        <v>8</v>
      </c>
      <c r="E2389" s="19" t="s">
        <v>5546</v>
      </c>
      <c r="F2389" s="34" t="s">
        <v>3574</v>
      </c>
      <c r="G2389" s="27">
        <v>71.73</v>
      </c>
      <c r="H2389" s="1" t="s">
        <v>774</v>
      </c>
      <c r="I2389" s="20">
        <v>1</v>
      </c>
      <c r="J2389" s="36">
        <v>0.06</v>
      </c>
    </row>
    <row r="2390" spans="2:10" x14ac:dyDescent="0.35">
      <c r="B2390" s="18" t="s">
        <v>3704</v>
      </c>
      <c r="C2390" s="19" t="s">
        <v>4363</v>
      </c>
      <c r="D2390" s="5" t="s">
        <v>8</v>
      </c>
      <c r="E2390" s="19" t="s">
        <v>5547</v>
      </c>
      <c r="F2390" s="34" t="s">
        <v>3574</v>
      </c>
      <c r="G2390" s="27">
        <v>140.65</v>
      </c>
      <c r="H2390" s="1" t="s">
        <v>774</v>
      </c>
      <c r="I2390" s="20">
        <v>1</v>
      </c>
      <c r="J2390" s="36">
        <v>0.06</v>
      </c>
    </row>
    <row r="2391" spans="2:10" x14ac:dyDescent="0.35">
      <c r="B2391" s="18" t="s">
        <v>3705</v>
      </c>
      <c r="C2391" s="19" t="s">
        <v>4364</v>
      </c>
      <c r="D2391" s="5" t="s">
        <v>8</v>
      </c>
      <c r="E2391" s="19" t="s">
        <v>5548</v>
      </c>
      <c r="F2391" s="34" t="s">
        <v>3574</v>
      </c>
      <c r="G2391" s="27">
        <v>506.64</v>
      </c>
      <c r="H2391" s="1" t="s">
        <v>774</v>
      </c>
      <c r="I2391" s="20">
        <v>1</v>
      </c>
      <c r="J2391" s="36">
        <v>0.06</v>
      </c>
    </row>
    <row r="2392" spans="2:10" x14ac:dyDescent="0.35">
      <c r="B2392" s="18">
        <v>1202634</v>
      </c>
      <c r="C2392" s="19" t="s">
        <v>4354</v>
      </c>
      <c r="D2392" s="5" t="s">
        <v>8</v>
      </c>
      <c r="E2392" s="19" t="s">
        <v>5549</v>
      </c>
      <c r="F2392" s="34" t="s">
        <v>3574</v>
      </c>
      <c r="G2392" s="27">
        <v>85.73</v>
      </c>
      <c r="H2392" s="1" t="s">
        <v>774</v>
      </c>
      <c r="I2392" s="20">
        <v>1</v>
      </c>
      <c r="J2392" s="36">
        <v>0.06</v>
      </c>
    </row>
    <row r="2393" spans="2:10" x14ac:dyDescent="0.35">
      <c r="B2393" s="18">
        <v>800002201</v>
      </c>
      <c r="C2393" s="19" t="s">
        <v>4365</v>
      </c>
      <c r="D2393" s="5" t="s">
        <v>8</v>
      </c>
      <c r="E2393" s="19" t="s">
        <v>5550</v>
      </c>
      <c r="F2393" s="34" t="s">
        <v>3574</v>
      </c>
      <c r="G2393" s="27">
        <v>87.89</v>
      </c>
      <c r="H2393" s="1" t="s">
        <v>774</v>
      </c>
      <c r="I2393" s="20">
        <v>1</v>
      </c>
      <c r="J2393" s="36">
        <v>0.06</v>
      </c>
    </row>
    <row r="2394" spans="2:10" x14ac:dyDescent="0.35">
      <c r="B2394" s="18">
        <v>800002278</v>
      </c>
      <c r="C2394" s="19" t="s">
        <v>4366</v>
      </c>
      <c r="D2394" s="5" t="s">
        <v>8</v>
      </c>
      <c r="E2394" s="19" t="s">
        <v>5551</v>
      </c>
      <c r="F2394" s="34" t="s">
        <v>3574</v>
      </c>
      <c r="G2394" s="27">
        <v>235.6</v>
      </c>
      <c r="H2394" s="1" t="s">
        <v>774</v>
      </c>
      <c r="I2394" s="20">
        <v>1</v>
      </c>
      <c r="J2394" s="36">
        <v>0.06</v>
      </c>
    </row>
    <row r="2395" spans="2:10" x14ac:dyDescent="0.35">
      <c r="B2395" s="18">
        <v>1202596</v>
      </c>
      <c r="C2395" s="19" t="s">
        <v>4367</v>
      </c>
      <c r="D2395" s="5" t="s">
        <v>8</v>
      </c>
      <c r="E2395" s="19" t="s">
        <v>5552</v>
      </c>
      <c r="F2395" s="34" t="s">
        <v>3574</v>
      </c>
      <c r="G2395" s="27">
        <v>102.38</v>
      </c>
      <c r="H2395" s="1" t="s">
        <v>774</v>
      </c>
      <c r="I2395" s="20">
        <v>1</v>
      </c>
      <c r="J2395" s="36">
        <v>0.06</v>
      </c>
    </row>
    <row r="2396" spans="2:10" x14ac:dyDescent="0.35">
      <c r="B2396" s="18">
        <v>1260783</v>
      </c>
      <c r="C2396" s="19" t="s">
        <v>4367</v>
      </c>
      <c r="D2396" s="5" t="s">
        <v>8</v>
      </c>
      <c r="E2396" s="19" t="s">
        <v>5553</v>
      </c>
      <c r="F2396" s="34" t="s">
        <v>3574</v>
      </c>
      <c r="G2396" s="27">
        <v>116.88</v>
      </c>
      <c r="H2396" s="1" t="s">
        <v>774</v>
      </c>
      <c r="I2396" s="20">
        <v>1</v>
      </c>
      <c r="J2396" s="36">
        <v>0.06</v>
      </c>
    </row>
    <row r="2397" spans="2:10" x14ac:dyDescent="0.35">
      <c r="B2397" s="18">
        <v>1202220</v>
      </c>
      <c r="C2397" s="19" t="s">
        <v>4368</v>
      </c>
      <c r="D2397" s="5" t="s">
        <v>8</v>
      </c>
      <c r="E2397" s="19" t="s">
        <v>5554</v>
      </c>
      <c r="F2397" s="34" t="s">
        <v>3574</v>
      </c>
      <c r="G2397" s="27">
        <v>76.540000000000006</v>
      </c>
      <c r="H2397" s="1" t="s">
        <v>774</v>
      </c>
      <c r="I2397" s="20">
        <v>1</v>
      </c>
      <c r="J2397" s="36">
        <v>0.06</v>
      </c>
    </row>
    <row r="2398" spans="2:10" x14ac:dyDescent="0.35">
      <c r="B2398" s="18" t="s">
        <v>3706</v>
      </c>
      <c r="C2398" s="19" t="s">
        <v>4359</v>
      </c>
      <c r="D2398" s="5" t="s">
        <v>8</v>
      </c>
      <c r="E2398" s="19" t="s">
        <v>5555</v>
      </c>
      <c r="F2398" s="34" t="s">
        <v>3574</v>
      </c>
      <c r="G2398" s="27">
        <v>75</v>
      </c>
      <c r="H2398" s="1" t="s">
        <v>774</v>
      </c>
      <c r="I2398" s="20">
        <v>1</v>
      </c>
      <c r="J2398" s="36">
        <v>0.06</v>
      </c>
    </row>
    <row r="2399" spans="2:10" x14ac:dyDescent="0.35">
      <c r="B2399" s="18">
        <v>1202223</v>
      </c>
      <c r="C2399" s="19" t="s">
        <v>4369</v>
      </c>
      <c r="D2399" s="5" t="s">
        <v>8</v>
      </c>
      <c r="E2399" s="19" t="s">
        <v>5556</v>
      </c>
      <c r="F2399" s="34" t="s">
        <v>3574</v>
      </c>
      <c r="G2399" s="27">
        <v>147.56</v>
      </c>
      <c r="H2399" s="1" t="s">
        <v>774</v>
      </c>
      <c r="I2399" s="20">
        <v>1</v>
      </c>
      <c r="J2399" s="36">
        <v>0.06</v>
      </c>
    </row>
    <row r="2400" spans="2:10" x14ac:dyDescent="0.35">
      <c r="B2400" s="18">
        <v>1202268</v>
      </c>
      <c r="C2400" s="19" t="s">
        <v>4370</v>
      </c>
      <c r="D2400" s="5" t="s">
        <v>8</v>
      </c>
      <c r="E2400" s="19" t="s">
        <v>5557</v>
      </c>
      <c r="F2400" s="34" t="s">
        <v>3574</v>
      </c>
      <c r="G2400" s="27">
        <v>115.18</v>
      </c>
      <c r="H2400" s="1" t="s">
        <v>774</v>
      </c>
      <c r="I2400" s="20">
        <v>1</v>
      </c>
      <c r="J2400" s="36">
        <v>0.06</v>
      </c>
    </row>
    <row r="2401" spans="2:10" x14ac:dyDescent="0.35">
      <c r="B2401" s="18">
        <v>1261735</v>
      </c>
      <c r="C2401" s="19" t="s">
        <v>4371</v>
      </c>
      <c r="D2401" s="5" t="s">
        <v>8</v>
      </c>
      <c r="E2401" s="19" t="s">
        <v>5558</v>
      </c>
      <c r="F2401" s="34" t="s">
        <v>3574</v>
      </c>
      <c r="G2401" s="27">
        <v>116.15</v>
      </c>
      <c r="H2401" s="1" t="s">
        <v>774</v>
      </c>
      <c r="I2401" s="20">
        <v>1</v>
      </c>
      <c r="J2401" s="36">
        <v>0.06</v>
      </c>
    </row>
    <row r="2402" spans="2:10" x14ac:dyDescent="0.35">
      <c r="B2402" s="18">
        <v>1360058</v>
      </c>
      <c r="C2402" s="19" t="s">
        <v>4372</v>
      </c>
      <c r="D2402" s="5" t="s">
        <v>8</v>
      </c>
      <c r="E2402" s="19" t="s">
        <v>5559</v>
      </c>
      <c r="F2402" s="34" t="s">
        <v>3574</v>
      </c>
      <c r="G2402" s="27">
        <v>189.76</v>
      </c>
      <c r="H2402" s="1" t="s">
        <v>774</v>
      </c>
      <c r="I2402" s="20">
        <v>1</v>
      </c>
      <c r="J2402" s="36">
        <v>0.06</v>
      </c>
    </row>
    <row r="2403" spans="2:10" x14ac:dyDescent="0.35">
      <c r="B2403" s="18">
        <v>1262187</v>
      </c>
      <c r="C2403" s="19" t="s">
        <v>4373</v>
      </c>
      <c r="D2403" s="5" t="s">
        <v>8</v>
      </c>
      <c r="E2403" s="19" t="s">
        <v>5560</v>
      </c>
      <c r="F2403" s="34" t="s">
        <v>3574</v>
      </c>
      <c r="G2403" s="27">
        <v>116.01</v>
      </c>
      <c r="H2403" s="1" t="s">
        <v>774</v>
      </c>
      <c r="I2403" s="20">
        <v>1</v>
      </c>
      <c r="J2403" s="36">
        <v>0.06</v>
      </c>
    </row>
    <row r="2404" spans="2:10" x14ac:dyDescent="0.35">
      <c r="B2404" s="18">
        <v>91010000</v>
      </c>
      <c r="C2404" s="19" t="s">
        <v>4374</v>
      </c>
      <c r="D2404" s="5" t="s">
        <v>8</v>
      </c>
      <c r="E2404" s="19" t="s">
        <v>5561</v>
      </c>
      <c r="F2404" s="34" t="s">
        <v>3574</v>
      </c>
      <c r="G2404" s="27">
        <v>3.68</v>
      </c>
      <c r="H2404" s="1" t="s">
        <v>774</v>
      </c>
      <c r="I2404" s="20">
        <v>1</v>
      </c>
      <c r="J2404" s="36">
        <v>0.06</v>
      </c>
    </row>
    <row r="2405" spans="2:10" x14ac:dyDescent="0.35">
      <c r="B2405" s="18" t="s">
        <v>3707</v>
      </c>
      <c r="C2405" s="19" t="s">
        <v>4350</v>
      </c>
      <c r="D2405" s="5" t="s">
        <v>8</v>
      </c>
      <c r="E2405" s="19" t="s">
        <v>5562</v>
      </c>
      <c r="F2405" s="34" t="s">
        <v>3574</v>
      </c>
      <c r="G2405" s="27">
        <v>90.31</v>
      </c>
      <c r="H2405" s="1" t="s">
        <v>774</v>
      </c>
      <c r="I2405" s="20">
        <v>1</v>
      </c>
      <c r="J2405" s="36">
        <v>0.06</v>
      </c>
    </row>
    <row r="2406" spans="2:10" x14ac:dyDescent="0.35">
      <c r="B2406" s="18">
        <v>1587142</v>
      </c>
      <c r="C2406" s="19" t="s">
        <v>4375</v>
      </c>
      <c r="D2406" s="5" t="s">
        <v>8</v>
      </c>
      <c r="E2406" s="19" t="s">
        <v>5563</v>
      </c>
      <c r="F2406" s="34" t="s">
        <v>3574</v>
      </c>
      <c r="G2406" s="27">
        <v>54.77</v>
      </c>
      <c r="H2406" s="1" t="s">
        <v>774</v>
      </c>
      <c r="I2406" s="20">
        <v>1</v>
      </c>
      <c r="J2406" s="36">
        <v>0.06</v>
      </c>
    </row>
    <row r="2407" spans="2:10" x14ac:dyDescent="0.35">
      <c r="B2407" s="18">
        <v>4001167</v>
      </c>
      <c r="C2407" s="19" t="s">
        <v>4376</v>
      </c>
      <c r="D2407" s="5" t="s">
        <v>8</v>
      </c>
      <c r="E2407" s="19" t="s">
        <v>5564</v>
      </c>
      <c r="F2407" s="34" t="s">
        <v>3574</v>
      </c>
      <c r="G2407" s="27">
        <v>42.69</v>
      </c>
      <c r="H2407" s="1" t="s">
        <v>774</v>
      </c>
      <c r="I2407" s="20">
        <v>1</v>
      </c>
      <c r="J2407" s="36">
        <v>0.06</v>
      </c>
    </row>
    <row r="2408" spans="2:10" x14ac:dyDescent="0.35">
      <c r="B2408" s="18" t="s">
        <v>3708</v>
      </c>
      <c r="C2408" s="19" t="s">
        <v>4353</v>
      </c>
      <c r="D2408" s="5" t="s">
        <v>8</v>
      </c>
      <c r="E2408" s="19" t="s">
        <v>5565</v>
      </c>
      <c r="F2408" s="34" t="s">
        <v>3574</v>
      </c>
      <c r="G2408" s="27">
        <v>59.45</v>
      </c>
      <c r="H2408" s="1" t="s">
        <v>774</v>
      </c>
      <c r="I2408" s="20">
        <v>1</v>
      </c>
      <c r="J2408" s="36">
        <v>0.06</v>
      </c>
    </row>
    <row r="2409" spans="2:10" x14ac:dyDescent="0.35">
      <c r="B2409" s="18">
        <v>4001169</v>
      </c>
      <c r="C2409" s="19" t="s">
        <v>4377</v>
      </c>
      <c r="D2409" s="5" t="s">
        <v>8</v>
      </c>
      <c r="E2409" s="19" t="s">
        <v>5566</v>
      </c>
      <c r="F2409" s="34" t="s">
        <v>3574</v>
      </c>
      <c r="G2409" s="27">
        <v>44.49</v>
      </c>
      <c r="H2409" s="1" t="s">
        <v>774</v>
      </c>
      <c r="I2409" s="20">
        <v>1</v>
      </c>
      <c r="J2409" s="36">
        <v>0.06</v>
      </c>
    </row>
    <row r="2410" spans="2:10" x14ac:dyDescent="0.35">
      <c r="B2410" s="18">
        <v>4001242</v>
      </c>
      <c r="C2410" s="19" t="s">
        <v>4378</v>
      </c>
      <c r="D2410" s="5" t="s">
        <v>8</v>
      </c>
      <c r="E2410" s="19" t="s">
        <v>5567</v>
      </c>
      <c r="F2410" s="34" t="s">
        <v>3574</v>
      </c>
      <c r="G2410" s="27">
        <v>35.479999999999997</v>
      </c>
      <c r="H2410" s="1" t="s">
        <v>774</v>
      </c>
      <c r="I2410" s="20">
        <v>1</v>
      </c>
      <c r="J2410" s="36">
        <v>0.06</v>
      </c>
    </row>
    <row r="2411" spans="2:10" x14ac:dyDescent="0.35">
      <c r="B2411" s="18">
        <v>4020082</v>
      </c>
      <c r="C2411" s="19" t="s">
        <v>4379</v>
      </c>
      <c r="D2411" s="5" t="s">
        <v>8</v>
      </c>
      <c r="E2411" s="19" t="s">
        <v>5568</v>
      </c>
      <c r="F2411" s="34" t="s">
        <v>3574</v>
      </c>
      <c r="G2411" s="27">
        <v>133.02000000000001</v>
      </c>
      <c r="H2411" s="1" t="s">
        <v>774</v>
      </c>
      <c r="I2411" s="20">
        <v>1</v>
      </c>
      <c r="J2411" s="36">
        <v>0.06</v>
      </c>
    </row>
    <row r="2412" spans="2:10" x14ac:dyDescent="0.35">
      <c r="B2412" s="18" t="s">
        <v>3709</v>
      </c>
      <c r="C2412" s="19" t="s">
        <v>4352</v>
      </c>
      <c r="D2412" s="5" t="s">
        <v>8</v>
      </c>
      <c r="E2412" s="19" t="s">
        <v>5569</v>
      </c>
      <c r="F2412" s="34" t="s">
        <v>3574</v>
      </c>
      <c r="G2412" s="27">
        <v>94.4</v>
      </c>
      <c r="H2412" s="1" t="s">
        <v>774</v>
      </c>
      <c r="I2412" s="20">
        <v>1</v>
      </c>
      <c r="J2412" s="36">
        <v>0.06</v>
      </c>
    </row>
    <row r="2413" spans="2:10" x14ac:dyDescent="0.35">
      <c r="B2413" s="18">
        <v>4001820</v>
      </c>
      <c r="C2413" s="19" t="s">
        <v>4380</v>
      </c>
      <c r="D2413" s="5" t="s">
        <v>8</v>
      </c>
      <c r="E2413" s="19" t="s">
        <v>5570</v>
      </c>
      <c r="F2413" s="34" t="s">
        <v>3574</v>
      </c>
      <c r="G2413" s="27">
        <v>237.2</v>
      </c>
      <c r="H2413" s="1" t="s">
        <v>774</v>
      </c>
      <c r="I2413" s="20">
        <v>1</v>
      </c>
      <c r="J2413" s="36">
        <v>0.06</v>
      </c>
    </row>
    <row r="2414" spans="2:10" x14ac:dyDescent="0.35">
      <c r="B2414" s="18">
        <v>4002160</v>
      </c>
      <c r="C2414" s="19" t="s">
        <v>4381</v>
      </c>
      <c r="D2414" s="5" t="s">
        <v>8</v>
      </c>
      <c r="E2414" s="19" t="s">
        <v>5571</v>
      </c>
      <c r="F2414" s="34" t="s">
        <v>3574</v>
      </c>
      <c r="G2414" s="27">
        <v>65.169999999999987</v>
      </c>
      <c r="H2414" s="1" t="s">
        <v>774</v>
      </c>
      <c r="I2414" s="20">
        <v>1</v>
      </c>
      <c r="J2414" s="36">
        <v>0.06</v>
      </c>
    </row>
    <row r="2415" spans="2:10" x14ac:dyDescent="0.35">
      <c r="B2415" s="18">
        <v>4001322</v>
      </c>
      <c r="C2415" s="19" t="s">
        <v>4382</v>
      </c>
      <c r="D2415" s="5" t="s">
        <v>8</v>
      </c>
      <c r="E2415" s="19" t="s">
        <v>5572</v>
      </c>
      <c r="F2415" s="34" t="s">
        <v>3574</v>
      </c>
      <c r="G2415" s="27">
        <v>88.61</v>
      </c>
      <c r="H2415" s="1" t="s">
        <v>774</v>
      </c>
      <c r="I2415" s="20">
        <v>1</v>
      </c>
      <c r="J2415" s="36">
        <v>0.06</v>
      </c>
    </row>
    <row r="2416" spans="2:10" x14ac:dyDescent="0.35">
      <c r="B2416" s="18">
        <v>1203001</v>
      </c>
      <c r="C2416" s="19" t="s">
        <v>4383</v>
      </c>
      <c r="D2416" s="5" t="s">
        <v>8</v>
      </c>
      <c r="E2416" s="19" t="s">
        <v>5573</v>
      </c>
      <c r="F2416" s="34" t="s">
        <v>3574</v>
      </c>
      <c r="G2416" s="27">
        <v>54.57</v>
      </c>
      <c r="H2416" s="1" t="s">
        <v>774</v>
      </c>
      <c r="I2416" s="20">
        <v>1</v>
      </c>
      <c r="J2416" s="36">
        <v>0.06</v>
      </c>
    </row>
    <row r="2417" spans="2:10" x14ac:dyDescent="0.35">
      <c r="B2417" s="18">
        <v>4001323</v>
      </c>
      <c r="C2417" s="19" t="s">
        <v>4384</v>
      </c>
      <c r="D2417" s="5" t="s">
        <v>8</v>
      </c>
      <c r="E2417" s="19" t="s">
        <v>5574</v>
      </c>
      <c r="F2417" s="34" t="s">
        <v>3574</v>
      </c>
      <c r="G2417" s="27">
        <v>122.46</v>
      </c>
      <c r="H2417" s="1" t="s">
        <v>774</v>
      </c>
      <c r="I2417" s="20">
        <v>1</v>
      </c>
      <c r="J2417" s="36">
        <v>0.06</v>
      </c>
    </row>
    <row r="2418" spans="2:10" x14ac:dyDescent="0.35">
      <c r="B2418" s="18">
        <v>1202516</v>
      </c>
      <c r="C2418" s="19" t="s">
        <v>4385</v>
      </c>
      <c r="D2418" s="5" t="s">
        <v>8</v>
      </c>
      <c r="E2418" s="19" t="s">
        <v>5575</v>
      </c>
      <c r="F2418" s="34" t="s">
        <v>3574</v>
      </c>
      <c r="G2418" s="27">
        <v>60.5</v>
      </c>
      <c r="H2418" s="1" t="s">
        <v>774</v>
      </c>
      <c r="I2418" s="20">
        <v>1</v>
      </c>
      <c r="J2418" s="36">
        <v>0.06</v>
      </c>
    </row>
    <row r="2419" spans="2:10" x14ac:dyDescent="0.35">
      <c r="B2419" s="18">
        <v>4001095</v>
      </c>
      <c r="C2419" s="19" t="s">
        <v>4386</v>
      </c>
      <c r="D2419" s="5" t="s">
        <v>8</v>
      </c>
      <c r="E2419" s="19" t="s">
        <v>5575</v>
      </c>
      <c r="F2419" s="34" t="s">
        <v>3574</v>
      </c>
      <c r="G2419" s="27">
        <v>60.5</v>
      </c>
      <c r="H2419" s="1" t="s">
        <v>774</v>
      </c>
      <c r="I2419" s="20">
        <v>1</v>
      </c>
      <c r="J2419" s="36">
        <v>0.06</v>
      </c>
    </row>
    <row r="2420" spans="2:10" x14ac:dyDescent="0.35">
      <c r="B2420" s="18">
        <v>800002226</v>
      </c>
      <c r="C2420" s="19" t="s">
        <v>4387</v>
      </c>
      <c r="D2420" s="5" t="s">
        <v>8</v>
      </c>
      <c r="E2420" s="19" t="s">
        <v>5576</v>
      </c>
      <c r="F2420" s="34" t="s">
        <v>3574</v>
      </c>
      <c r="G2420" s="27">
        <v>128.63</v>
      </c>
      <c r="H2420" s="1" t="s">
        <v>774</v>
      </c>
      <c r="I2420" s="20">
        <v>1</v>
      </c>
      <c r="J2420" s="36">
        <v>0.06</v>
      </c>
    </row>
    <row r="2421" spans="2:10" x14ac:dyDescent="0.35">
      <c r="B2421" s="18">
        <v>3604578</v>
      </c>
      <c r="C2421" s="19" t="s">
        <v>4388</v>
      </c>
      <c r="D2421" s="5" t="s">
        <v>8</v>
      </c>
      <c r="E2421" s="19" t="s">
        <v>5577</v>
      </c>
      <c r="F2421" s="34" t="s">
        <v>3574</v>
      </c>
      <c r="G2421" s="27">
        <v>128.11000000000001</v>
      </c>
      <c r="H2421" s="1" t="s">
        <v>774</v>
      </c>
      <c r="I2421" s="20">
        <v>1</v>
      </c>
      <c r="J2421" s="36">
        <v>0.06</v>
      </c>
    </row>
    <row r="2422" spans="2:10" x14ac:dyDescent="0.35">
      <c r="B2422" s="18">
        <v>800000567</v>
      </c>
      <c r="C2422" s="19" t="s">
        <v>4389</v>
      </c>
      <c r="D2422" s="5" t="s">
        <v>8</v>
      </c>
      <c r="E2422" s="19" t="s">
        <v>5578</v>
      </c>
      <c r="F2422" s="34" t="s">
        <v>3574</v>
      </c>
      <c r="G2422" s="27">
        <v>227.61999999999998</v>
      </c>
      <c r="H2422" s="1" t="s">
        <v>774</v>
      </c>
      <c r="I2422" s="20">
        <v>1</v>
      </c>
      <c r="J2422" s="36">
        <v>0.06</v>
      </c>
    </row>
    <row r="2423" spans="2:10" x14ac:dyDescent="0.35">
      <c r="B2423" s="18">
        <v>3604411</v>
      </c>
      <c r="C2423" s="19" t="s">
        <v>4390</v>
      </c>
      <c r="D2423" s="5" t="s">
        <v>8</v>
      </c>
      <c r="E2423" s="19" t="s">
        <v>5579</v>
      </c>
      <c r="F2423" s="34" t="s">
        <v>3574</v>
      </c>
      <c r="G2423" s="27">
        <v>88.11</v>
      </c>
      <c r="H2423" s="1" t="s">
        <v>774</v>
      </c>
      <c r="I2423" s="20">
        <v>1</v>
      </c>
      <c r="J2423" s="36">
        <v>0.06</v>
      </c>
    </row>
    <row r="2424" spans="2:10" x14ac:dyDescent="0.35">
      <c r="B2424" s="18">
        <v>3604617</v>
      </c>
      <c r="C2424" s="19" t="s">
        <v>4391</v>
      </c>
      <c r="D2424" s="5" t="s">
        <v>8</v>
      </c>
      <c r="E2424" s="19" t="s">
        <v>5580</v>
      </c>
      <c r="F2424" s="34" t="s">
        <v>3574</v>
      </c>
      <c r="G2424" s="27">
        <v>92.34</v>
      </c>
      <c r="H2424" s="1" t="s">
        <v>774</v>
      </c>
      <c r="I2424" s="20">
        <v>1</v>
      </c>
      <c r="J2424" s="36">
        <v>0.06</v>
      </c>
    </row>
    <row r="2425" spans="2:10" x14ac:dyDescent="0.35">
      <c r="B2425" s="18" t="s">
        <v>3710</v>
      </c>
      <c r="C2425" s="19" t="s">
        <v>4353</v>
      </c>
      <c r="D2425" s="5" t="s">
        <v>8</v>
      </c>
      <c r="E2425" s="19" t="s">
        <v>5581</v>
      </c>
      <c r="F2425" s="34" t="s">
        <v>3574</v>
      </c>
      <c r="G2425" s="27">
        <v>338.01</v>
      </c>
      <c r="H2425" s="1" t="s">
        <v>774</v>
      </c>
      <c r="I2425" s="20">
        <v>1</v>
      </c>
      <c r="J2425" s="36">
        <v>0.06</v>
      </c>
    </row>
    <row r="2426" spans="2:10" x14ac:dyDescent="0.35">
      <c r="B2426" s="18">
        <v>1260480</v>
      </c>
      <c r="C2426" s="19" t="s">
        <v>4392</v>
      </c>
      <c r="D2426" s="5" t="s">
        <v>8</v>
      </c>
      <c r="E2426" s="19" t="s">
        <v>5582</v>
      </c>
      <c r="F2426" s="34" t="s">
        <v>3574</v>
      </c>
      <c r="G2426" s="27">
        <v>64.48</v>
      </c>
      <c r="H2426" s="1" t="s">
        <v>774</v>
      </c>
      <c r="I2426" s="20">
        <v>1</v>
      </c>
      <c r="J2426" s="36">
        <v>0.06</v>
      </c>
    </row>
    <row r="2427" spans="2:10" x14ac:dyDescent="0.35">
      <c r="B2427" s="18">
        <v>1202238</v>
      </c>
      <c r="C2427" s="19" t="s">
        <v>4393</v>
      </c>
      <c r="D2427" s="5" t="s">
        <v>8</v>
      </c>
      <c r="E2427" s="19" t="s">
        <v>5583</v>
      </c>
      <c r="F2427" s="34" t="s">
        <v>3574</v>
      </c>
      <c r="G2427" s="27">
        <v>43.08</v>
      </c>
      <c r="H2427" s="1" t="s">
        <v>774</v>
      </c>
      <c r="I2427" s="20">
        <v>1</v>
      </c>
      <c r="J2427" s="36">
        <v>0.06</v>
      </c>
    </row>
    <row r="2428" spans="2:10" x14ac:dyDescent="0.35">
      <c r="B2428" s="18">
        <v>4001929</v>
      </c>
      <c r="C2428" s="19" t="s">
        <v>4393</v>
      </c>
      <c r="D2428" s="5" t="s">
        <v>8</v>
      </c>
      <c r="E2428" s="19" t="s">
        <v>5584</v>
      </c>
      <c r="F2428" s="34" t="s">
        <v>3574</v>
      </c>
      <c r="G2428" s="27">
        <v>57.44</v>
      </c>
      <c r="H2428" s="1" t="s">
        <v>774</v>
      </c>
      <c r="I2428" s="20">
        <v>1</v>
      </c>
      <c r="J2428" s="36">
        <v>0.06</v>
      </c>
    </row>
    <row r="2429" spans="2:10" x14ac:dyDescent="0.35">
      <c r="B2429" s="18">
        <v>1202219</v>
      </c>
      <c r="C2429" s="19" t="s">
        <v>4394</v>
      </c>
      <c r="D2429" s="5" t="s">
        <v>8</v>
      </c>
      <c r="E2429" s="19" t="s">
        <v>5585</v>
      </c>
      <c r="F2429" s="34" t="s">
        <v>3574</v>
      </c>
      <c r="G2429" s="27">
        <v>48.88</v>
      </c>
      <c r="H2429" s="1" t="s">
        <v>774</v>
      </c>
      <c r="I2429" s="20">
        <v>1</v>
      </c>
      <c r="J2429" s="36">
        <v>0.06</v>
      </c>
    </row>
    <row r="2430" spans="2:10" x14ac:dyDescent="0.35">
      <c r="B2430" s="18">
        <v>1202321</v>
      </c>
      <c r="C2430" s="19" t="s">
        <v>4395</v>
      </c>
      <c r="D2430" s="5" t="s">
        <v>8</v>
      </c>
      <c r="E2430" s="19" t="s">
        <v>5586</v>
      </c>
      <c r="F2430" s="34" t="s">
        <v>3574</v>
      </c>
      <c r="G2430" s="27">
        <v>65.150000000000006</v>
      </c>
      <c r="H2430" s="1" t="s">
        <v>774</v>
      </c>
      <c r="I2430" s="20">
        <v>1</v>
      </c>
      <c r="J2430" s="36">
        <v>0.06</v>
      </c>
    </row>
    <row r="2431" spans="2:10" x14ac:dyDescent="0.35">
      <c r="B2431" s="18">
        <v>1261747</v>
      </c>
      <c r="C2431" s="19" t="s">
        <v>4396</v>
      </c>
      <c r="D2431" s="5" t="s">
        <v>8</v>
      </c>
      <c r="E2431" s="19" t="s">
        <v>5587</v>
      </c>
      <c r="F2431" s="34" t="s">
        <v>3574</v>
      </c>
      <c r="G2431" s="27">
        <v>49.8</v>
      </c>
      <c r="H2431" s="1" t="s">
        <v>774</v>
      </c>
      <c r="I2431" s="20">
        <v>1</v>
      </c>
      <c r="J2431" s="36">
        <v>0.06</v>
      </c>
    </row>
    <row r="2432" spans="2:10" x14ac:dyDescent="0.35">
      <c r="B2432" s="18">
        <v>800001297</v>
      </c>
      <c r="C2432" s="19" t="s">
        <v>4397</v>
      </c>
      <c r="D2432" s="5" t="s">
        <v>8</v>
      </c>
      <c r="E2432" s="19" t="s">
        <v>5588</v>
      </c>
      <c r="F2432" s="34" t="s">
        <v>3574</v>
      </c>
      <c r="G2432" s="27">
        <v>63.41</v>
      </c>
      <c r="H2432" s="1" t="s">
        <v>774</v>
      </c>
      <c r="I2432" s="20">
        <v>1</v>
      </c>
      <c r="J2432" s="36">
        <v>0.06</v>
      </c>
    </row>
    <row r="2433" spans="2:10" x14ac:dyDescent="0.35">
      <c r="B2433" s="18" t="s">
        <v>3711</v>
      </c>
      <c r="C2433" s="19" t="s">
        <v>4398</v>
      </c>
      <c r="D2433" s="5" t="s">
        <v>8</v>
      </c>
      <c r="E2433" s="19" t="s">
        <v>5589</v>
      </c>
      <c r="F2433" s="34" t="s">
        <v>3574</v>
      </c>
      <c r="G2433" s="27">
        <v>72.28</v>
      </c>
      <c r="H2433" s="1" t="s">
        <v>774</v>
      </c>
      <c r="I2433" s="20">
        <v>1</v>
      </c>
      <c r="J2433" s="36">
        <v>0.06</v>
      </c>
    </row>
    <row r="2434" spans="2:10" x14ac:dyDescent="0.35">
      <c r="B2434" s="18">
        <v>1202240</v>
      </c>
      <c r="C2434" s="19" t="s">
        <v>4399</v>
      </c>
      <c r="D2434" s="5" t="s">
        <v>8</v>
      </c>
      <c r="E2434" s="19" t="s">
        <v>5590</v>
      </c>
      <c r="F2434" s="34" t="s">
        <v>3574</v>
      </c>
      <c r="G2434" s="27">
        <v>64.14</v>
      </c>
      <c r="H2434" s="1" t="s">
        <v>774</v>
      </c>
      <c r="I2434" s="20">
        <v>1</v>
      </c>
      <c r="J2434" s="36">
        <v>0.06</v>
      </c>
    </row>
    <row r="2435" spans="2:10" x14ac:dyDescent="0.35">
      <c r="B2435" s="18">
        <v>1262177</v>
      </c>
      <c r="C2435" s="19" t="s">
        <v>4399</v>
      </c>
      <c r="D2435" s="5" t="s">
        <v>8</v>
      </c>
      <c r="E2435" s="19" t="s">
        <v>5591</v>
      </c>
      <c r="F2435" s="34" t="s">
        <v>3574</v>
      </c>
      <c r="G2435" s="27">
        <v>48.41</v>
      </c>
      <c r="H2435" s="1" t="s">
        <v>774</v>
      </c>
      <c r="I2435" s="20">
        <v>1</v>
      </c>
      <c r="J2435" s="36">
        <v>0.06</v>
      </c>
    </row>
    <row r="2436" spans="2:10" x14ac:dyDescent="0.35">
      <c r="B2436" s="18">
        <v>1202339</v>
      </c>
      <c r="C2436" s="19" t="s">
        <v>4400</v>
      </c>
      <c r="D2436" s="5" t="s">
        <v>8</v>
      </c>
      <c r="E2436" s="19" t="s">
        <v>5592</v>
      </c>
      <c r="F2436" s="34" t="s">
        <v>3574</v>
      </c>
      <c r="G2436" s="27">
        <v>52.88</v>
      </c>
      <c r="H2436" s="1" t="s">
        <v>774</v>
      </c>
      <c r="I2436" s="20">
        <v>1</v>
      </c>
      <c r="J2436" s="36">
        <v>0.06</v>
      </c>
    </row>
    <row r="2437" spans="2:10" x14ac:dyDescent="0.35">
      <c r="B2437" s="18">
        <v>91300430</v>
      </c>
      <c r="C2437" s="19" t="s">
        <v>4401</v>
      </c>
      <c r="D2437" s="5" t="s">
        <v>8</v>
      </c>
      <c r="E2437" s="19" t="s">
        <v>5593</v>
      </c>
      <c r="F2437" s="34" t="s">
        <v>3574</v>
      </c>
      <c r="G2437" s="27">
        <v>56.68</v>
      </c>
      <c r="H2437" s="1" t="s">
        <v>774</v>
      </c>
      <c r="I2437" s="20">
        <v>1</v>
      </c>
      <c r="J2437" s="36">
        <v>0.06</v>
      </c>
    </row>
    <row r="2438" spans="2:10" x14ac:dyDescent="0.35">
      <c r="B2438" s="18">
        <v>800002712</v>
      </c>
      <c r="C2438" s="19" t="s">
        <v>4400</v>
      </c>
      <c r="D2438" s="5" t="s">
        <v>8</v>
      </c>
      <c r="E2438" s="19" t="s">
        <v>5594</v>
      </c>
      <c r="F2438" s="34" t="s">
        <v>3574</v>
      </c>
      <c r="G2438" s="27">
        <v>116.38</v>
      </c>
      <c r="H2438" s="1" t="s">
        <v>774</v>
      </c>
      <c r="I2438" s="20">
        <v>1</v>
      </c>
      <c r="J2438" s="36">
        <v>0.06</v>
      </c>
    </row>
    <row r="2439" spans="2:10" x14ac:dyDescent="0.35">
      <c r="B2439" s="18" t="s">
        <v>3712</v>
      </c>
      <c r="C2439" s="19" t="s">
        <v>4402</v>
      </c>
      <c r="D2439" s="5" t="s">
        <v>8</v>
      </c>
      <c r="E2439" s="19" t="s">
        <v>5595</v>
      </c>
      <c r="F2439" s="34" t="s">
        <v>3574</v>
      </c>
      <c r="G2439" s="27">
        <v>50.74</v>
      </c>
      <c r="H2439" s="1" t="s">
        <v>774</v>
      </c>
      <c r="I2439" s="20">
        <v>1</v>
      </c>
      <c r="J2439" s="36">
        <v>0.06</v>
      </c>
    </row>
    <row r="2440" spans="2:10" x14ac:dyDescent="0.35">
      <c r="B2440" s="18">
        <v>1260705</v>
      </c>
      <c r="C2440" s="19" t="s">
        <v>4403</v>
      </c>
      <c r="D2440" s="5" t="s">
        <v>8</v>
      </c>
      <c r="E2440" s="19" t="s">
        <v>5596</v>
      </c>
      <c r="F2440" s="34" t="s">
        <v>3574</v>
      </c>
      <c r="G2440" s="27">
        <v>56.74</v>
      </c>
      <c r="H2440" s="1" t="s">
        <v>774</v>
      </c>
      <c r="I2440" s="20">
        <v>1</v>
      </c>
      <c r="J2440" s="36">
        <v>0.06</v>
      </c>
    </row>
    <row r="2441" spans="2:10" x14ac:dyDescent="0.35">
      <c r="B2441" s="18">
        <v>1202266</v>
      </c>
      <c r="C2441" s="19" t="s">
        <v>4404</v>
      </c>
      <c r="D2441" s="5" t="s">
        <v>8</v>
      </c>
      <c r="E2441" s="19" t="s">
        <v>5597</v>
      </c>
      <c r="F2441" s="34" t="s">
        <v>3574</v>
      </c>
      <c r="G2441" s="27">
        <v>72.73</v>
      </c>
      <c r="H2441" s="1" t="s">
        <v>774</v>
      </c>
      <c r="I2441" s="20">
        <v>1</v>
      </c>
      <c r="J2441" s="36">
        <v>0.06</v>
      </c>
    </row>
    <row r="2442" spans="2:10" x14ac:dyDescent="0.35">
      <c r="B2442" s="18">
        <v>1202239</v>
      </c>
      <c r="C2442" s="19" t="s">
        <v>4405</v>
      </c>
      <c r="D2442" s="5" t="s">
        <v>8</v>
      </c>
      <c r="E2442" s="19" t="s">
        <v>5598</v>
      </c>
      <c r="F2442" s="34" t="s">
        <v>3574</v>
      </c>
      <c r="G2442" s="27">
        <v>77.42</v>
      </c>
      <c r="H2442" s="1" t="s">
        <v>774</v>
      </c>
      <c r="I2442" s="20">
        <v>1</v>
      </c>
      <c r="J2442" s="36">
        <v>0.06</v>
      </c>
    </row>
    <row r="2443" spans="2:10" x14ac:dyDescent="0.35">
      <c r="B2443" s="18">
        <v>1202463</v>
      </c>
      <c r="C2443" s="19" t="s">
        <v>4406</v>
      </c>
      <c r="D2443" s="5" t="s">
        <v>8</v>
      </c>
      <c r="E2443" s="19" t="s">
        <v>5599</v>
      </c>
      <c r="F2443" s="34" t="s">
        <v>3574</v>
      </c>
      <c r="G2443" s="27">
        <v>58.32</v>
      </c>
      <c r="H2443" s="1" t="s">
        <v>774</v>
      </c>
      <c r="I2443" s="20">
        <v>1</v>
      </c>
      <c r="J2443" s="36">
        <v>0.06</v>
      </c>
    </row>
    <row r="2444" spans="2:10" x14ac:dyDescent="0.35">
      <c r="B2444" s="18">
        <v>4001276</v>
      </c>
      <c r="C2444" s="19" t="s">
        <v>4407</v>
      </c>
      <c r="D2444" s="5" t="s">
        <v>8</v>
      </c>
      <c r="E2444" s="19" t="s">
        <v>5600</v>
      </c>
      <c r="F2444" s="34" t="s">
        <v>3574</v>
      </c>
      <c r="G2444" s="27">
        <v>67.7</v>
      </c>
      <c r="H2444" s="1" t="s">
        <v>774</v>
      </c>
      <c r="I2444" s="20">
        <v>1</v>
      </c>
      <c r="J2444" s="36">
        <v>0.06</v>
      </c>
    </row>
    <row r="2445" spans="2:10" x14ac:dyDescent="0.35">
      <c r="B2445" s="18">
        <v>4001930</v>
      </c>
      <c r="C2445" s="19" t="s">
        <v>4407</v>
      </c>
      <c r="D2445" s="5" t="s">
        <v>8</v>
      </c>
      <c r="E2445" s="19" t="s">
        <v>5601</v>
      </c>
      <c r="F2445" s="34" t="s">
        <v>3574</v>
      </c>
      <c r="G2445" s="27">
        <v>57.61</v>
      </c>
      <c r="H2445" s="1" t="s">
        <v>774</v>
      </c>
      <c r="I2445" s="20">
        <v>1</v>
      </c>
      <c r="J2445" s="36">
        <v>0.06</v>
      </c>
    </row>
    <row r="2446" spans="2:10" x14ac:dyDescent="0.35">
      <c r="B2446" s="18" t="s">
        <v>3713</v>
      </c>
      <c r="C2446" s="19" t="s">
        <v>4350</v>
      </c>
      <c r="D2446" s="5" t="s">
        <v>8</v>
      </c>
      <c r="E2446" s="19" t="s">
        <v>5602</v>
      </c>
      <c r="F2446" s="34" t="s">
        <v>3574</v>
      </c>
      <c r="G2446" s="27">
        <v>95.82</v>
      </c>
      <c r="H2446" s="1" t="s">
        <v>774</v>
      </c>
      <c r="I2446" s="20">
        <v>1</v>
      </c>
      <c r="J2446" s="36">
        <v>0.06</v>
      </c>
    </row>
    <row r="2447" spans="2:10" x14ac:dyDescent="0.35">
      <c r="B2447" s="18">
        <v>3604576</v>
      </c>
      <c r="C2447" s="19" t="s">
        <v>4408</v>
      </c>
      <c r="D2447" s="5" t="s">
        <v>8</v>
      </c>
      <c r="E2447" s="19" t="s">
        <v>5603</v>
      </c>
      <c r="F2447" s="34" t="s">
        <v>3574</v>
      </c>
      <c r="G2447" s="27">
        <v>171.14</v>
      </c>
      <c r="H2447" s="1" t="s">
        <v>774</v>
      </c>
      <c r="I2447" s="20">
        <v>1</v>
      </c>
      <c r="J2447" s="36">
        <v>0.06</v>
      </c>
    </row>
    <row r="2448" spans="2:10" x14ac:dyDescent="0.35">
      <c r="B2448" s="18">
        <v>1586784</v>
      </c>
      <c r="C2448" s="19" t="s">
        <v>4409</v>
      </c>
      <c r="D2448" s="5" t="s">
        <v>8</v>
      </c>
      <c r="E2448" s="19" t="s">
        <v>5604</v>
      </c>
      <c r="F2448" s="34" t="s">
        <v>3574</v>
      </c>
      <c r="G2448" s="27">
        <v>170.15</v>
      </c>
      <c r="H2448" s="1" t="s">
        <v>774</v>
      </c>
      <c r="I2448" s="20">
        <v>1</v>
      </c>
      <c r="J2448" s="36">
        <v>0.06</v>
      </c>
    </row>
    <row r="2449" spans="2:10" x14ac:dyDescent="0.35">
      <c r="B2449" s="18">
        <v>1262066</v>
      </c>
      <c r="C2449" s="19" t="s">
        <v>4399</v>
      </c>
      <c r="D2449" s="5" t="s">
        <v>8</v>
      </c>
      <c r="E2449" s="19" t="s">
        <v>5605</v>
      </c>
      <c r="F2449" s="34" t="s">
        <v>3574</v>
      </c>
      <c r="G2449" s="27">
        <v>106.39</v>
      </c>
      <c r="H2449" s="1" t="s">
        <v>774</v>
      </c>
      <c r="I2449" s="20">
        <v>1</v>
      </c>
      <c r="J2449" s="36">
        <v>0.06</v>
      </c>
    </row>
    <row r="2450" spans="2:10" x14ac:dyDescent="0.35">
      <c r="B2450" s="18" t="s">
        <v>3714</v>
      </c>
      <c r="C2450" s="19" t="s">
        <v>4410</v>
      </c>
      <c r="D2450" s="5" t="s">
        <v>8</v>
      </c>
      <c r="E2450" s="19" t="s">
        <v>5606</v>
      </c>
      <c r="F2450" s="34" t="s">
        <v>3574</v>
      </c>
      <c r="G2450" s="27">
        <v>696.4</v>
      </c>
      <c r="H2450" s="1" t="s">
        <v>774</v>
      </c>
      <c r="I2450" s="20">
        <v>1</v>
      </c>
      <c r="J2450" s="36">
        <v>0.06</v>
      </c>
    </row>
    <row r="2451" spans="2:10" x14ac:dyDescent="0.35">
      <c r="B2451" s="18" t="s">
        <v>3715</v>
      </c>
      <c r="C2451" s="19" t="s">
        <v>4353</v>
      </c>
      <c r="D2451" s="5" t="s">
        <v>8</v>
      </c>
      <c r="E2451" s="19" t="s">
        <v>5607</v>
      </c>
      <c r="F2451" s="34" t="s">
        <v>3574</v>
      </c>
      <c r="G2451" s="27">
        <v>47.54</v>
      </c>
      <c r="H2451" s="1" t="s">
        <v>774</v>
      </c>
      <c r="I2451" s="20">
        <v>1</v>
      </c>
      <c r="J2451" s="36">
        <v>0.06</v>
      </c>
    </row>
    <row r="2452" spans="2:10" x14ac:dyDescent="0.35">
      <c r="B2452" s="18" t="s">
        <v>3716</v>
      </c>
      <c r="C2452" s="19" t="s">
        <v>4353</v>
      </c>
      <c r="D2452" s="5" t="s">
        <v>8</v>
      </c>
      <c r="E2452" s="19" t="s">
        <v>5608</v>
      </c>
      <c r="F2452" s="34" t="s">
        <v>3574</v>
      </c>
      <c r="G2452" s="27">
        <v>82.46</v>
      </c>
      <c r="H2452" s="1" t="s">
        <v>774</v>
      </c>
      <c r="I2452" s="20">
        <v>1</v>
      </c>
      <c r="J2452" s="36">
        <v>0.06</v>
      </c>
    </row>
    <row r="2453" spans="2:10" x14ac:dyDescent="0.35">
      <c r="B2453" s="18" t="s">
        <v>3717</v>
      </c>
      <c r="C2453" s="19" t="s">
        <v>4411</v>
      </c>
      <c r="D2453" s="5" t="s">
        <v>8</v>
      </c>
      <c r="E2453" s="19" t="s">
        <v>5609</v>
      </c>
      <c r="F2453" s="34" t="s">
        <v>3574</v>
      </c>
      <c r="G2453" s="27">
        <v>177.41</v>
      </c>
      <c r="H2453" s="1" t="s">
        <v>774</v>
      </c>
      <c r="I2453" s="20">
        <v>1</v>
      </c>
      <c r="J2453" s="36">
        <v>0.06</v>
      </c>
    </row>
    <row r="2454" spans="2:10" x14ac:dyDescent="0.35">
      <c r="B2454" s="18" t="s">
        <v>3718</v>
      </c>
      <c r="C2454" s="19" t="s">
        <v>4412</v>
      </c>
      <c r="D2454" s="5" t="s">
        <v>8</v>
      </c>
      <c r="E2454" s="19" t="s">
        <v>5610</v>
      </c>
      <c r="F2454" s="34" t="s">
        <v>3574</v>
      </c>
      <c r="G2454" s="27">
        <v>168.58</v>
      </c>
      <c r="H2454" s="1" t="s">
        <v>774</v>
      </c>
      <c r="I2454" s="20">
        <v>1</v>
      </c>
      <c r="J2454" s="36">
        <v>0.06</v>
      </c>
    </row>
    <row r="2455" spans="2:10" x14ac:dyDescent="0.35">
      <c r="B2455" s="18" t="s">
        <v>3719</v>
      </c>
      <c r="C2455" s="19" t="s">
        <v>4353</v>
      </c>
      <c r="D2455" s="5" t="s">
        <v>8</v>
      </c>
      <c r="E2455" s="19" t="s">
        <v>5611</v>
      </c>
      <c r="F2455" s="34" t="s">
        <v>3574</v>
      </c>
      <c r="G2455" s="27">
        <v>77.09</v>
      </c>
      <c r="H2455" s="1" t="s">
        <v>774</v>
      </c>
      <c r="I2455" s="20">
        <v>1</v>
      </c>
      <c r="J2455" s="36">
        <v>0.06</v>
      </c>
    </row>
    <row r="2456" spans="2:10" x14ac:dyDescent="0.35">
      <c r="B2456" s="18" t="s">
        <v>3720</v>
      </c>
      <c r="C2456" s="19" t="s">
        <v>4359</v>
      </c>
      <c r="D2456" s="5" t="s">
        <v>8</v>
      </c>
      <c r="E2456" s="19" t="s">
        <v>5612</v>
      </c>
      <c r="F2456" s="34" t="s">
        <v>3574</v>
      </c>
      <c r="G2456" s="27">
        <v>87.49</v>
      </c>
      <c r="H2456" s="1" t="s">
        <v>774</v>
      </c>
      <c r="I2456" s="20">
        <v>1</v>
      </c>
      <c r="J2456" s="36">
        <v>0.06</v>
      </c>
    </row>
    <row r="2457" spans="2:10" x14ac:dyDescent="0.35">
      <c r="B2457" s="18" t="s">
        <v>3721</v>
      </c>
      <c r="C2457" s="19" t="s">
        <v>4359</v>
      </c>
      <c r="D2457" s="5" t="s">
        <v>8</v>
      </c>
      <c r="E2457" s="19" t="s">
        <v>5613</v>
      </c>
      <c r="F2457" s="34" t="s">
        <v>3574</v>
      </c>
      <c r="G2457" s="27">
        <v>76.17</v>
      </c>
      <c r="H2457" s="1" t="s">
        <v>774</v>
      </c>
      <c r="I2457" s="20">
        <v>1</v>
      </c>
      <c r="J2457" s="36">
        <v>0.06</v>
      </c>
    </row>
    <row r="2458" spans="2:10" x14ac:dyDescent="0.35">
      <c r="B2458" s="18">
        <v>3010032</v>
      </c>
      <c r="C2458" s="19" t="s">
        <v>4413</v>
      </c>
      <c r="D2458" s="5" t="s">
        <v>8</v>
      </c>
      <c r="E2458" s="19" t="s">
        <v>5614</v>
      </c>
      <c r="F2458" s="34" t="s">
        <v>3574</v>
      </c>
      <c r="G2458" s="27">
        <v>148.6</v>
      </c>
      <c r="H2458" s="1" t="s">
        <v>774</v>
      </c>
      <c r="I2458" s="20">
        <v>1</v>
      </c>
      <c r="J2458" s="36">
        <v>0.06</v>
      </c>
    </row>
    <row r="2459" spans="2:10" x14ac:dyDescent="0.35">
      <c r="B2459" s="18" t="s">
        <v>3722</v>
      </c>
      <c r="C2459" s="19" t="s">
        <v>4414</v>
      </c>
      <c r="D2459" s="5" t="s">
        <v>8</v>
      </c>
      <c r="E2459" s="19" t="s">
        <v>5615</v>
      </c>
      <c r="F2459" s="34" t="s">
        <v>3574</v>
      </c>
      <c r="G2459" s="27">
        <v>64.62</v>
      </c>
      <c r="H2459" s="1" t="s">
        <v>774</v>
      </c>
      <c r="I2459" s="20">
        <v>1</v>
      </c>
      <c r="J2459" s="36">
        <v>0.06</v>
      </c>
    </row>
    <row r="2460" spans="2:10" x14ac:dyDescent="0.35">
      <c r="B2460" s="18" t="s">
        <v>3723</v>
      </c>
      <c r="C2460" s="19" t="s">
        <v>4359</v>
      </c>
      <c r="D2460" s="5" t="s">
        <v>8</v>
      </c>
      <c r="E2460" s="19" t="s">
        <v>5616</v>
      </c>
      <c r="F2460" s="34" t="s">
        <v>3574</v>
      </c>
      <c r="G2460" s="27">
        <v>79.209999999999994</v>
      </c>
      <c r="H2460" s="1" t="s">
        <v>774</v>
      </c>
      <c r="I2460" s="20">
        <v>1</v>
      </c>
      <c r="J2460" s="36">
        <v>0.06</v>
      </c>
    </row>
    <row r="2461" spans="2:10" x14ac:dyDescent="0.35">
      <c r="B2461" s="18" t="s">
        <v>3724</v>
      </c>
      <c r="C2461" s="19" t="s">
        <v>4415</v>
      </c>
      <c r="D2461" s="5" t="s">
        <v>8</v>
      </c>
      <c r="E2461" s="19" t="s">
        <v>5617</v>
      </c>
      <c r="F2461" s="34" t="s">
        <v>3574</v>
      </c>
      <c r="G2461" s="27">
        <v>167.63</v>
      </c>
      <c r="H2461" s="1" t="s">
        <v>774</v>
      </c>
      <c r="I2461" s="20">
        <v>1</v>
      </c>
      <c r="J2461" s="36">
        <v>0.06</v>
      </c>
    </row>
    <row r="2462" spans="2:10" x14ac:dyDescent="0.35">
      <c r="B2462" s="18" t="s">
        <v>3725</v>
      </c>
      <c r="C2462" s="19" t="s">
        <v>4416</v>
      </c>
      <c r="D2462" s="5" t="s">
        <v>8</v>
      </c>
      <c r="E2462" s="19" t="s">
        <v>5618</v>
      </c>
      <c r="F2462" s="34" t="s">
        <v>3574</v>
      </c>
      <c r="G2462" s="27">
        <v>169.67</v>
      </c>
      <c r="H2462" s="1" t="s">
        <v>774</v>
      </c>
      <c r="I2462" s="20">
        <v>1</v>
      </c>
      <c r="J2462" s="36">
        <v>0.06</v>
      </c>
    </row>
    <row r="2463" spans="2:10" x14ac:dyDescent="0.35">
      <c r="B2463" s="18">
        <v>3604164</v>
      </c>
      <c r="C2463" s="19" t="s">
        <v>4417</v>
      </c>
      <c r="D2463" s="5" t="s">
        <v>8</v>
      </c>
      <c r="E2463" s="19" t="s">
        <v>5619</v>
      </c>
      <c r="F2463" s="34" t="s">
        <v>3574</v>
      </c>
      <c r="G2463" s="27">
        <v>157.94</v>
      </c>
      <c r="H2463" s="1" t="s">
        <v>774</v>
      </c>
      <c r="I2463" s="20">
        <v>1</v>
      </c>
      <c r="J2463" s="36">
        <v>0.06</v>
      </c>
    </row>
    <row r="2464" spans="2:10" x14ac:dyDescent="0.35">
      <c r="B2464" s="18">
        <v>800001419</v>
      </c>
      <c r="C2464" s="19" t="s">
        <v>4418</v>
      </c>
      <c r="D2464" s="5" t="s">
        <v>8</v>
      </c>
      <c r="E2464" s="19" t="s">
        <v>5620</v>
      </c>
      <c r="F2464" s="34" t="s">
        <v>3574</v>
      </c>
      <c r="G2464" s="27">
        <v>213.85</v>
      </c>
      <c r="H2464" s="1" t="s">
        <v>774</v>
      </c>
      <c r="I2464" s="20">
        <v>1</v>
      </c>
      <c r="J2464" s="36">
        <v>0.06</v>
      </c>
    </row>
    <row r="2465" spans="2:10" x14ac:dyDescent="0.35">
      <c r="B2465" s="18">
        <v>4001172</v>
      </c>
      <c r="C2465" s="19" t="s">
        <v>4419</v>
      </c>
      <c r="D2465" s="5" t="s">
        <v>8</v>
      </c>
      <c r="E2465" s="19" t="s">
        <v>5621</v>
      </c>
      <c r="F2465" s="34" t="s">
        <v>3574</v>
      </c>
      <c r="G2465" s="27">
        <v>123.14</v>
      </c>
      <c r="H2465" s="1" t="s">
        <v>774</v>
      </c>
      <c r="I2465" s="20">
        <v>1</v>
      </c>
      <c r="J2465" s="36">
        <v>0.06</v>
      </c>
    </row>
    <row r="2466" spans="2:10" x14ac:dyDescent="0.35">
      <c r="B2466" s="18" t="s">
        <v>3726</v>
      </c>
      <c r="C2466" s="19" t="s">
        <v>4353</v>
      </c>
      <c r="D2466" s="5" t="s">
        <v>8</v>
      </c>
      <c r="E2466" s="19" t="s">
        <v>5622</v>
      </c>
      <c r="F2466" s="34" t="s">
        <v>3574</v>
      </c>
      <c r="G2466" s="27">
        <v>86.25</v>
      </c>
      <c r="H2466" s="1" t="s">
        <v>774</v>
      </c>
      <c r="I2466" s="20">
        <v>1</v>
      </c>
      <c r="J2466" s="36">
        <v>0.06</v>
      </c>
    </row>
    <row r="2467" spans="2:10" x14ac:dyDescent="0.35">
      <c r="B2467" s="18" t="s">
        <v>3727</v>
      </c>
      <c r="C2467" s="19" t="s">
        <v>4420</v>
      </c>
      <c r="D2467" s="5" t="s">
        <v>8</v>
      </c>
      <c r="E2467" s="19" t="s">
        <v>5623</v>
      </c>
      <c r="F2467" s="34" t="s">
        <v>3574</v>
      </c>
      <c r="G2467" s="27">
        <v>562.69000000000005</v>
      </c>
      <c r="H2467" s="1" t="s">
        <v>774</v>
      </c>
      <c r="I2467" s="20">
        <v>1</v>
      </c>
      <c r="J2467" s="36">
        <v>0.06</v>
      </c>
    </row>
    <row r="2468" spans="2:10" x14ac:dyDescent="0.35">
      <c r="B2468" s="18">
        <v>800002161</v>
      </c>
      <c r="C2468" s="19" t="s">
        <v>4421</v>
      </c>
      <c r="D2468" s="5" t="s">
        <v>8</v>
      </c>
      <c r="E2468" s="19" t="s">
        <v>5624</v>
      </c>
      <c r="F2468" s="34" t="s">
        <v>3574</v>
      </c>
      <c r="G2468" s="27">
        <v>574.04</v>
      </c>
      <c r="H2468" s="1" t="s">
        <v>774</v>
      </c>
      <c r="I2468" s="20">
        <v>1</v>
      </c>
      <c r="J2468" s="36">
        <v>0.06</v>
      </c>
    </row>
    <row r="2469" spans="2:10" x14ac:dyDescent="0.35">
      <c r="B2469" s="18">
        <v>3602488</v>
      </c>
      <c r="C2469" s="19" t="s">
        <v>4422</v>
      </c>
      <c r="D2469" s="5" t="s">
        <v>8</v>
      </c>
      <c r="E2469" s="19" t="s">
        <v>5625</v>
      </c>
      <c r="F2469" s="34" t="s">
        <v>3574</v>
      </c>
      <c r="G2469" s="27">
        <v>635.42999999999995</v>
      </c>
      <c r="H2469" s="1" t="s">
        <v>774</v>
      </c>
      <c r="I2469" s="20">
        <v>1</v>
      </c>
      <c r="J2469" s="36">
        <v>0.06</v>
      </c>
    </row>
    <row r="2470" spans="2:10" x14ac:dyDescent="0.35">
      <c r="B2470" s="18">
        <v>91302340</v>
      </c>
      <c r="C2470" s="19" t="s">
        <v>4423</v>
      </c>
      <c r="D2470" s="5" t="s">
        <v>8</v>
      </c>
      <c r="E2470" s="19" t="s">
        <v>5626</v>
      </c>
      <c r="F2470" s="34" t="s">
        <v>3574</v>
      </c>
      <c r="G2470" s="27">
        <v>448.34</v>
      </c>
      <c r="H2470" s="1" t="s">
        <v>774</v>
      </c>
      <c r="I2470" s="20">
        <v>1</v>
      </c>
      <c r="J2470" s="36">
        <v>0.06</v>
      </c>
    </row>
    <row r="2471" spans="2:10" x14ac:dyDescent="0.35">
      <c r="B2471" s="18">
        <v>1202531</v>
      </c>
      <c r="C2471" s="19" t="s">
        <v>4424</v>
      </c>
      <c r="D2471" s="5" t="s">
        <v>8</v>
      </c>
      <c r="E2471" s="19" t="s">
        <v>5627</v>
      </c>
      <c r="F2471" s="34" t="s">
        <v>3574</v>
      </c>
      <c r="G2471" s="27">
        <v>331.6</v>
      </c>
      <c r="H2471" s="1" t="s">
        <v>774</v>
      </c>
      <c r="I2471" s="20">
        <v>1</v>
      </c>
      <c r="J2471" s="36">
        <v>0.06</v>
      </c>
    </row>
    <row r="2472" spans="2:10" x14ac:dyDescent="0.35">
      <c r="B2472" s="18">
        <v>4002060</v>
      </c>
      <c r="C2472" s="19" t="s">
        <v>4425</v>
      </c>
      <c r="D2472" s="5" t="s">
        <v>8</v>
      </c>
      <c r="E2472" s="19" t="s">
        <v>5628</v>
      </c>
      <c r="F2472" s="34" t="s">
        <v>3574</v>
      </c>
      <c r="G2472" s="27">
        <v>479.28</v>
      </c>
      <c r="H2472" s="1" t="s">
        <v>774</v>
      </c>
      <c r="I2472" s="20">
        <v>1</v>
      </c>
      <c r="J2472" s="36">
        <v>0.06</v>
      </c>
    </row>
    <row r="2473" spans="2:10" x14ac:dyDescent="0.35">
      <c r="B2473" s="18">
        <v>1586971</v>
      </c>
      <c r="C2473" s="19" t="s">
        <v>4426</v>
      </c>
      <c r="D2473" s="5" t="s">
        <v>8</v>
      </c>
      <c r="E2473" s="19" t="s">
        <v>5629</v>
      </c>
      <c r="F2473" s="34" t="s">
        <v>3574</v>
      </c>
      <c r="G2473" s="27">
        <v>398.86</v>
      </c>
      <c r="H2473" s="1" t="s">
        <v>774</v>
      </c>
      <c r="I2473" s="20">
        <v>1</v>
      </c>
      <c r="J2473" s="36">
        <v>0.06</v>
      </c>
    </row>
    <row r="2474" spans="2:10" x14ac:dyDescent="0.35">
      <c r="B2474" s="18">
        <v>4002088</v>
      </c>
      <c r="C2474" s="19" t="s">
        <v>4427</v>
      </c>
      <c r="D2474" s="5" t="s">
        <v>8</v>
      </c>
      <c r="E2474" s="19" t="s">
        <v>5630</v>
      </c>
      <c r="F2474" s="34" t="s">
        <v>3574</v>
      </c>
      <c r="G2474" s="27">
        <v>574.48</v>
      </c>
      <c r="H2474" s="1" t="s">
        <v>774</v>
      </c>
      <c r="I2474" s="20">
        <v>1</v>
      </c>
      <c r="J2474" s="36">
        <v>0.06</v>
      </c>
    </row>
    <row r="2475" spans="2:10" x14ac:dyDescent="0.35">
      <c r="B2475" s="18">
        <v>7025935</v>
      </c>
      <c r="C2475" s="19" t="s">
        <v>4428</v>
      </c>
      <c r="D2475" s="5" t="s">
        <v>8</v>
      </c>
      <c r="E2475" s="19" t="s">
        <v>5631</v>
      </c>
      <c r="F2475" s="34" t="s">
        <v>3574</v>
      </c>
      <c r="G2475" s="27">
        <v>398.93</v>
      </c>
      <c r="H2475" s="1" t="s">
        <v>774</v>
      </c>
      <c r="I2475" s="20">
        <v>1</v>
      </c>
      <c r="J2475" s="36">
        <v>0.06</v>
      </c>
    </row>
    <row r="2476" spans="2:10" x14ac:dyDescent="0.35">
      <c r="B2476" s="18" t="s">
        <v>3728</v>
      </c>
      <c r="C2476" s="19" t="s">
        <v>4429</v>
      </c>
      <c r="D2476" s="5" t="s">
        <v>8</v>
      </c>
      <c r="E2476" s="19" t="s">
        <v>5632</v>
      </c>
      <c r="F2476" s="34" t="s">
        <v>3574</v>
      </c>
      <c r="G2476" s="27">
        <v>367.66</v>
      </c>
      <c r="H2476" s="1" t="s">
        <v>774</v>
      </c>
      <c r="I2476" s="20">
        <v>1</v>
      </c>
      <c r="J2476" s="36">
        <v>0.06</v>
      </c>
    </row>
    <row r="2477" spans="2:10" x14ac:dyDescent="0.35">
      <c r="B2477" s="18">
        <v>800000478</v>
      </c>
      <c r="C2477" s="19" t="s">
        <v>4430</v>
      </c>
      <c r="D2477" s="5" t="s">
        <v>8</v>
      </c>
      <c r="E2477" s="19" t="s">
        <v>5633</v>
      </c>
      <c r="F2477" s="34" t="s">
        <v>3574</v>
      </c>
      <c r="G2477" s="27">
        <v>472.90999999999997</v>
      </c>
      <c r="H2477" s="1" t="s">
        <v>774</v>
      </c>
      <c r="I2477" s="20">
        <v>1</v>
      </c>
      <c r="J2477" s="36">
        <v>0.06</v>
      </c>
    </row>
    <row r="2478" spans="2:10" x14ac:dyDescent="0.35">
      <c r="B2478" s="18">
        <v>800000209</v>
      </c>
      <c r="C2478" s="19" t="s">
        <v>4431</v>
      </c>
      <c r="D2478" s="5" t="s">
        <v>8</v>
      </c>
      <c r="E2478" s="19" t="s">
        <v>5634</v>
      </c>
      <c r="F2478" s="34" t="s">
        <v>3574</v>
      </c>
      <c r="G2478" s="27">
        <v>743.24</v>
      </c>
      <c r="H2478" s="1" t="s">
        <v>774</v>
      </c>
      <c r="I2478" s="20">
        <v>1</v>
      </c>
      <c r="J2478" s="36">
        <v>0.06</v>
      </c>
    </row>
    <row r="2479" spans="2:10" x14ac:dyDescent="0.35">
      <c r="B2479" s="18" t="s">
        <v>3729</v>
      </c>
      <c r="C2479" s="19" t="s">
        <v>4432</v>
      </c>
      <c r="D2479" s="5" t="s">
        <v>8</v>
      </c>
      <c r="E2479" s="19" t="s">
        <v>5635</v>
      </c>
      <c r="F2479" s="34" t="s">
        <v>3574</v>
      </c>
      <c r="G2479" s="27">
        <v>385.7</v>
      </c>
      <c r="H2479" s="1" t="s">
        <v>774</v>
      </c>
      <c r="I2479" s="20">
        <v>1</v>
      </c>
      <c r="J2479" s="36">
        <v>0.06</v>
      </c>
    </row>
    <row r="2480" spans="2:10" x14ac:dyDescent="0.35">
      <c r="B2480" s="18" t="s">
        <v>3730</v>
      </c>
      <c r="C2480" s="19" t="s">
        <v>4433</v>
      </c>
      <c r="D2480" s="5" t="s">
        <v>8</v>
      </c>
      <c r="E2480" s="19" t="s">
        <v>5636</v>
      </c>
      <c r="F2480" s="34" t="s">
        <v>3574</v>
      </c>
      <c r="G2480" s="27">
        <v>416.42</v>
      </c>
      <c r="H2480" s="1" t="s">
        <v>774</v>
      </c>
      <c r="I2480" s="20">
        <v>1</v>
      </c>
      <c r="J2480" s="36">
        <v>0.06</v>
      </c>
    </row>
    <row r="2481" spans="2:10" x14ac:dyDescent="0.35">
      <c r="B2481" s="18" t="s">
        <v>3731</v>
      </c>
      <c r="C2481" s="19" t="s">
        <v>4350</v>
      </c>
      <c r="D2481" s="5" t="s">
        <v>8</v>
      </c>
      <c r="E2481" s="19" t="s">
        <v>5637</v>
      </c>
      <c r="F2481" s="34" t="s">
        <v>3574</v>
      </c>
      <c r="G2481" s="27">
        <v>67.39</v>
      </c>
      <c r="H2481" s="1" t="s">
        <v>774</v>
      </c>
      <c r="I2481" s="20">
        <v>1</v>
      </c>
      <c r="J2481" s="36">
        <v>0.06</v>
      </c>
    </row>
    <row r="2482" spans="2:10" x14ac:dyDescent="0.35">
      <c r="B2482" s="18">
        <v>3604643</v>
      </c>
      <c r="C2482" s="19" t="s">
        <v>4434</v>
      </c>
      <c r="D2482" s="5" t="s">
        <v>8</v>
      </c>
      <c r="E2482" s="19" t="s">
        <v>5638</v>
      </c>
      <c r="F2482" s="34" t="s">
        <v>3574</v>
      </c>
      <c r="G2482" s="27">
        <v>173.61</v>
      </c>
      <c r="H2482" s="1" t="s">
        <v>774</v>
      </c>
      <c r="I2482" s="20">
        <v>1</v>
      </c>
      <c r="J2482" s="36">
        <v>0.06</v>
      </c>
    </row>
    <row r="2483" spans="2:10" x14ac:dyDescent="0.35">
      <c r="B2483" s="18">
        <v>91011300</v>
      </c>
      <c r="C2483" s="19" t="s">
        <v>4435</v>
      </c>
      <c r="D2483" s="5" t="s">
        <v>8</v>
      </c>
      <c r="E2483" s="19" t="s">
        <v>5639</v>
      </c>
      <c r="F2483" s="34" t="s">
        <v>3574</v>
      </c>
      <c r="G2483" s="27">
        <v>194.06</v>
      </c>
      <c r="H2483" s="1" t="s">
        <v>774</v>
      </c>
      <c r="I2483" s="20">
        <v>1</v>
      </c>
      <c r="J2483" s="36">
        <v>0.06</v>
      </c>
    </row>
    <row r="2484" spans="2:10" x14ac:dyDescent="0.35">
      <c r="B2484" s="18">
        <v>3603138</v>
      </c>
      <c r="C2484" s="19" t="s">
        <v>4436</v>
      </c>
      <c r="D2484" s="5" t="s">
        <v>8</v>
      </c>
      <c r="E2484" s="19" t="s">
        <v>5640</v>
      </c>
      <c r="F2484" s="34" t="s">
        <v>3574</v>
      </c>
      <c r="G2484" s="27">
        <v>207.53</v>
      </c>
      <c r="H2484" s="1" t="s">
        <v>774</v>
      </c>
      <c r="I2484" s="20">
        <v>1</v>
      </c>
      <c r="J2484" s="36">
        <v>0.06</v>
      </c>
    </row>
    <row r="2485" spans="2:10" x14ac:dyDescent="0.35">
      <c r="B2485" s="18" t="s">
        <v>3732</v>
      </c>
      <c r="C2485" s="19" t="s">
        <v>4350</v>
      </c>
      <c r="D2485" s="5" t="s">
        <v>8</v>
      </c>
      <c r="E2485" s="19" t="s">
        <v>5641</v>
      </c>
      <c r="F2485" s="34" t="s">
        <v>3574</v>
      </c>
      <c r="G2485" s="27">
        <v>85.39</v>
      </c>
      <c r="H2485" s="1" t="s">
        <v>774</v>
      </c>
      <c r="I2485" s="20">
        <v>1</v>
      </c>
      <c r="J2485" s="36">
        <v>0.06</v>
      </c>
    </row>
    <row r="2486" spans="2:10" x14ac:dyDescent="0.35">
      <c r="B2486" s="18">
        <v>4020127</v>
      </c>
      <c r="C2486" s="19" t="s">
        <v>4437</v>
      </c>
      <c r="D2486" s="5" t="s">
        <v>8</v>
      </c>
      <c r="E2486" s="19" t="s">
        <v>5642</v>
      </c>
      <c r="F2486" s="34" t="s">
        <v>3574</v>
      </c>
      <c r="G2486" s="27">
        <v>77.63</v>
      </c>
      <c r="H2486" s="1" t="s">
        <v>774</v>
      </c>
      <c r="I2486" s="20">
        <v>1</v>
      </c>
      <c r="J2486" s="36">
        <v>0.06</v>
      </c>
    </row>
    <row r="2487" spans="2:10" x14ac:dyDescent="0.35">
      <c r="B2487" s="18" t="s">
        <v>3733</v>
      </c>
      <c r="C2487" s="19" t="s">
        <v>4353</v>
      </c>
      <c r="D2487" s="5" t="s">
        <v>8</v>
      </c>
      <c r="E2487" s="19" t="s">
        <v>5643</v>
      </c>
      <c r="F2487" s="34" t="s">
        <v>3574</v>
      </c>
      <c r="G2487" s="27">
        <v>77.63</v>
      </c>
      <c r="H2487" s="1" t="s">
        <v>774</v>
      </c>
      <c r="I2487" s="20">
        <v>1</v>
      </c>
      <c r="J2487" s="36">
        <v>0.06</v>
      </c>
    </row>
    <row r="2488" spans="2:10" x14ac:dyDescent="0.35">
      <c r="B2488" s="18" t="s">
        <v>3734</v>
      </c>
      <c r="C2488" s="19" t="s">
        <v>4350</v>
      </c>
      <c r="D2488" s="5" t="s">
        <v>8</v>
      </c>
      <c r="E2488" s="19" t="s">
        <v>5643</v>
      </c>
      <c r="F2488" s="34" t="s">
        <v>3574</v>
      </c>
      <c r="G2488" s="27">
        <v>77.63</v>
      </c>
      <c r="H2488" s="1" t="s">
        <v>774</v>
      </c>
      <c r="I2488" s="20">
        <v>1</v>
      </c>
      <c r="J2488" s="36">
        <v>0.06</v>
      </c>
    </row>
    <row r="2489" spans="2:10" x14ac:dyDescent="0.35">
      <c r="B2489" s="18" t="s">
        <v>3735</v>
      </c>
      <c r="C2489" s="19" t="s">
        <v>4353</v>
      </c>
      <c r="D2489" s="5" t="s">
        <v>8</v>
      </c>
      <c r="E2489" s="19" t="s">
        <v>5644</v>
      </c>
      <c r="F2489" s="34" t="s">
        <v>3574</v>
      </c>
      <c r="G2489" s="27">
        <v>133.46</v>
      </c>
      <c r="H2489" s="1" t="s">
        <v>774</v>
      </c>
      <c r="I2489" s="20">
        <v>1</v>
      </c>
      <c r="J2489" s="36">
        <v>0.06</v>
      </c>
    </row>
    <row r="2490" spans="2:10" x14ac:dyDescent="0.35">
      <c r="B2490" s="18" t="s">
        <v>3736</v>
      </c>
      <c r="C2490" s="19" t="s">
        <v>4353</v>
      </c>
      <c r="D2490" s="5" t="s">
        <v>8</v>
      </c>
      <c r="E2490" s="19" t="s">
        <v>5645</v>
      </c>
      <c r="F2490" s="34" t="s">
        <v>3574</v>
      </c>
      <c r="G2490" s="27">
        <v>141.21</v>
      </c>
      <c r="H2490" s="1" t="s">
        <v>774</v>
      </c>
      <c r="I2490" s="20">
        <v>1</v>
      </c>
      <c r="J2490" s="36">
        <v>0.06</v>
      </c>
    </row>
    <row r="2491" spans="2:10" x14ac:dyDescent="0.35">
      <c r="B2491" s="18">
        <v>1202255</v>
      </c>
      <c r="C2491" s="19" t="s">
        <v>4438</v>
      </c>
      <c r="D2491" s="5" t="s">
        <v>8</v>
      </c>
      <c r="E2491" s="19" t="s">
        <v>5646</v>
      </c>
      <c r="F2491" s="34" t="s">
        <v>3574</v>
      </c>
      <c r="G2491" s="27">
        <v>68.47</v>
      </c>
      <c r="H2491" s="1" t="s">
        <v>774</v>
      </c>
      <c r="I2491" s="20">
        <v>1</v>
      </c>
      <c r="J2491" s="36">
        <v>0.06</v>
      </c>
    </row>
    <row r="2492" spans="2:10" x14ac:dyDescent="0.35">
      <c r="B2492" s="18" t="s">
        <v>3737</v>
      </c>
      <c r="C2492" s="19" t="s">
        <v>4353</v>
      </c>
      <c r="D2492" s="5" t="s">
        <v>8</v>
      </c>
      <c r="E2492" s="19" t="s">
        <v>5647</v>
      </c>
      <c r="F2492" s="34" t="s">
        <v>3574</v>
      </c>
      <c r="G2492" s="27">
        <v>133.35</v>
      </c>
      <c r="H2492" s="1" t="s">
        <v>774</v>
      </c>
      <c r="I2492" s="20">
        <v>1</v>
      </c>
      <c r="J2492" s="36">
        <v>0.06</v>
      </c>
    </row>
    <row r="2493" spans="2:10" x14ac:dyDescent="0.35">
      <c r="B2493" s="18">
        <v>1202256</v>
      </c>
      <c r="C2493" s="19" t="s">
        <v>4395</v>
      </c>
      <c r="D2493" s="5" t="s">
        <v>8</v>
      </c>
      <c r="E2493" s="19" t="s">
        <v>5648</v>
      </c>
      <c r="F2493" s="34" t="s">
        <v>3574</v>
      </c>
      <c r="G2493" s="27">
        <v>90.03</v>
      </c>
      <c r="H2493" s="1" t="s">
        <v>774</v>
      </c>
      <c r="I2493" s="20">
        <v>1</v>
      </c>
      <c r="J2493" s="36">
        <v>0.06</v>
      </c>
    </row>
    <row r="2494" spans="2:10" x14ac:dyDescent="0.35">
      <c r="B2494" s="18">
        <v>4000651</v>
      </c>
      <c r="C2494" s="19" t="s">
        <v>4439</v>
      </c>
      <c r="D2494" s="5" t="s">
        <v>8</v>
      </c>
      <c r="E2494" s="19" t="s">
        <v>5649</v>
      </c>
      <c r="F2494" s="34" t="s">
        <v>3574</v>
      </c>
      <c r="G2494" s="27">
        <v>118.18</v>
      </c>
      <c r="H2494" s="1" t="s">
        <v>774</v>
      </c>
      <c r="I2494" s="20">
        <v>1</v>
      </c>
      <c r="J2494" s="36">
        <v>0.06</v>
      </c>
    </row>
    <row r="2495" spans="2:10" x14ac:dyDescent="0.35">
      <c r="B2495" s="18">
        <v>4000652</v>
      </c>
      <c r="C2495" s="19" t="s">
        <v>4440</v>
      </c>
      <c r="D2495" s="5" t="s">
        <v>8</v>
      </c>
      <c r="E2495" s="19" t="s">
        <v>5650</v>
      </c>
      <c r="F2495" s="34" t="s">
        <v>3574</v>
      </c>
      <c r="G2495" s="27">
        <v>94.72</v>
      </c>
      <c r="H2495" s="1" t="s">
        <v>774</v>
      </c>
      <c r="I2495" s="20">
        <v>1</v>
      </c>
      <c r="J2495" s="36">
        <v>0.06</v>
      </c>
    </row>
    <row r="2496" spans="2:10" x14ac:dyDescent="0.35">
      <c r="B2496" s="18">
        <v>3604147</v>
      </c>
      <c r="C2496" s="19" t="s">
        <v>4441</v>
      </c>
      <c r="D2496" s="5" t="s">
        <v>8</v>
      </c>
      <c r="E2496" s="19" t="s">
        <v>5651</v>
      </c>
      <c r="F2496" s="34" t="s">
        <v>3574</v>
      </c>
      <c r="G2496" s="27">
        <v>94.72</v>
      </c>
      <c r="H2496" s="1" t="s">
        <v>774</v>
      </c>
      <c r="I2496" s="20">
        <v>1</v>
      </c>
      <c r="J2496" s="36">
        <v>0.06</v>
      </c>
    </row>
    <row r="2497" spans="2:10" x14ac:dyDescent="0.35">
      <c r="B2497" s="18">
        <v>1202254</v>
      </c>
      <c r="C2497" s="19" t="s">
        <v>4385</v>
      </c>
      <c r="D2497" s="5" t="s">
        <v>8</v>
      </c>
      <c r="E2497" s="19" t="s">
        <v>5652</v>
      </c>
      <c r="F2497" s="34" t="s">
        <v>3574</v>
      </c>
      <c r="G2497" s="27">
        <v>67.819999999999993</v>
      </c>
      <c r="H2497" s="1" t="s">
        <v>774</v>
      </c>
      <c r="I2497" s="20">
        <v>1</v>
      </c>
      <c r="J2497" s="36">
        <v>0.06</v>
      </c>
    </row>
    <row r="2498" spans="2:10" x14ac:dyDescent="0.35">
      <c r="B2498" s="18" t="s">
        <v>3738</v>
      </c>
      <c r="C2498" s="19" t="s">
        <v>4353</v>
      </c>
      <c r="D2498" s="5" t="s">
        <v>8</v>
      </c>
      <c r="E2498" s="19" t="s">
        <v>5653</v>
      </c>
      <c r="F2498" s="34" t="s">
        <v>3574</v>
      </c>
      <c r="G2498" s="27">
        <v>62.01</v>
      </c>
      <c r="H2498" s="1" t="s">
        <v>774</v>
      </c>
      <c r="I2498" s="20">
        <v>1</v>
      </c>
      <c r="J2498" s="36">
        <v>0.06</v>
      </c>
    </row>
    <row r="2499" spans="2:10" x14ac:dyDescent="0.35">
      <c r="B2499" s="18" t="s">
        <v>3739</v>
      </c>
      <c r="C2499" s="19" t="s">
        <v>4350</v>
      </c>
      <c r="D2499" s="5" t="s">
        <v>8</v>
      </c>
      <c r="E2499" s="19" t="s">
        <v>5654</v>
      </c>
      <c r="F2499" s="34" t="s">
        <v>3574</v>
      </c>
      <c r="G2499" s="27">
        <v>42.38</v>
      </c>
      <c r="H2499" s="1" t="s">
        <v>774</v>
      </c>
      <c r="I2499" s="20">
        <v>1</v>
      </c>
      <c r="J2499" s="36">
        <v>0.06</v>
      </c>
    </row>
    <row r="2500" spans="2:10" x14ac:dyDescent="0.35">
      <c r="B2500" s="18">
        <v>1261068</v>
      </c>
      <c r="C2500" s="19" t="s">
        <v>4442</v>
      </c>
      <c r="D2500" s="5" t="s">
        <v>8</v>
      </c>
      <c r="E2500" s="19" t="s">
        <v>5655</v>
      </c>
      <c r="F2500" s="34" t="s">
        <v>3574</v>
      </c>
      <c r="G2500" s="27">
        <v>55.34</v>
      </c>
      <c r="H2500" s="1" t="s">
        <v>774</v>
      </c>
      <c r="I2500" s="20">
        <v>1</v>
      </c>
      <c r="J2500" s="36">
        <v>0.06</v>
      </c>
    </row>
    <row r="2501" spans="2:10" x14ac:dyDescent="0.35">
      <c r="B2501" s="18" t="s">
        <v>3740</v>
      </c>
      <c r="C2501" s="19" t="s">
        <v>4353</v>
      </c>
      <c r="D2501" s="5" t="s">
        <v>8</v>
      </c>
      <c r="E2501" s="19" t="s">
        <v>5656</v>
      </c>
      <c r="F2501" s="34" t="s">
        <v>3574</v>
      </c>
      <c r="G2501" s="27">
        <v>59.22</v>
      </c>
      <c r="H2501" s="1" t="s">
        <v>774</v>
      </c>
      <c r="I2501" s="20">
        <v>1</v>
      </c>
      <c r="J2501" s="36">
        <v>0.06</v>
      </c>
    </row>
    <row r="2502" spans="2:10" x14ac:dyDescent="0.35">
      <c r="B2502" s="18" t="s">
        <v>3741</v>
      </c>
      <c r="C2502" s="19" t="s">
        <v>4443</v>
      </c>
      <c r="D2502" s="5" t="s">
        <v>8</v>
      </c>
      <c r="E2502" s="19" t="s">
        <v>5657</v>
      </c>
      <c r="F2502" s="34" t="s">
        <v>3574</v>
      </c>
      <c r="G2502" s="27">
        <v>82.41</v>
      </c>
      <c r="H2502" s="1" t="s">
        <v>774</v>
      </c>
      <c r="I2502" s="20">
        <v>1</v>
      </c>
      <c r="J2502" s="36">
        <v>0.06</v>
      </c>
    </row>
    <row r="2503" spans="2:10" x14ac:dyDescent="0.35">
      <c r="B2503" s="18">
        <v>4001422</v>
      </c>
      <c r="C2503" s="19" t="s">
        <v>4444</v>
      </c>
      <c r="D2503" s="5" t="s">
        <v>8</v>
      </c>
      <c r="E2503" s="19" t="s">
        <v>5658</v>
      </c>
      <c r="F2503" s="34" t="s">
        <v>3574</v>
      </c>
      <c r="G2503" s="27">
        <v>110.39</v>
      </c>
      <c r="H2503" s="1" t="s">
        <v>774</v>
      </c>
      <c r="I2503" s="20">
        <v>1</v>
      </c>
      <c r="J2503" s="36">
        <v>0.06</v>
      </c>
    </row>
    <row r="2504" spans="2:10" x14ac:dyDescent="0.35">
      <c r="B2504" s="18" t="s">
        <v>3742</v>
      </c>
      <c r="C2504" s="19" t="s">
        <v>4353</v>
      </c>
      <c r="D2504" s="5" t="s">
        <v>8</v>
      </c>
      <c r="E2504" s="19" t="s">
        <v>5659</v>
      </c>
      <c r="F2504" s="34" t="s">
        <v>3574</v>
      </c>
      <c r="G2504" s="27">
        <v>52.44</v>
      </c>
      <c r="H2504" s="1" t="s">
        <v>774</v>
      </c>
      <c r="I2504" s="20">
        <v>1</v>
      </c>
      <c r="J2504" s="36">
        <v>0.06</v>
      </c>
    </row>
    <row r="2505" spans="2:10" x14ac:dyDescent="0.35">
      <c r="B2505" s="18" t="s">
        <v>3743</v>
      </c>
      <c r="C2505" s="19" t="s">
        <v>4445</v>
      </c>
      <c r="D2505" s="5" t="s">
        <v>8</v>
      </c>
      <c r="E2505" s="19" t="s">
        <v>5660</v>
      </c>
      <c r="F2505" s="34" t="s">
        <v>3574</v>
      </c>
      <c r="G2505" s="27">
        <v>92.06</v>
      </c>
      <c r="H2505" s="1" t="s">
        <v>774</v>
      </c>
      <c r="I2505" s="20">
        <v>1</v>
      </c>
      <c r="J2505" s="36">
        <v>0.06</v>
      </c>
    </row>
    <row r="2506" spans="2:10" x14ac:dyDescent="0.35">
      <c r="B2506" s="18" t="s">
        <v>3744</v>
      </c>
      <c r="C2506" s="19" t="s">
        <v>4446</v>
      </c>
      <c r="D2506" s="5" t="s">
        <v>8</v>
      </c>
      <c r="E2506" s="19" t="s">
        <v>5661</v>
      </c>
      <c r="F2506" s="34" t="s">
        <v>3574</v>
      </c>
      <c r="G2506" s="27">
        <v>92.06</v>
      </c>
      <c r="H2506" s="1" t="s">
        <v>774</v>
      </c>
      <c r="I2506" s="20">
        <v>1</v>
      </c>
      <c r="J2506" s="36">
        <v>0.06</v>
      </c>
    </row>
    <row r="2507" spans="2:10" x14ac:dyDescent="0.35">
      <c r="B2507" s="18">
        <v>3604402</v>
      </c>
      <c r="C2507" s="19" t="s">
        <v>4447</v>
      </c>
      <c r="D2507" s="5" t="s">
        <v>8</v>
      </c>
      <c r="E2507" s="19" t="s">
        <v>5662</v>
      </c>
      <c r="F2507" s="34" t="s">
        <v>3574</v>
      </c>
      <c r="G2507" s="27">
        <v>64.319999999999993</v>
      </c>
      <c r="H2507" s="1" t="s">
        <v>774</v>
      </c>
      <c r="I2507" s="20">
        <v>1</v>
      </c>
      <c r="J2507" s="36">
        <v>0.06</v>
      </c>
    </row>
    <row r="2508" spans="2:10" x14ac:dyDescent="0.35">
      <c r="B2508" s="18" t="s">
        <v>3745</v>
      </c>
      <c r="C2508" s="19" t="s">
        <v>4353</v>
      </c>
      <c r="D2508" s="5" t="s">
        <v>8</v>
      </c>
      <c r="E2508" s="19" t="s">
        <v>5663</v>
      </c>
      <c r="F2508" s="34" t="s">
        <v>3574</v>
      </c>
      <c r="G2508" s="27">
        <v>74.62</v>
      </c>
      <c r="H2508" s="1" t="s">
        <v>774</v>
      </c>
      <c r="I2508" s="20">
        <v>1</v>
      </c>
      <c r="J2508" s="36">
        <v>0.06</v>
      </c>
    </row>
    <row r="2509" spans="2:10" x14ac:dyDescent="0.35">
      <c r="B2509" s="18">
        <v>3010073</v>
      </c>
      <c r="C2509" s="19" t="s">
        <v>4448</v>
      </c>
      <c r="D2509" s="5" t="s">
        <v>8</v>
      </c>
      <c r="E2509" s="19" t="s">
        <v>5664</v>
      </c>
      <c r="F2509" s="34" t="s">
        <v>3574</v>
      </c>
      <c r="G2509" s="27">
        <v>162.04</v>
      </c>
      <c r="H2509" s="1" t="s">
        <v>774</v>
      </c>
      <c r="I2509" s="20">
        <v>1</v>
      </c>
      <c r="J2509" s="36">
        <v>0.06</v>
      </c>
    </row>
    <row r="2510" spans="2:10" x14ac:dyDescent="0.35">
      <c r="B2510" s="18" t="s">
        <v>3746</v>
      </c>
      <c r="C2510" s="19" t="s">
        <v>4353</v>
      </c>
      <c r="D2510" s="5" t="s">
        <v>8</v>
      </c>
      <c r="E2510" s="19" t="s">
        <v>5665</v>
      </c>
      <c r="F2510" s="34" t="s">
        <v>3574</v>
      </c>
      <c r="G2510" s="27">
        <v>64.55</v>
      </c>
      <c r="H2510" s="1" t="s">
        <v>774</v>
      </c>
      <c r="I2510" s="20">
        <v>1</v>
      </c>
      <c r="J2510" s="36">
        <v>0.06</v>
      </c>
    </row>
    <row r="2511" spans="2:10" x14ac:dyDescent="0.35">
      <c r="B2511" s="18" t="s">
        <v>3747</v>
      </c>
      <c r="C2511" s="19" t="s">
        <v>4353</v>
      </c>
      <c r="D2511" s="5" t="s">
        <v>8</v>
      </c>
      <c r="E2511" s="19" t="s">
        <v>5666</v>
      </c>
      <c r="F2511" s="34" t="s">
        <v>3574</v>
      </c>
      <c r="G2511" s="27">
        <v>49.67</v>
      </c>
      <c r="H2511" s="1" t="s">
        <v>774</v>
      </c>
      <c r="I2511" s="20">
        <v>1</v>
      </c>
      <c r="J2511" s="36">
        <v>0.06</v>
      </c>
    </row>
    <row r="2512" spans="2:10" x14ac:dyDescent="0.35">
      <c r="B2512" s="18" t="s">
        <v>3748</v>
      </c>
      <c r="C2512" s="19" t="s">
        <v>4350</v>
      </c>
      <c r="D2512" s="5" t="s">
        <v>8</v>
      </c>
      <c r="E2512" s="19" t="s">
        <v>5666</v>
      </c>
      <c r="F2512" s="34" t="s">
        <v>3574</v>
      </c>
      <c r="G2512" s="27">
        <v>49.67</v>
      </c>
      <c r="H2512" s="1" t="s">
        <v>774</v>
      </c>
      <c r="I2512" s="20">
        <v>1</v>
      </c>
      <c r="J2512" s="36">
        <v>0.06</v>
      </c>
    </row>
    <row r="2513" spans="2:10" x14ac:dyDescent="0.35">
      <c r="B2513" s="18" t="s">
        <v>3749</v>
      </c>
      <c r="C2513" s="19" t="s">
        <v>4353</v>
      </c>
      <c r="D2513" s="5" t="s">
        <v>8</v>
      </c>
      <c r="E2513" s="19" t="s">
        <v>5667</v>
      </c>
      <c r="F2513" s="34" t="s">
        <v>3574</v>
      </c>
      <c r="G2513" s="27">
        <v>49.67</v>
      </c>
      <c r="H2513" s="1" t="s">
        <v>774</v>
      </c>
      <c r="I2513" s="20">
        <v>1</v>
      </c>
      <c r="J2513" s="36">
        <v>0.06</v>
      </c>
    </row>
    <row r="2514" spans="2:10" x14ac:dyDescent="0.35">
      <c r="B2514" s="18">
        <v>1261767</v>
      </c>
      <c r="C2514" s="19" t="s">
        <v>4449</v>
      </c>
      <c r="D2514" s="5" t="s">
        <v>8</v>
      </c>
      <c r="E2514" s="19" t="s">
        <v>5668</v>
      </c>
      <c r="F2514" s="34" t="s">
        <v>3574</v>
      </c>
      <c r="G2514" s="27">
        <v>144.19999999999999</v>
      </c>
      <c r="H2514" s="1" t="s">
        <v>774</v>
      </c>
      <c r="I2514" s="20">
        <v>1</v>
      </c>
      <c r="J2514" s="36">
        <v>0.06</v>
      </c>
    </row>
    <row r="2515" spans="2:10" x14ac:dyDescent="0.35">
      <c r="B2515" s="18" t="s">
        <v>3750</v>
      </c>
      <c r="C2515" s="19" t="s">
        <v>4353</v>
      </c>
      <c r="D2515" s="5" t="s">
        <v>8</v>
      </c>
      <c r="E2515" s="19" t="s">
        <v>5669</v>
      </c>
      <c r="F2515" s="34" t="s">
        <v>3574</v>
      </c>
      <c r="G2515" s="27">
        <v>49.67</v>
      </c>
      <c r="H2515" s="1" t="s">
        <v>774</v>
      </c>
      <c r="I2515" s="20">
        <v>1</v>
      </c>
      <c r="J2515" s="36">
        <v>0.06</v>
      </c>
    </row>
    <row r="2516" spans="2:10" x14ac:dyDescent="0.35">
      <c r="B2516" s="18" t="s">
        <v>3751</v>
      </c>
      <c r="C2516" s="19" t="s">
        <v>4450</v>
      </c>
      <c r="D2516" s="5" t="s">
        <v>8</v>
      </c>
      <c r="E2516" s="19" t="s">
        <v>5669</v>
      </c>
      <c r="F2516" s="34" t="s">
        <v>3574</v>
      </c>
      <c r="G2516" s="27">
        <v>49.67</v>
      </c>
      <c r="H2516" s="1" t="s">
        <v>774</v>
      </c>
      <c r="I2516" s="20">
        <v>1</v>
      </c>
      <c r="J2516" s="36">
        <v>0.06</v>
      </c>
    </row>
    <row r="2517" spans="2:10" x14ac:dyDescent="0.35">
      <c r="B2517" s="18">
        <v>800001741</v>
      </c>
      <c r="C2517" s="19" t="s">
        <v>4451</v>
      </c>
      <c r="D2517" s="5" t="s">
        <v>8</v>
      </c>
      <c r="E2517" s="19" t="s">
        <v>5670</v>
      </c>
      <c r="F2517" s="34" t="s">
        <v>3574</v>
      </c>
      <c r="G2517" s="27">
        <v>70.73</v>
      </c>
      <c r="H2517" s="1" t="s">
        <v>774</v>
      </c>
      <c r="I2517" s="20">
        <v>1</v>
      </c>
      <c r="J2517" s="36">
        <v>0.06</v>
      </c>
    </row>
    <row r="2518" spans="2:10" x14ac:dyDescent="0.35">
      <c r="B2518" s="18" t="s">
        <v>3752</v>
      </c>
      <c r="C2518" s="19" t="s">
        <v>4353</v>
      </c>
      <c r="D2518" s="5" t="s">
        <v>8</v>
      </c>
      <c r="E2518" s="19" t="s">
        <v>5671</v>
      </c>
      <c r="F2518" s="34" t="s">
        <v>3574</v>
      </c>
      <c r="G2518" s="27">
        <v>49.67</v>
      </c>
      <c r="H2518" s="1" t="s">
        <v>774</v>
      </c>
      <c r="I2518" s="20">
        <v>1</v>
      </c>
      <c r="J2518" s="36">
        <v>0.06</v>
      </c>
    </row>
    <row r="2519" spans="2:10" x14ac:dyDescent="0.35">
      <c r="B2519" s="18" t="s">
        <v>3753</v>
      </c>
      <c r="C2519" s="19" t="s">
        <v>4353</v>
      </c>
      <c r="D2519" s="5" t="s">
        <v>8</v>
      </c>
      <c r="E2519" s="19" t="s">
        <v>5672</v>
      </c>
      <c r="F2519" s="34" t="s">
        <v>3574</v>
      </c>
      <c r="G2519" s="27">
        <v>52.44</v>
      </c>
      <c r="H2519" s="1" t="s">
        <v>774</v>
      </c>
      <c r="I2519" s="20">
        <v>1</v>
      </c>
      <c r="J2519" s="36">
        <v>0.06</v>
      </c>
    </row>
    <row r="2520" spans="2:10" x14ac:dyDescent="0.35">
      <c r="B2520" s="18" t="s">
        <v>3754</v>
      </c>
      <c r="C2520" s="19" t="s">
        <v>4353</v>
      </c>
      <c r="D2520" s="5" t="s">
        <v>8</v>
      </c>
      <c r="E2520" s="19" t="s">
        <v>5673</v>
      </c>
      <c r="F2520" s="34" t="s">
        <v>3574</v>
      </c>
      <c r="G2520" s="27">
        <v>53.95</v>
      </c>
      <c r="H2520" s="1" t="s">
        <v>774</v>
      </c>
      <c r="I2520" s="20">
        <v>1</v>
      </c>
      <c r="J2520" s="36">
        <v>0.06</v>
      </c>
    </row>
    <row r="2521" spans="2:10" x14ac:dyDescent="0.35">
      <c r="B2521" s="18">
        <v>800000677</v>
      </c>
      <c r="C2521" s="19" t="s">
        <v>4402</v>
      </c>
      <c r="D2521" s="5" t="s">
        <v>8</v>
      </c>
      <c r="E2521" s="19" t="s">
        <v>5674</v>
      </c>
      <c r="F2521" s="34" t="s">
        <v>3574</v>
      </c>
      <c r="G2521" s="27">
        <v>75.05</v>
      </c>
      <c r="H2521" s="1" t="s">
        <v>774</v>
      </c>
      <c r="I2521" s="20">
        <v>1</v>
      </c>
      <c r="J2521" s="36">
        <v>0.06</v>
      </c>
    </row>
    <row r="2522" spans="2:10" x14ac:dyDescent="0.35">
      <c r="B2522" s="18">
        <v>3603233</v>
      </c>
      <c r="C2522" s="19" t="s">
        <v>4452</v>
      </c>
      <c r="D2522" s="5" t="s">
        <v>8</v>
      </c>
      <c r="E2522" s="19" t="s">
        <v>5675</v>
      </c>
      <c r="F2522" s="34" t="s">
        <v>3574</v>
      </c>
      <c r="G2522" s="27">
        <v>106.39999999999999</v>
      </c>
      <c r="H2522" s="1" t="s">
        <v>774</v>
      </c>
      <c r="I2522" s="20">
        <v>1</v>
      </c>
      <c r="J2522" s="36">
        <v>0.06</v>
      </c>
    </row>
    <row r="2523" spans="2:10" x14ac:dyDescent="0.35">
      <c r="B2523" s="18">
        <v>1202602</v>
      </c>
      <c r="C2523" s="19" t="s">
        <v>4453</v>
      </c>
      <c r="D2523" s="5" t="s">
        <v>8</v>
      </c>
      <c r="E2523" s="19" t="s">
        <v>5676</v>
      </c>
      <c r="F2523" s="34" t="s">
        <v>3574</v>
      </c>
      <c r="G2523" s="27">
        <v>94.72</v>
      </c>
      <c r="H2523" s="1" t="s">
        <v>774</v>
      </c>
      <c r="I2523" s="20">
        <v>1</v>
      </c>
      <c r="J2523" s="36">
        <v>0.06</v>
      </c>
    </row>
    <row r="2524" spans="2:10" x14ac:dyDescent="0.35">
      <c r="B2524" s="18" t="s">
        <v>3755</v>
      </c>
      <c r="C2524" s="19" t="s">
        <v>4353</v>
      </c>
      <c r="D2524" s="5" t="s">
        <v>8</v>
      </c>
      <c r="E2524" s="19" t="s">
        <v>5677</v>
      </c>
      <c r="F2524" s="34" t="s">
        <v>3574</v>
      </c>
      <c r="G2524" s="27">
        <v>172</v>
      </c>
      <c r="H2524" s="1" t="s">
        <v>774</v>
      </c>
      <c r="I2524" s="20">
        <v>1</v>
      </c>
      <c r="J2524" s="36">
        <v>0.06</v>
      </c>
    </row>
    <row r="2525" spans="2:10" x14ac:dyDescent="0.35">
      <c r="B2525" s="18">
        <v>1202242</v>
      </c>
      <c r="C2525" s="19" t="s">
        <v>4454</v>
      </c>
      <c r="D2525" s="5" t="s">
        <v>8</v>
      </c>
      <c r="E2525" s="19" t="s">
        <v>5678</v>
      </c>
      <c r="F2525" s="34" t="s">
        <v>3574</v>
      </c>
      <c r="G2525" s="27">
        <v>114.88</v>
      </c>
      <c r="H2525" s="1" t="s">
        <v>774</v>
      </c>
      <c r="I2525" s="20">
        <v>1</v>
      </c>
      <c r="J2525" s="36">
        <v>0.06</v>
      </c>
    </row>
    <row r="2526" spans="2:10" x14ac:dyDescent="0.35">
      <c r="B2526" s="18">
        <v>1202383</v>
      </c>
      <c r="C2526" s="19" t="s">
        <v>4383</v>
      </c>
      <c r="D2526" s="5" t="s">
        <v>8</v>
      </c>
      <c r="E2526" s="19" t="s">
        <v>5679</v>
      </c>
      <c r="F2526" s="34" t="s">
        <v>3574</v>
      </c>
      <c r="G2526" s="27">
        <v>86.93</v>
      </c>
      <c r="H2526" s="1" t="s">
        <v>774</v>
      </c>
      <c r="I2526" s="20">
        <v>1</v>
      </c>
      <c r="J2526" s="36">
        <v>0.06</v>
      </c>
    </row>
    <row r="2527" spans="2:10" x14ac:dyDescent="0.35">
      <c r="B2527" s="18">
        <v>800000378</v>
      </c>
      <c r="C2527" s="19" t="s">
        <v>4455</v>
      </c>
      <c r="D2527" s="5" t="s">
        <v>8</v>
      </c>
      <c r="E2527" s="19" t="s">
        <v>5680</v>
      </c>
      <c r="F2527" s="34" t="s">
        <v>3574</v>
      </c>
      <c r="G2527" s="27">
        <v>108.4</v>
      </c>
      <c r="H2527" s="1" t="s">
        <v>774</v>
      </c>
      <c r="I2527" s="20">
        <v>1</v>
      </c>
      <c r="J2527" s="36">
        <v>0.06</v>
      </c>
    </row>
    <row r="2528" spans="2:10" x14ac:dyDescent="0.35">
      <c r="B2528" s="18" t="s">
        <v>3756</v>
      </c>
      <c r="C2528" s="19" t="s">
        <v>4353</v>
      </c>
      <c r="D2528" s="5" t="s">
        <v>8</v>
      </c>
      <c r="E2528" s="19" t="s">
        <v>5681</v>
      </c>
      <c r="F2528" s="34" t="s">
        <v>3574</v>
      </c>
      <c r="G2528" s="27">
        <v>844.03</v>
      </c>
      <c r="H2528" s="1" t="s">
        <v>774</v>
      </c>
      <c r="I2528" s="20">
        <v>1</v>
      </c>
      <c r="J2528" s="36">
        <v>0.06</v>
      </c>
    </row>
    <row r="2529" spans="2:10" x14ac:dyDescent="0.35">
      <c r="B2529" s="18" t="s">
        <v>3757</v>
      </c>
      <c r="C2529" s="19" t="s">
        <v>4456</v>
      </c>
      <c r="D2529" s="5" t="s">
        <v>8</v>
      </c>
      <c r="E2529" s="19" t="s">
        <v>5682</v>
      </c>
      <c r="F2529" s="34" t="s">
        <v>3574</v>
      </c>
      <c r="G2529" s="27">
        <v>28.2</v>
      </c>
      <c r="H2529" s="1" t="s">
        <v>774</v>
      </c>
      <c r="I2529" s="20">
        <v>1</v>
      </c>
      <c r="J2529" s="36">
        <v>0.06</v>
      </c>
    </row>
    <row r="2530" spans="2:10" x14ac:dyDescent="0.35">
      <c r="B2530" s="18" t="s">
        <v>3758</v>
      </c>
      <c r="C2530" s="19" t="s">
        <v>4353</v>
      </c>
      <c r="D2530" s="5" t="s">
        <v>8</v>
      </c>
      <c r="E2530" s="19" t="s">
        <v>5683</v>
      </c>
      <c r="F2530" s="34" t="s">
        <v>3574</v>
      </c>
      <c r="G2530" s="27">
        <v>33.04</v>
      </c>
      <c r="H2530" s="1" t="s">
        <v>774</v>
      </c>
      <c r="I2530" s="20">
        <v>1</v>
      </c>
      <c r="J2530" s="36">
        <v>0.06</v>
      </c>
    </row>
    <row r="2531" spans="2:10" x14ac:dyDescent="0.35">
      <c r="B2531" s="18" t="s">
        <v>3759</v>
      </c>
      <c r="C2531" s="19" t="s">
        <v>4353</v>
      </c>
      <c r="D2531" s="5" t="s">
        <v>8</v>
      </c>
      <c r="E2531" s="19" t="s">
        <v>5684</v>
      </c>
      <c r="F2531" s="34" t="s">
        <v>3574</v>
      </c>
      <c r="G2531" s="27">
        <v>30.52</v>
      </c>
      <c r="H2531" s="1" t="s">
        <v>774</v>
      </c>
      <c r="I2531" s="20">
        <v>1</v>
      </c>
      <c r="J2531" s="36">
        <v>0.06</v>
      </c>
    </row>
    <row r="2532" spans="2:10" x14ac:dyDescent="0.35">
      <c r="B2532" s="18">
        <v>3604521</v>
      </c>
      <c r="C2532" s="19" t="s">
        <v>4457</v>
      </c>
      <c r="D2532" s="5" t="s">
        <v>8</v>
      </c>
      <c r="E2532" s="19" t="s">
        <v>5685</v>
      </c>
      <c r="F2532" s="34" t="s">
        <v>3574</v>
      </c>
      <c r="G2532" s="27">
        <v>54.06</v>
      </c>
      <c r="H2532" s="1" t="s">
        <v>774</v>
      </c>
      <c r="I2532" s="20">
        <v>1</v>
      </c>
      <c r="J2532" s="36">
        <v>0.06</v>
      </c>
    </row>
    <row r="2533" spans="2:10" x14ac:dyDescent="0.35">
      <c r="B2533" s="18">
        <v>3603869</v>
      </c>
      <c r="C2533" s="19" t="s">
        <v>4458</v>
      </c>
      <c r="D2533" s="5" t="s">
        <v>8</v>
      </c>
      <c r="E2533" s="19" t="s">
        <v>5686</v>
      </c>
      <c r="F2533" s="34" t="s">
        <v>3574</v>
      </c>
      <c r="G2533" s="27">
        <v>89.2</v>
      </c>
      <c r="H2533" s="1" t="s">
        <v>774</v>
      </c>
      <c r="I2533" s="20">
        <v>1</v>
      </c>
      <c r="J2533" s="36">
        <v>0.06</v>
      </c>
    </row>
    <row r="2534" spans="2:10" x14ac:dyDescent="0.35">
      <c r="B2534" s="18">
        <v>3604269</v>
      </c>
      <c r="C2534" s="19" t="s">
        <v>4459</v>
      </c>
      <c r="D2534" s="5" t="s">
        <v>8</v>
      </c>
      <c r="E2534" s="19" t="s">
        <v>5687</v>
      </c>
      <c r="F2534" s="34" t="s">
        <v>3574</v>
      </c>
      <c r="G2534" s="27">
        <v>60.7</v>
      </c>
      <c r="H2534" s="1" t="s">
        <v>774</v>
      </c>
      <c r="I2534" s="20">
        <v>1</v>
      </c>
      <c r="J2534" s="36">
        <v>0.06</v>
      </c>
    </row>
    <row r="2535" spans="2:10" x14ac:dyDescent="0.35">
      <c r="B2535" s="18">
        <v>4001237</v>
      </c>
      <c r="C2535" s="19" t="s">
        <v>4460</v>
      </c>
      <c r="D2535" s="5" t="s">
        <v>8</v>
      </c>
      <c r="E2535" s="19" t="s">
        <v>5688</v>
      </c>
      <c r="F2535" s="34" t="s">
        <v>3574</v>
      </c>
      <c r="G2535" s="27">
        <v>51.24</v>
      </c>
      <c r="H2535" s="1" t="s">
        <v>774</v>
      </c>
      <c r="I2535" s="20">
        <v>1</v>
      </c>
      <c r="J2535" s="36">
        <v>0.06</v>
      </c>
    </row>
    <row r="2536" spans="2:10" x14ac:dyDescent="0.35">
      <c r="B2536" s="18" t="s">
        <v>3760</v>
      </c>
      <c r="C2536" s="19" t="s">
        <v>4352</v>
      </c>
      <c r="D2536" s="5" t="s">
        <v>8</v>
      </c>
      <c r="E2536" s="19" t="s">
        <v>5689</v>
      </c>
      <c r="F2536" s="34" t="s">
        <v>3574</v>
      </c>
      <c r="G2536" s="27">
        <v>44.88</v>
      </c>
      <c r="H2536" s="1" t="s">
        <v>774</v>
      </c>
      <c r="I2536" s="20">
        <v>1</v>
      </c>
      <c r="J2536" s="36">
        <v>0.06</v>
      </c>
    </row>
    <row r="2537" spans="2:10" x14ac:dyDescent="0.35">
      <c r="B2537" s="18">
        <v>4001143</v>
      </c>
      <c r="C2537" s="19" t="s">
        <v>4461</v>
      </c>
      <c r="D2537" s="5" t="s">
        <v>8</v>
      </c>
      <c r="E2537" s="19" t="s">
        <v>5690</v>
      </c>
      <c r="F2537" s="34" t="s">
        <v>3574</v>
      </c>
      <c r="G2537" s="27">
        <v>35.4</v>
      </c>
      <c r="H2537" s="1" t="s">
        <v>774</v>
      </c>
      <c r="I2537" s="20">
        <v>1</v>
      </c>
      <c r="J2537" s="36">
        <v>0.06</v>
      </c>
    </row>
    <row r="2538" spans="2:10" x14ac:dyDescent="0.35">
      <c r="B2538" s="18">
        <v>4001170</v>
      </c>
      <c r="C2538" s="19" t="s">
        <v>4462</v>
      </c>
      <c r="D2538" s="5" t="s">
        <v>8</v>
      </c>
      <c r="E2538" s="19" t="s">
        <v>5691</v>
      </c>
      <c r="F2538" s="34" t="s">
        <v>3574</v>
      </c>
      <c r="G2538" s="27">
        <v>58.53</v>
      </c>
      <c r="H2538" s="1" t="s">
        <v>774</v>
      </c>
      <c r="I2538" s="20">
        <v>1</v>
      </c>
      <c r="J2538" s="36">
        <v>0.06</v>
      </c>
    </row>
    <row r="2539" spans="2:10" x14ac:dyDescent="0.35">
      <c r="B2539" s="18">
        <v>4001511</v>
      </c>
      <c r="C2539" s="19" t="s">
        <v>4396</v>
      </c>
      <c r="D2539" s="5" t="s">
        <v>8</v>
      </c>
      <c r="E2539" s="19" t="s">
        <v>5692</v>
      </c>
      <c r="F2539" s="34" t="s">
        <v>3574</v>
      </c>
      <c r="G2539" s="27">
        <v>44.28</v>
      </c>
      <c r="H2539" s="1" t="s">
        <v>774</v>
      </c>
      <c r="I2539" s="20">
        <v>1</v>
      </c>
      <c r="J2539" s="36">
        <v>0.06</v>
      </c>
    </row>
    <row r="2540" spans="2:10" x14ac:dyDescent="0.35">
      <c r="B2540" s="18">
        <v>1261842</v>
      </c>
      <c r="C2540" s="19" t="s">
        <v>4463</v>
      </c>
      <c r="D2540" s="5" t="s">
        <v>8</v>
      </c>
      <c r="E2540" s="19" t="s">
        <v>5693</v>
      </c>
      <c r="F2540" s="34" t="s">
        <v>3574</v>
      </c>
      <c r="G2540" s="27">
        <v>33.619999999999997</v>
      </c>
      <c r="H2540" s="1" t="s">
        <v>774</v>
      </c>
      <c r="I2540" s="20">
        <v>1</v>
      </c>
      <c r="J2540" s="36">
        <v>0.06</v>
      </c>
    </row>
    <row r="2541" spans="2:10" x14ac:dyDescent="0.35">
      <c r="B2541" s="18">
        <v>4001171</v>
      </c>
      <c r="C2541" s="19" t="s">
        <v>4368</v>
      </c>
      <c r="D2541" s="5" t="s">
        <v>8</v>
      </c>
      <c r="E2541" s="19" t="s">
        <v>5694</v>
      </c>
      <c r="F2541" s="34" t="s">
        <v>3574</v>
      </c>
      <c r="G2541" s="27">
        <v>46.34</v>
      </c>
      <c r="H2541" s="1" t="s">
        <v>774</v>
      </c>
      <c r="I2541" s="20">
        <v>1</v>
      </c>
      <c r="J2541" s="36">
        <v>0.06</v>
      </c>
    </row>
    <row r="2542" spans="2:10" x14ac:dyDescent="0.35">
      <c r="B2542" s="18" t="s">
        <v>3761</v>
      </c>
      <c r="C2542" s="19" t="s">
        <v>4353</v>
      </c>
      <c r="D2542" s="5" t="s">
        <v>8</v>
      </c>
      <c r="E2542" s="19" t="s">
        <v>5695</v>
      </c>
      <c r="F2542" s="34" t="s">
        <v>3574</v>
      </c>
      <c r="G2542" s="27">
        <v>41.32</v>
      </c>
      <c r="H2542" s="1" t="s">
        <v>774</v>
      </c>
      <c r="I2542" s="20">
        <v>1</v>
      </c>
      <c r="J2542" s="36">
        <v>0.06</v>
      </c>
    </row>
    <row r="2543" spans="2:10" x14ac:dyDescent="0.35">
      <c r="B2543" s="18" t="s">
        <v>3762</v>
      </c>
      <c r="C2543" s="19" t="s">
        <v>4464</v>
      </c>
      <c r="D2543" s="5" t="s">
        <v>8</v>
      </c>
      <c r="E2543" s="19" t="s">
        <v>5696</v>
      </c>
      <c r="F2543" s="34" t="s">
        <v>3574</v>
      </c>
      <c r="G2543" s="27">
        <v>38.54</v>
      </c>
      <c r="H2543" s="1" t="s">
        <v>774</v>
      </c>
      <c r="I2543" s="20">
        <v>1</v>
      </c>
      <c r="J2543" s="36">
        <v>0.06</v>
      </c>
    </row>
    <row r="2544" spans="2:10" x14ac:dyDescent="0.35">
      <c r="B2544" s="18">
        <v>3603337</v>
      </c>
      <c r="C2544" s="19" t="s">
        <v>4465</v>
      </c>
      <c r="D2544" s="5" t="s">
        <v>8</v>
      </c>
      <c r="E2544" s="19" t="s">
        <v>5697</v>
      </c>
      <c r="F2544" s="34" t="s">
        <v>3574</v>
      </c>
      <c r="G2544" s="27">
        <v>35.58</v>
      </c>
      <c r="H2544" s="1" t="s">
        <v>774</v>
      </c>
      <c r="I2544" s="20">
        <v>1</v>
      </c>
      <c r="J2544" s="36">
        <v>0.06</v>
      </c>
    </row>
    <row r="2545" spans="2:10" x14ac:dyDescent="0.35">
      <c r="B2545" s="18">
        <v>3603181</v>
      </c>
      <c r="C2545" s="19" t="s">
        <v>4466</v>
      </c>
      <c r="D2545" s="5" t="s">
        <v>8</v>
      </c>
      <c r="E2545" s="19" t="s">
        <v>5698</v>
      </c>
      <c r="F2545" s="34" t="s">
        <v>3574</v>
      </c>
      <c r="G2545" s="27">
        <v>37.08</v>
      </c>
      <c r="H2545" s="1" t="s">
        <v>774</v>
      </c>
      <c r="I2545" s="20">
        <v>1</v>
      </c>
      <c r="J2545" s="36">
        <v>0.06</v>
      </c>
    </row>
    <row r="2546" spans="2:10" x14ac:dyDescent="0.35">
      <c r="B2546" s="18" t="s">
        <v>3763</v>
      </c>
      <c r="C2546" s="19" t="s">
        <v>4467</v>
      </c>
      <c r="D2546" s="5" t="s">
        <v>8</v>
      </c>
      <c r="E2546" s="19" t="s">
        <v>5699</v>
      </c>
      <c r="F2546" s="34" t="s">
        <v>3574</v>
      </c>
      <c r="G2546" s="27">
        <v>1.78</v>
      </c>
      <c r="H2546" s="1" t="s">
        <v>774</v>
      </c>
      <c r="I2546" s="20">
        <v>1</v>
      </c>
      <c r="J2546" s="36">
        <v>0.06</v>
      </c>
    </row>
    <row r="2547" spans="2:10" x14ac:dyDescent="0.35">
      <c r="B2547" s="18" t="s">
        <v>3764</v>
      </c>
      <c r="C2547" s="19" t="s">
        <v>4352</v>
      </c>
      <c r="D2547" s="5" t="s">
        <v>8</v>
      </c>
      <c r="E2547" s="19" t="s">
        <v>5700</v>
      </c>
      <c r="F2547" s="34" t="s">
        <v>3574</v>
      </c>
      <c r="G2547" s="27">
        <v>59.69</v>
      </c>
      <c r="H2547" s="1" t="s">
        <v>774</v>
      </c>
      <c r="I2547" s="20">
        <v>1</v>
      </c>
      <c r="J2547" s="36">
        <v>0.06</v>
      </c>
    </row>
    <row r="2548" spans="2:10" x14ac:dyDescent="0.35">
      <c r="B2548" s="18">
        <v>4001310</v>
      </c>
      <c r="C2548" s="19" t="s">
        <v>4468</v>
      </c>
      <c r="D2548" s="5" t="s">
        <v>8</v>
      </c>
      <c r="E2548" s="19" t="s">
        <v>5701</v>
      </c>
      <c r="F2548" s="34" t="s">
        <v>3574</v>
      </c>
      <c r="G2548" s="27">
        <v>38.590000000000003</v>
      </c>
      <c r="H2548" s="1" t="s">
        <v>774</v>
      </c>
      <c r="I2548" s="20">
        <v>1</v>
      </c>
      <c r="J2548" s="36">
        <v>0.06</v>
      </c>
    </row>
    <row r="2549" spans="2:10" x14ac:dyDescent="0.35">
      <c r="B2549" s="18">
        <v>4000687</v>
      </c>
      <c r="C2549" s="19" t="s">
        <v>4469</v>
      </c>
      <c r="D2549" s="5" t="s">
        <v>8</v>
      </c>
      <c r="E2549" s="19" t="s">
        <v>5702</v>
      </c>
      <c r="F2549" s="34" t="s">
        <v>3574</v>
      </c>
      <c r="G2549" s="27">
        <v>27.93</v>
      </c>
      <c r="H2549" s="1" t="s">
        <v>774</v>
      </c>
      <c r="I2549" s="20">
        <v>1</v>
      </c>
      <c r="J2549" s="36">
        <v>0.06</v>
      </c>
    </row>
    <row r="2550" spans="2:10" x14ac:dyDescent="0.35">
      <c r="B2550" s="18">
        <v>4001168</v>
      </c>
      <c r="C2550" s="19" t="s">
        <v>4470</v>
      </c>
      <c r="D2550" s="5" t="s">
        <v>8</v>
      </c>
      <c r="E2550" s="19" t="s">
        <v>5703</v>
      </c>
      <c r="F2550" s="34" t="s">
        <v>3574</v>
      </c>
      <c r="G2550" s="27">
        <v>30.33</v>
      </c>
      <c r="H2550" s="1" t="s">
        <v>774</v>
      </c>
      <c r="I2550" s="20">
        <v>1</v>
      </c>
      <c r="J2550" s="36">
        <v>0.06</v>
      </c>
    </row>
    <row r="2551" spans="2:10" x14ac:dyDescent="0.35">
      <c r="B2551" s="18">
        <v>1202782</v>
      </c>
      <c r="C2551" s="19" t="s">
        <v>4471</v>
      </c>
      <c r="D2551" s="5" t="s">
        <v>8</v>
      </c>
      <c r="E2551" s="19" t="s">
        <v>5704</v>
      </c>
      <c r="F2551" s="34" t="s">
        <v>3574</v>
      </c>
      <c r="G2551" s="27">
        <v>31.21</v>
      </c>
      <c r="H2551" s="1" t="s">
        <v>774</v>
      </c>
      <c r="I2551" s="20">
        <v>1</v>
      </c>
      <c r="J2551" s="36">
        <v>0.06</v>
      </c>
    </row>
    <row r="2552" spans="2:10" x14ac:dyDescent="0.35">
      <c r="B2552" s="18">
        <v>4001360</v>
      </c>
      <c r="C2552" s="19" t="s">
        <v>4472</v>
      </c>
      <c r="D2552" s="5" t="s">
        <v>8</v>
      </c>
      <c r="E2552" s="19" t="s">
        <v>5705</v>
      </c>
      <c r="F2552" s="34" t="s">
        <v>3574</v>
      </c>
      <c r="G2552" s="27">
        <v>30.33</v>
      </c>
      <c r="H2552" s="1" t="s">
        <v>774</v>
      </c>
      <c r="I2552" s="20">
        <v>1</v>
      </c>
      <c r="J2552" s="36">
        <v>0.06</v>
      </c>
    </row>
    <row r="2553" spans="2:10" x14ac:dyDescent="0.35">
      <c r="B2553" s="18">
        <v>1202663</v>
      </c>
      <c r="C2553" s="19" t="s">
        <v>4473</v>
      </c>
      <c r="D2553" s="5" t="s">
        <v>8</v>
      </c>
      <c r="E2553" s="19" t="s">
        <v>5706</v>
      </c>
      <c r="F2553" s="34" t="s">
        <v>3574</v>
      </c>
      <c r="G2553" s="27">
        <v>27.45</v>
      </c>
      <c r="H2553" s="1" t="s">
        <v>774</v>
      </c>
      <c r="I2553" s="20">
        <v>1</v>
      </c>
      <c r="J2553" s="36">
        <v>0.06</v>
      </c>
    </row>
    <row r="2554" spans="2:10" x14ac:dyDescent="0.35">
      <c r="B2554" s="18" t="s">
        <v>3765</v>
      </c>
      <c r="C2554" s="19" t="s">
        <v>4352</v>
      </c>
      <c r="D2554" s="5" t="s">
        <v>8</v>
      </c>
      <c r="E2554" s="19" t="s">
        <v>5706</v>
      </c>
      <c r="F2554" s="34" t="s">
        <v>3574</v>
      </c>
      <c r="G2554" s="27">
        <v>27.45</v>
      </c>
      <c r="H2554" s="1" t="s">
        <v>774</v>
      </c>
      <c r="I2554" s="20">
        <v>1</v>
      </c>
      <c r="J2554" s="36">
        <v>0.06</v>
      </c>
    </row>
    <row r="2555" spans="2:10" x14ac:dyDescent="0.35">
      <c r="B2555" s="18">
        <v>1261853</v>
      </c>
      <c r="C2555" s="19" t="s">
        <v>4474</v>
      </c>
      <c r="D2555" s="5" t="s">
        <v>8</v>
      </c>
      <c r="E2555" s="19" t="s">
        <v>5707</v>
      </c>
      <c r="F2555" s="34" t="s">
        <v>3574</v>
      </c>
      <c r="G2555" s="27">
        <v>37.119999999999997</v>
      </c>
      <c r="H2555" s="1" t="s">
        <v>774</v>
      </c>
      <c r="I2555" s="20">
        <v>1</v>
      </c>
      <c r="J2555" s="36">
        <v>0.06</v>
      </c>
    </row>
    <row r="2556" spans="2:10" x14ac:dyDescent="0.35">
      <c r="B2556" s="18">
        <v>1262162</v>
      </c>
      <c r="C2556" s="19" t="s">
        <v>4475</v>
      </c>
      <c r="D2556" s="5" t="s">
        <v>8</v>
      </c>
      <c r="E2556" s="19" t="s">
        <v>5708</v>
      </c>
      <c r="F2556" s="34" t="s">
        <v>3574</v>
      </c>
      <c r="G2556" s="27">
        <v>45.48</v>
      </c>
      <c r="H2556" s="1" t="s">
        <v>774</v>
      </c>
      <c r="I2556" s="20">
        <v>1</v>
      </c>
      <c r="J2556" s="36">
        <v>0.06</v>
      </c>
    </row>
    <row r="2557" spans="2:10" x14ac:dyDescent="0.35">
      <c r="B2557" s="18" t="s">
        <v>3766</v>
      </c>
      <c r="C2557" s="19" t="s">
        <v>4350</v>
      </c>
      <c r="D2557" s="5" t="s">
        <v>8</v>
      </c>
      <c r="E2557" s="19" t="s">
        <v>5709</v>
      </c>
      <c r="F2557" s="34" t="s">
        <v>3574</v>
      </c>
      <c r="G2557" s="27">
        <v>1465.83</v>
      </c>
      <c r="H2557" s="1" t="s">
        <v>774</v>
      </c>
      <c r="I2557" s="20">
        <v>1</v>
      </c>
      <c r="J2557" s="36">
        <v>0.06</v>
      </c>
    </row>
    <row r="2558" spans="2:10" x14ac:dyDescent="0.35">
      <c r="B2558" s="18" t="s">
        <v>3767</v>
      </c>
      <c r="C2558" s="19" t="s">
        <v>4476</v>
      </c>
      <c r="D2558" s="5" t="s">
        <v>8</v>
      </c>
      <c r="E2558" s="19" t="s">
        <v>5710</v>
      </c>
      <c r="F2558" s="34" t="s">
        <v>3574</v>
      </c>
      <c r="G2558" s="27">
        <v>90.42</v>
      </c>
      <c r="H2558" s="1" t="s">
        <v>774</v>
      </c>
      <c r="I2558" s="20">
        <v>1</v>
      </c>
      <c r="J2558" s="36">
        <v>0.06</v>
      </c>
    </row>
    <row r="2559" spans="2:10" x14ac:dyDescent="0.35">
      <c r="B2559" s="18">
        <v>1202262</v>
      </c>
      <c r="C2559" s="19" t="s">
        <v>4353</v>
      </c>
      <c r="D2559" s="5" t="s">
        <v>8</v>
      </c>
      <c r="E2559" s="19" t="s">
        <v>5711</v>
      </c>
      <c r="F2559" s="34" t="s">
        <v>3574</v>
      </c>
      <c r="G2559" s="27">
        <v>31.55</v>
      </c>
      <c r="H2559" s="1" t="s">
        <v>774</v>
      </c>
      <c r="I2559" s="20">
        <v>1</v>
      </c>
      <c r="J2559" s="36">
        <v>0.06</v>
      </c>
    </row>
    <row r="2560" spans="2:10" x14ac:dyDescent="0.35">
      <c r="B2560" s="18" t="s">
        <v>3768</v>
      </c>
      <c r="C2560" s="19" t="s">
        <v>4353</v>
      </c>
      <c r="D2560" s="5" t="s">
        <v>8</v>
      </c>
      <c r="E2560" s="19" t="s">
        <v>5712</v>
      </c>
      <c r="F2560" s="34" t="s">
        <v>3574</v>
      </c>
      <c r="G2560" s="27">
        <v>31.55</v>
      </c>
      <c r="H2560" s="1" t="s">
        <v>774</v>
      </c>
      <c r="I2560" s="20">
        <v>1</v>
      </c>
      <c r="J2560" s="36">
        <v>0.06</v>
      </c>
    </row>
    <row r="2561" spans="2:10" x14ac:dyDescent="0.35">
      <c r="B2561" s="18" t="s">
        <v>3769</v>
      </c>
      <c r="C2561" s="19" t="s">
        <v>4477</v>
      </c>
      <c r="D2561" s="5" t="s">
        <v>8</v>
      </c>
      <c r="E2561" s="19" t="s">
        <v>5713</v>
      </c>
      <c r="F2561" s="34" t="s">
        <v>3574</v>
      </c>
      <c r="G2561" s="27">
        <v>42.42</v>
      </c>
      <c r="H2561" s="1" t="s">
        <v>774</v>
      </c>
      <c r="I2561" s="20">
        <v>1</v>
      </c>
      <c r="J2561" s="36">
        <v>0.06</v>
      </c>
    </row>
    <row r="2562" spans="2:10" x14ac:dyDescent="0.35">
      <c r="B2562" s="18">
        <v>1202088</v>
      </c>
      <c r="C2562" s="19" t="s">
        <v>4394</v>
      </c>
      <c r="D2562" s="5" t="s">
        <v>8</v>
      </c>
      <c r="E2562" s="19" t="s">
        <v>5714</v>
      </c>
      <c r="F2562" s="34" t="s">
        <v>3574</v>
      </c>
      <c r="G2562" s="27">
        <v>26.65</v>
      </c>
      <c r="H2562" s="1" t="s">
        <v>774</v>
      </c>
      <c r="I2562" s="20">
        <v>1</v>
      </c>
      <c r="J2562" s="36">
        <v>0.06</v>
      </c>
    </row>
    <row r="2563" spans="2:10" x14ac:dyDescent="0.35">
      <c r="B2563" s="18" t="s">
        <v>3770</v>
      </c>
      <c r="C2563" s="19" t="s">
        <v>4350</v>
      </c>
      <c r="D2563" s="5" t="s">
        <v>8</v>
      </c>
      <c r="E2563" s="19" t="s">
        <v>5715</v>
      </c>
      <c r="F2563" s="34" t="s">
        <v>3574</v>
      </c>
      <c r="G2563" s="27">
        <v>39.81</v>
      </c>
      <c r="H2563" s="1" t="s">
        <v>774</v>
      </c>
      <c r="I2563" s="20">
        <v>1</v>
      </c>
      <c r="J2563" s="36">
        <v>0.06</v>
      </c>
    </row>
    <row r="2564" spans="2:10" x14ac:dyDescent="0.35">
      <c r="B2564" s="18" t="s">
        <v>3771</v>
      </c>
      <c r="C2564" s="19" t="s">
        <v>4478</v>
      </c>
      <c r="D2564" s="5" t="s">
        <v>8</v>
      </c>
      <c r="E2564" s="19" t="s">
        <v>5716</v>
      </c>
      <c r="F2564" s="34" t="s">
        <v>3574</v>
      </c>
      <c r="G2564" s="27">
        <v>28.47</v>
      </c>
      <c r="H2564" s="1" t="s">
        <v>774</v>
      </c>
      <c r="I2564" s="20">
        <v>1</v>
      </c>
      <c r="J2564" s="36">
        <v>0.06</v>
      </c>
    </row>
    <row r="2565" spans="2:10" x14ac:dyDescent="0.35">
      <c r="B2565" s="18">
        <v>1202537</v>
      </c>
      <c r="C2565" s="19" t="s">
        <v>4399</v>
      </c>
      <c r="D2565" s="5" t="s">
        <v>8</v>
      </c>
      <c r="E2565" s="19" t="s">
        <v>5717</v>
      </c>
      <c r="F2565" s="34" t="s">
        <v>3574</v>
      </c>
      <c r="G2565" s="27">
        <v>29.87</v>
      </c>
      <c r="H2565" s="1" t="s">
        <v>774</v>
      </c>
      <c r="I2565" s="20">
        <v>1</v>
      </c>
      <c r="J2565" s="36">
        <v>0.06</v>
      </c>
    </row>
    <row r="2566" spans="2:10" x14ac:dyDescent="0.35">
      <c r="B2566" s="18" t="s">
        <v>3772</v>
      </c>
      <c r="C2566" s="19" t="s">
        <v>4479</v>
      </c>
      <c r="D2566" s="5" t="s">
        <v>8</v>
      </c>
      <c r="E2566" s="19" t="s">
        <v>5718</v>
      </c>
      <c r="F2566" s="34" t="s">
        <v>3574</v>
      </c>
      <c r="G2566" s="27">
        <v>37.69</v>
      </c>
      <c r="H2566" s="1" t="s">
        <v>774</v>
      </c>
      <c r="I2566" s="20">
        <v>1</v>
      </c>
      <c r="J2566" s="36">
        <v>0.06</v>
      </c>
    </row>
    <row r="2567" spans="2:10" x14ac:dyDescent="0.35">
      <c r="B2567" s="18">
        <v>3604430</v>
      </c>
      <c r="C2567" s="19" t="s">
        <v>4480</v>
      </c>
      <c r="D2567" s="5" t="s">
        <v>8</v>
      </c>
      <c r="E2567" s="19" t="s">
        <v>5719</v>
      </c>
      <c r="F2567" s="34" t="s">
        <v>3574</v>
      </c>
      <c r="G2567" s="27">
        <v>82.18</v>
      </c>
      <c r="H2567" s="1" t="s">
        <v>774</v>
      </c>
      <c r="I2567" s="20">
        <v>1</v>
      </c>
      <c r="J2567" s="36">
        <v>0.06</v>
      </c>
    </row>
    <row r="2568" spans="2:10" x14ac:dyDescent="0.35">
      <c r="B2568" s="18" t="s">
        <v>3773</v>
      </c>
      <c r="C2568" s="19" t="s">
        <v>4359</v>
      </c>
      <c r="D2568" s="5" t="s">
        <v>8</v>
      </c>
      <c r="E2568" s="19" t="s">
        <v>5720</v>
      </c>
      <c r="F2568" s="34" t="s">
        <v>3574</v>
      </c>
      <c r="G2568" s="27">
        <v>60.9</v>
      </c>
      <c r="H2568" s="1" t="s">
        <v>774</v>
      </c>
      <c r="I2568" s="20">
        <v>1</v>
      </c>
      <c r="J2568" s="36">
        <v>0.06</v>
      </c>
    </row>
    <row r="2569" spans="2:10" x14ac:dyDescent="0.35">
      <c r="B2569" s="18">
        <v>1260506</v>
      </c>
      <c r="C2569" s="19" t="s">
        <v>4481</v>
      </c>
      <c r="D2569" s="5" t="s">
        <v>8</v>
      </c>
      <c r="E2569" s="19" t="s">
        <v>5721</v>
      </c>
      <c r="F2569" s="34" t="s">
        <v>3574</v>
      </c>
      <c r="G2569" s="27">
        <v>72.02</v>
      </c>
      <c r="H2569" s="1" t="s">
        <v>774</v>
      </c>
      <c r="I2569" s="20">
        <v>1</v>
      </c>
      <c r="J2569" s="36">
        <v>0.06</v>
      </c>
    </row>
    <row r="2570" spans="2:10" x14ac:dyDescent="0.35">
      <c r="B2570" s="18">
        <v>1202681</v>
      </c>
      <c r="C2570" s="19" t="s">
        <v>4482</v>
      </c>
      <c r="D2570" s="5" t="s">
        <v>8</v>
      </c>
      <c r="E2570" s="19" t="s">
        <v>5722</v>
      </c>
      <c r="F2570" s="34" t="s">
        <v>3574</v>
      </c>
      <c r="G2570" s="27">
        <v>58.25</v>
      </c>
      <c r="H2570" s="1" t="s">
        <v>774</v>
      </c>
      <c r="I2570" s="20">
        <v>1</v>
      </c>
      <c r="J2570" s="36">
        <v>0.06</v>
      </c>
    </row>
    <row r="2571" spans="2:10" x14ac:dyDescent="0.35">
      <c r="B2571" s="18">
        <v>3604501</v>
      </c>
      <c r="C2571" s="19" t="s">
        <v>4483</v>
      </c>
      <c r="D2571" s="5" t="s">
        <v>8</v>
      </c>
      <c r="E2571" s="19" t="s">
        <v>5723</v>
      </c>
      <c r="F2571" s="34" t="s">
        <v>3574</v>
      </c>
      <c r="G2571" s="27">
        <v>101.03</v>
      </c>
      <c r="H2571" s="1" t="s">
        <v>774</v>
      </c>
      <c r="I2571" s="20">
        <v>1</v>
      </c>
      <c r="J2571" s="36">
        <v>0.06</v>
      </c>
    </row>
    <row r="2572" spans="2:10" x14ac:dyDescent="0.35">
      <c r="B2572" s="18" t="s">
        <v>3774</v>
      </c>
      <c r="C2572" s="19" t="s">
        <v>4484</v>
      </c>
      <c r="D2572" s="5" t="s">
        <v>8</v>
      </c>
      <c r="E2572" s="19" t="s">
        <v>5724</v>
      </c>
      <c r="F2572" s="34" t="s">
        <v>3574</v>
      </c>
      <c r="G2572" s="27">
        <v>205.72</v>
      </c>
      <c r="H2572" s="1" t="s">
        <v>774</v>
      </c>
      <c r="I2572" s="20">
        <v>1</v>
      </c>
      <c r="J2572" s="36">
        <v>0.06</v>
      </c>
    </row>
    <row r="2573" spans="2:10" x14ac:dyDescent="0.35">
      <c r="B2573" s="18" t="s">
        <v>3775</v>
      </c>
      <c r="C2573" s="19" t="s">
        <v>4485</v>
      </c>
      <c r="D2573" s="5" t="s">
        <v>8</v>
      </c>
      <c r="E2573" s="19" t="s">
        <v>5725</v>
      </c>
      <c r="F2573" s="34" t="s">
        <v>3574</v>
      </c>
      <c r="G2573" s="27">
        <v>36.859999999999992</v>
      </c>
      <c r="H2573" s="1" t="s">
        <v>774</v>
      </c>
      <c r="I2573" s="20">
        <v>1</v>
      </c>
      <c r="J2573" s="36">
        <v>0.06</v>
      </c>
    </row>
    <row r="2574" spans="2:10" x14ac:dyDescent="0.35">
      <c r="B2574" s="18" t="s">
        <v>3776</v>
      </c>
      <c r="C2574" s="19" t="s">
        <v>4353</v>
      </c>
      <c r="D2574" s="5" t="s">
        <v>8</v>
      </c>
      <c r="E2574" s="19" t="s">
        <v>5726</v>
      </c>
      <c r="F2574" s="34" t="s">
        <v>3574</v>
      </c>
      <c r="G2574" s="27">
        <v>41.62</v>
      </c>
      <c r="H2574" s="1" t="s">
        <v>774</v>
      </c>
      <c r="I2574" s="20">
        <v>1</v>
      </c>
      <c r="J2574" s="36">
        <v>0.06</v>
      </c>
    </row>
    <row r="2575" spans="2:10" x14ac:dyDescent="0.35">
      <c r="B2575" s="18">
        <v>1261751</v>
      </c>
      <c r="C2575" s="19" t="s">
        <v>4481</v>
      </c>
      <c r="D2575" s="5" t="s">
        <v>8</v>
      </c>
      <c r="E2575" s="19" t="s">
        <v>5727</v>
      </c>
      <c r="F2575" s="34" t="s">
        <v>3574</v>
      </c>
      <c r="G2575" s="27">
        <v>76.680000000000007</v>
      </c>
      <c r="H2575" s="1" t="s">
        <v>774</v>
      </c>
      <c r="I2575" s="20">
        <v>1</v>
      </c>
      <c r="J2575" s="36">
        <v>0.06</v>
      </c>
    </row>
    <row r="2576" spans="2:10" x14ac:dyDescent="0.35">
      <c r="B2576" s="18" t="s">
        <v>3777</v>
      </c>
      <c r="C2576" s="19" t="s">
        <v>4486</v>
      </c>
      <c r="D2576" s="5" t="s">
        <v>8</v>
      </c>
      <c r="E2576" s="19" t="s">
        <v>5728</v>
      </c>
      <c r="F2576" s="34" t="s">
        <v>3574</v>
      </c>
      <c r="G2576" s="27">
        <v>20.43</v>
      </c>
      <c r="H2576" s="1" t="s">
        <v>774</v>
      </c>
      <c r="I2576" s="20">
        <v>1</v>
      </c>
      <c r="J2576" s="36">
        <v>0.06</v>
      </c>
    </row>
    <row r="2577" spans="2:10" x14ac:dyDescent="0.35">
      <c r="B2577" s="18" t="s">
        <v>3778</v>
      </c>
      <c r="C2577" s="19" t="s">
        <v>4350</v>
      </c>
      <c r="D2577" s="5" t="s">
        <v>8</v>
      </c>
      <c r="E2577" s="19" t="s">
        <v>5729</v>
      </c>
      <c r="F2577" s="34" t="s">
        <v>3574</v>
      </c>
      <c r="G2577" s="27">
        <v>62.19</v>
      </c>
      <c r="H2577" s="1" t="s">
        <v>774</v>
      </c>
      <c r="I2577" s="20">
        <v>1</v>
      </c>
      <c r="J2577" s="36">
        <v>0.06</v>
      </c>
    </row>
    <row r="2578" spans="2:10" x14ac:dyDescent="0.35">
      <c r="B2578" s="18" t="s">
        <v>3779</v>
      </c>
      <c r="C2578" s="19" t="s">
        <v>4350</v>
      </c>
      <c r="D2578" s="5" t="s">
        <v>8</v>
      </c>
      <c r="E2578" s="19" t="s">
        <v>5730</v>
      </c>
      <c r="F2578" s="34" t="s">
        <v>3574</v>
      </c>
      <c r="G2578" s="27">
        <v>144.34</v>
      </c>
      <c r="H2578" s="1" t="s">
        <v>774</v>
      </c>
      <c r="I2578" s="20">
        <v>1</v>
      </c>
      <c r="J2578" s="36">
        <v>0.06</v>
      </c>
    </row>
    <row r="2579" spans="2:10" x14ac:dyDescent="0.35">
      <c r="B2579" s="18" t="s">
        <v>3780</v>
      </c>
      <c r="C2579" s="19" t="s">
        <v>4487</v>
      </c>
      <c r="D2579" s="5" t="s">
        <v>8</v>
      </c>
      <c r="E2579" s="19" t="s">
        <v>5731</v>
      </c>
      <c r="F2579" s="34" t="s">
        <v>3574</v>
      </c>
      <c r="G2579" s="27">
        <v>317.3</v>
      </c>
      <c r="H2579" s="1" t="s">
        <v>774</v>
      </c>
      <c r="I2579" s="20">
        <v>1</v>
      </c>
      <c r="J2579" s="36">
        <v>0.06</v>
      </c>
    </row>
    <row r="2580" spans="2:10" x14ac:dyDescent="0.35">
      <c r="B2580" s="18" t="s">
        <v>3781</v>
      </c>
      <c r="C2580" s="19" t="s">
        <v>4353</v>
      </c>
      <c r="D2580" s="5" t="s">
        <v>8</v>
      </c>
      <c r="E2580" s="19" t="s">
        <v>5732</v>
      </c>
      <c r="F2580" s="34" t="s">
        <v>3574</v>
      </c>
      <c r="G2580" s="27">
        <v>494.58</v>
      </c>
      <c r="H2580" s="1" t="s">
        <v>774</v>
      </c>
      <c r="I2580" s="20">
        <v>1</v>
      </c>
      <c r="J2580" s="36">
        <v>0.06</v>
      </c>
    </row>
    <row r="2581" spans="2:10" x14ac:dyDescent="0.35">
      <c r="B2581" s="18">
        <v>1202028</v>
      </c>
      <c r="C2581" s="19" t="s">
        <v>4488</v>
      </c>
      <c r="D2581" s="5" t="s">
        <v>8</v>
      </c>
      <c r="E2581" s="19" t="s">
        <v>5733</v>
      </c>
      <c r="F2581" s="34" t="s">
        <v>3574</v>
      </c>
      <c r="G2581" s="27">
        <v>198.5</v>
      </c>
      <c r="H2581" s="1" t="s">
        <v>774</v>
      </c>
      <c r="I2581" s="20">
        <v>1</v>
      </c>
      <c r="J2581" s="36">
        <v>0.06</v>
      </c>
    </row>
    <row r="2582" spans="2:10" x14ac:dyDescent="0.35">
      <c r="B2582" s="18">
        <v>4002057</v>
      </c>
      <c r="C2582" s="19" t="s">
        <v>4488</v>
      </c>
      <c r="D2582" s="5" t="s">
        <v>8</v>
      </c>
      <c r="E2582" s="19" t="s">
        <v>5733</v>
      </c>
      <c r="F2582" s="34" t="s">
        <v>3574</v>
      </c>
      <c r="G2582" s="27">
        <v>198.5</v>
      </c>
      <c r="H2582" s="1" t="s">
        <v>774</v>
      </c>
      <c r="I2582" s="20">
        <v>1</v>
      </c>
      <c r="J2582" s="36">
        <v>0.06</v>
      </c>
    </row>
    <row r="2583" spans="2:10" x14ac:dyDescent="0.35">
      <c r="B2583" s="18" t="s">
        <v>3782</v>
      </c>
      <c r="C2583" s="19" t="s">
        <v>4429</v>
      </c>
      <c r="D2583" s="5" t="s">
        <v>8</v>
      </c>
      <c r="E2583" s="19" t="s">
        <v>5734</v>
      </c>
      <c r="F2583" s="34" t="s">
        <v>3574</v>
      </c>
      <c r="G2583" s="27">
        <v>244.7</v>
      </c>
      <c r="H2583" s="1" t="s">
        <v>774</v>
      </c>
      <c r="I2583" s="20">
        <v>1</v>
      </c>
      <c r="J2583" s="36">
        <v>0.06</v>
      </c>
    </row>
    <row r="2584" spans="2:10" x14ac:dyDescent="0.35">
      <c r="B2584" s="18">
        <v>4002058</v>
      </c>
      <c r="C2584" s="19" t="s">
        <v>4489</v>
      </c>
      <c r="D2584" s="5" t="s">
        <v>8</v>
      </c>
      <c r="E2584" s="19" t="s">
        <v>5735</v>
      </c>
      <c r="F2584" s="34" t="s">
        <v>3574</v>
      </c>
      <c r="G2584" s="27">
        <v>229.77</v>
      </c>
      <c r="H2584" s="1" t="s">
        <v>774</v>
      </c>
      <c r="I2584" s="20">
        <v>1</v>
      </c>
      <c r="J2584" s="36">
        <v>0.06</v>
      </c>
    </row>
    <row r="2585" spans="2:10" x14ac:dyDescent="0.35">
      <c r="B2585" s="18">
        <v>1202511</v>
      </c>
      <c r="C2585" s="19" t="s">
        <v>4490</v>
      </c>
      <c r="D2585" s="5" t="s">
        <v>8</v>
      </c>
      <c r="E2585" s="19" t="s">
        <v>5736</v>
      </c>
      <c r="F2585" s="34" t="s">
        <v>3574</v>
      </c>
      <c r="G2585" s="27">
        <v>191.32</v>
      </c>
      <c r="H2585" s="1" t="s">
        <v>774</v>
      </c>
      <c r="I2585" s="20">
        <v>1</v>
      </c>
      <c r="J2585" s="36">
        <v>0.06</v>
      </c>
    </row>
    <row r="2586" spans="2:10" x14ac:dyDescent="0.35">
      <c r="B2586" s="18">
        <v>1202032</v>
      </c>
      <c r="C2586" s="19" t="s">
        <v>4491</v>
      </c>
      <c r="D2586" s="5" t="s">
        <v>8</v>
      </c>
      <c r="E2586" s="19" t="s">
        <v>5737</v>
      </c>
      <c r="F2586" s="34" t="s">
        <v>3574</v>
      </c>
      <c r="G2586" s="27">
        <v>229.77</v>
      </c>
      <c r="H2586" s="1" t="s">
        <v>774</v>
      </c>
      <c r="I2586" s="20">
        <v>1</v>
      </c>
      <c r="J2586" s="36">
        <v>0.06</v>
      </c>
    </row>
    <row r="2587" spans="2:10" x14ac:dyDescent="0.35">
      <c r="B2587" s="18" t="s">
        <v>3783</v>
      </c>
      <c r="C2587" s="19" t="s">
        <v>4429</v>
      </c>
      <c r="D2587" s="5" t="s">
        <v>8</v>
      </c>
      <c r="E2587" s="19" t="s">
        <v>5738</v>
      </c>
      <c r="F2587" s="34" t="s">
        <v>3574</v>
      </c>
      <c r="G2587" s="27">
        <v>252.2</v>
      </c>
      <c r="H2587" s="1" t="s">
        <v>774</v>
      </c>
      <c r="I2587" s="20">
        <v>1</v>
      </c>
      <c r="J2587" s="36">
        <v>0.06</v>
      </c>
    </row>
    <row r="2588" spans="2:10" x14ac:dyDescent="0.35">
      <c r="B2588" s="18">
        <v>800003670</v>
      </c>
      <c r="C2588" s="19" t="s">
        <v>4492</v>
      </c>
      <c r="D2588" s="5" t="s">
        <v>8</v>
      </c>
      <c r="E2588" s="19" t="s">
        <v>5739</v>
      </c>
      <c r="F2588" s="34" t="s">
        <v>3574</v>
      </c>
      <c r="G2588" s="27">
        <v>350.41</v>
      </c>
      <c r="H2588" s="1" t="s">
        <v>774</v>
      </c>
      <c r="I2588" s="20">
        <v>1</v>
      </c>
      <c r="J2588" s="36">
        <v>0.06</v>
      </c>
    </row>
    <row r="2589" spans="2:10" x14ac:dyDescent="0.35">
      <c r="B2589" s="18">
        <v>1703505</v>
      </c>
      <c r="C2589" s="19" t="s">
        <v>4493</v>
      </c>
      <c r="D2589" s="5" t="s">
        <v>8</v>
      </c>
      <c r="E2589" s="19" t="s">
        <v>5740</v>
      </c>
      <c r="F2589" s="34" t="s">
        <v>3574</v>
      </c>
      <c r="G2589" s="27">
        <v>317.44</v>
      </c>
      <c r="H2589" s="1" t="s">
        <v>774</v>
      </c>
      <c r="I2589" s="20">
        <v>1</v>
      </c>
      <c r="J2589" s="36">
        <v>0.06</v>
      </c>
    </row>
    <row r="2590" spans="2:10" x14ac:dyDescent="0.35">
      <c r="B2590" s="18">
        <v>3604725</v>
      </c>
      <c r="C2590" s="19" t="s">
        <v>4493</v>
      </c>
      <c r="D2590" s="5" t="s">
        <v>8</v>
      </c>
      <c r="E2590" s="19" t="s">
        <v>5741</v>
      </c>
      <c r="F2590" s="34" t="s">
        <v>3574</v>
      </c>
      <c r="G2590" s="27">
        <v>313.79000000000002</v>
      </c>
      <c r="H2590" s="1" t="s">
        <v>774</v>
      </c>
      <c r="I2590" s="20">
        <v>1</v>
      </c>
      <c r="J2590" s="36">
        <v>0.06</v>
      </c>
    </row>
    <row r="2591" spans="2:10" x14ac:dyDescent="0.35">
      <c r="B2591" s="18">
        <v>800002227</v>
      </c>
      <c r="C2591" s="19" t="s">
        <v>4494</v>
      </c>
      <c r="D2591" s="5" t="s">
        <v>8</v>
      </c>
      <c r="E2591" s="19" t="s">
        <v>5742</v>
      </c>
      <c r="F2591" s="34" t="s">
        <v>3574</v>
      </c>
      <c r="G2591" s="27">
        <v>3.56</v>
      </c>
      <c r="H2591" s="1" t="s">
        <v>774</v>
      </c>
      <c r="I2591" s="20">
        <v>1</v>
      </c>
      <c r="J2591" s="36">
        <v>0.06</v>
      </c>
    </row>
    <row r="2592" spans="2:10" x14ac:dyDescent="0.35">
      <c r="B2592" s="18" t="s">
        <v>3784</v>
      </c>
      <c r="C2592" s="19" t="s">
        <v>4353</v>
      </c>
      <c r="D2592" s="5" t="s">
        <v>8</v>
      </c>
      <c r="E2592" s="19" t="s">
        <v>5743</v>
      </c>
      <c r="F2592" s="34" t="s">
        <v>3574</v>
      </c>
      <c r="G2592" s="27">
        <v>73.78</v>
      </c>
      <c r="H2592" s="1" t="s">
        <v>774</v>
      </c>
      <c r="I2592" s="20">
        <v>1</v>
      </c>
      <c r="J2592" s="36">
        <v>0.06</v>
      </c>
    </row>
    <row r="2593" spans="2:10" x14ac:dyDescent="0.35">
      <c r="B2593" s="18">
        <v>3603099</v>
      </c>
      <c r="C2593" s="19" t="s">
        <v>4495</v>
      </c>
      <c r="D2593" s="5" t="s">
        <v>8</v>
      </c>
      <c r="E2593" s="19" t="s">
        <v>5744</v>
      </c>
      <c r="F2593" s="34" t="s">
        <v>3574</v>
      </c>
      <c r="G2593" s="27">
        <v>82.02</v>
      </c>
      <c r="H2593" s="1" t="s">
        <v>774</v>
      </c>
      <c r="I2593" s="20">
        <v>1</v>
      </c>
      <c r="J2593" s="36">
        <v>0.06</v>
      </c>
    </row>
    <row r="2594" spans="2:10" x14ac:dyDescent="0.35">
      <c r="B2594" s="18" t="s">
        <v>3785</v>
      </c>
      <c r="C2594" s="19" t="s">
        <v>4353</v>
      </c>
      <c r="D2594" s="5" t="s">
        <v>8</v>
      </c>
      <c r="E2594" s="19" t="s">
        <v>5745</v>
      </c>
      <c r="F2594" s="34" t="s">
        <v>3574</v>
      </c>
      <c r="G2594" s="27">
        <v>44.57</v>
      </c>
      <c r="H2594" s="1" t="s">
        <v>774</v>
      </c>
      <c r="I2594" s="20">
        <v>1</v>
      </c>
      <c r="J2594" s="36">
        <v>0.06</v>
      </c>
    </row>
    <row r="2595" spans="2:10" x14ac:dyDescent="0.35">
      <c r="B2595" s="18" t="s">
        <v>3786</v>
      </c>
      <c r="C2595" s="19" t="s">
        <v>4353</v>
      </c>
      <c r="D2595" s="5" t="s">
        <v>8</v>
      </c>
      <c r="E2595" s="19" t="s">
        <v>5746</v>
      </c>
      <c r="F2595" s="34" t="s">
        <v>3574</v>
      </c>
      <c r="G2595" s="27">
        <v>47.05</v>
      </c>
      <c r="H2595" s="1" t="s">
        <v>774</v>
      </c>
      <c r="I2595" s="20">
        <v>1</v>
      </c>
      <c r="J2595" s="36">
        <v>0.06</v>
      </c>
    </row>
    <row r="2596" spans="2:10" x14ac:dyDescent="0.35">
      <c r="B2596" s="18">
        <v>3603468</v>
      </c>
      <c r="C2596" s="19" t="s">
        <v>4496</v>
      </c>
      <c r="D2596" s="5" t="s">
        <v>8</v>
      </c>
      <c r="E2596" s="19" t="s">
        <v>5747</v>
      </c>
      <c r="F2596" s="34" t="s">
        <v>3574</v>
      </c>
      <c r="G2596" s="27">
        <v>65.599999999999994</v>
      </c>
      <c r="H2596" s="1" t="s">
        <v>774</v>
      </c>
      <c r="I2596" s="20">
        <v>1</v>
      </c>
      <c r="J2596" s="36">
        <v>0.06</v>
      </c>
    </row>
    <row r="2597" spans="2:10" x14ac:dyDescent="0.35">
      <c r="B2597" s="18" t="s">
        <v>3787</v>
      </c>
      <c r="C2597" s="19" t="s">
        <v>4353</v>
      </c>
      <c r="D2597" s="5" t="s">
        <v>8</v>
      </c>
      <c r="E2597" s="19" t="s">
        <v>5748</v>
      </c>
      <c r="F2597" s="34" t="s">
        <v>3574</v>
      </c>
      <c r="G2597" s="27">
        <v>53.6</v>
      </c>
      <c r="H2597" s="1" t="s">
        <v>774</v>
      </c>
      <c r="I2597" s="20">
        <v>1</v>
      </c>
      <c r="J2597" s="36">
        <v>0.06</v>
      </c>
    </row>
    <row r="2598" spans="2:10" x14ac:dyDescent="0.35">
      <c r="B2598" s="18" t="s">
        <v>3788</v>
      </c>
      <c r="C2598" s="19" t="s">
        <v>4497</v>
      </c>
      <c r="D2598" s="5" t="s">
        <v>8</v>
      </c>
      <c r="E2598" s="19" t="s">
        <v>5749</v>
      </c>
      <c r="F2598" s="34" t="s">
        <v>3574</v>
      </c>
      <c r="G2598" s="27">
        <v>45.97</v>
      </c>
      <c r="H2598" s="1" t="s">
        <v>774</v>
      </c>
      <c r="I2598" s="20">
        <v>1</v>
      </c>
      <c r="J2598" s="36">
        <v>0.06</v>
      </c>
    </row>
    <row r="2599" spans="2:10" x14ac:dyDescent="0.35">
      <c r="B2599" s="18" t="s">
        <v>3789</v>
      </c>
      <c r="C2599" s="19" t="s">
        <v>4498</v>
      </c>
      <c r="D2599" s="5" t="s">
        <v>8</v>
      </c>
      <c r="E2599" s="19" t="s">
        <v>5750</v>
      </c>
      <c r="F2599" s="34" t="s">
        <v>3574</v>
      </c>
      <c r="G2599" s="27">
        <v>76.099999999999994</v>
      </c>
      <c r="H2599" s="1" t="s">
        <v>774</v>
      </c>
      <c r="I2599" s="20">
        <v>1</v>
      </c>
      <c r="J2599" s="36">
        <v>0.06</v>
      </c>
    </row>
    <row r="2600" spans="2:10" x14ac:dyDescent="0.35">
      <c r="B2600" s="18" t="s">
        <v>3790</v>
      </c>
      <c r="C2600" s="19" t="s">
        <v>4353</v>
      </c>
      <c r="D2600" s="5" t="s">
        <v>8</v>
      </c>
      <c r="E2600" s="19" t="s">
        <v>5751</v>
      </c>
      <c r="F2600" s="34" t="s">
        <v>3574</v>
      </c>
      <c r="G2600" s="27">
        <v>48.05</v>
      </c>
      <c r="H2600" s="1" t="s">
        <v>774</v>
      </c>
      <c r="I2600" s="20">
        <v>1</v>
      </c>
      <c r="J2600" s="36">
        <v>0.06</v>
      </c>
    </row>
    <row r="2601" spans="2:10" x14ac:dyDescent="0.35">
      <c r="B2601" s="18" t="s">
        <v>3791</v>
      </c>
      <c r="C2601" s="19" t="s">
        <v>4353</v>
      </c>
      <c r="D2601" s="5" t="s">
        <v>8</v>
      </c>
      <c r="E2601" s="19" t="s">
        <v>5752</v>
      </c>
      <c r="F2601" s="34" t="s">
        <v>3574</v>
      </c>
      <c r="G2601" s="27">
        <v>51.66</v>
      </c>
      <c r="H2601" s="1" t="s">
        <v>774</v>
      </c>
      <c r="I2601" s="20">
        <v>1</v>
      </c>
      <c r="J2601" s="36">
        <v>0.06</v>
      </c>
    </row>
    <row r="2602" spans="2:10" x14ac:dyDescent="0.35">
      <c r="B2602" s="18" t="s">
        <v>3792</v>
      </c>
      <c r="C2602" s="19" t="s">
        <v>4353</v>
      </c>
      <c r="D2602" s="5" t="s">
        <v>8</v>
      </c>
      <c r="E2602" s="19" t="s">
        <v>5753</v>
      </c>
      <c r="F2602" s="34" t="s">
        <v>3574</v>
      </c>
      <c r="G2602" s="27">
        <v>59.02</v>
      </c>
      <c r="H2602" s="1" t="s">
        <v>774</v>
      </c>
      <c r="I2602" s="20">
        <v>1</v>
      </c>
      <c r="J2602" s="36">
        <v>0.06</v>
      </c>
    </row>
    <row r="2603" spans="2:10" x14ac:dyDescent="0.35">
      <c r="B2603" s="18" t="s">
        <v>3793</v>
      </c>
      <c r="C2603" s="19" t="s">
        <v>4479</v>
      </c>
      <c r="D2603" s="5" t="s">
        <v>8</v>
      </c>
      <c r="E2603" s="19" t="s">
        <v>5754</v>
      </c>
      <c r="F2603" s="34" t="s">
        <v>3574</v>
      </c>
      <c r="G2603" s="27">
        <v>63.13</v>
      </c>
      <c r="H2603" s="1" t="s">
        <v>774</v>
      </c>
      <c r="I2603" s="20">
        <v>1</v>
      </c>
      <c r="J2603" s="36">
        <v>0.06</v>
      </c>
    </row>
    <row r="2604" spans="2:10" x14ac:dyDescent="0.35">
      <c r="B2604" s="18">
        <v>3603202</v>
      </c>
      <c r="C2604" s="19" t="s">
        <v>4499</v>
      </c>
      <c r="D2604" s="5" t="s">
        <v>8</v>
      </c>
      <c r="E2604" s="19" t="s">
        <v>5755</v>
      </c>
      <c r="F2604" s="34" t="s">
        <v>3574</v>
      </c>
      <c r="G2604" s="27">
        <v>56.23</v>
      </c>
      <c r="H2604" s="1" t="s">
        <v>774</v>
      </c>
      <c r="I2604" s="20">
        <v>1</v>
      </c>
      <c r="J2604" s="36">
        <v>0.06</v>
      </c>
    </row>
    <row r="2605" spans="2:10" x14ac:dyDescent="0.35">
      <c r="B2605" s="18" t="s">
        <v>3794</v>
      </c>
      <c r="C2605" s="19" t="s">
        <v>4353</v>
      </c>
      <c r="D2605" s="5" t="s">
        <v>8</v>
      </c>
      <c r="E2605" s="19" t="s">
        <v>5756</v>
      </c>
      <c r="F2605" s="34" t="s">
        <v>3574</v>
      </c>
      <c r="G2605" s="27">
        <v>44.13</v>
      </c>
      <c r="H2605" s="1" t="s">
        <v>774</v>
      </c>
      <c r="I2605" s="20">
        <v>1</v>
      </c>
      <c r="J2605" s="36">
        <v>0.06</v>
      </c>
    </row>
    <row r="2606" spans="2:10" x14ac:dyDescent="0.35">
      <c r="B2606" s="18" t="s">
        <v>3795</v>
      </c>
      <c r="C2606" s="19" t="s">
        <v>4353</v>
      </c>
      <c r="D2606" s="5" t="s">
        <v>8</v>
      </c>
      <c r="E2606" s="19" t="s">
        <v>5757</v>
      </c>
      <c r="F2606" s="34" t="s">
        <v>3574</v>
      </c>
      <c r="G2606" s="27">
        <v>45.62</v>
      </c>
      <c r="H2606" s="1" t="s">
        <v>774</v>
      </c>
      <c r="I2606" s="20">
        <v>1</v>
      </c>
      <c r="J2606" s="36">
        <v>0.06</v>
      </c>
    </row>
    <row r="2607" spans="2:10" x14ac:dyDescent="0.35">
      <c r="B2607" s="18" t="s">
        <v>3796</v>
      </c>
      <c r="C2607" s="19" t="s">
        <v>4353</v>
      </c>
      <c r="D2607" s="5" t="s">
        <v>8</v>
      </c>
      <c r="E2607" s="19" t="s">
        <v>5758</v>
      </c>
      <c r="F2607" s="34" t="s">
        <v>3574</v>
      </c>
      <c r="G2607" s="27">
        <v>44.13</v>
      </c>
      <c r="H2607" s="1" t="s">
        <v>774</v>
      </c>
      <c r="I2607" s="20">
        <v>1</v>
      </c>
      <c r="J2607" s="36">
        <v>0.06</v>
      </c>
    </row>
    <row r="2608" spans="2:10" x14ac:dyDescent="0.35">
      <c r="B2608" s="18" t="s">
        <v>3797</v>
      </c>
      <c r="C2608" s="19" t="s">
        <v>4353</v>
      </c>
      <c r="D2608" s="5" t="s">
        <v>8</v>
      </c>
      <c r="E2608" s="19" t="s">
        <v>5759</v>
      </c>
      <c r="F2608" s="34" t="s">
        <v>3574</v>
      </c>
      <c r="G2608" s="27">
        <v>45.52</v>
      </c>
      <c r="H2608" s="1" t="s">
        <v>774</v>
      </c>
      <c r="I2608" s="20">
        <v>1</v>
      </c>
      <c r="J2608" s="36">
        <v>0.06</v>
      </c>
    </row>
    <row r="2609" spans="2:10" x14ac:dyDescent="0.35">
      <c r="B2609" s="18" t="s">
        <v>3798</v>
      </c>
      <c r="C2609" s="19" t="s">
        <v>4353</v>
      </c>
      <c r="D2609" s="5" t="s">
        <v>8</v>
      </c>
      <c r="E2609" s="19" t="s">
        <v>5760</v>
      </c>
      <c r="F2609" s="34" t="s">
        <v>3574</v>
      </c>
      <c r="G2609" s="27">
        <v>44.13</v>
      </c>
      <c r="H2609" s="1" t="s">
        <v>774</v>
      </c>
      <c r="I2609" s="20">
        <v>1</v>
      </c>
      <c r="J2609" s="36">
        <v>0.06</v>
      </c>
    </row>
    <row r="2610" spans="2:10" x14ac:dyDescent="0.35">
      <c r="B2610" s="18" t="s">
        <v>3799</v>
      </c>
      <c r="C2610" s="19" t="s">
        <v>4402</v>
      </c>
      <c r="D2610" s="5" t="s">
        <v>8</v>
      </c>
      <c r="E2610" s="19" t="s">
        <v>5761</v>
      </c>
      <c r="F2610" s="34" t="s">
        <v>3574</v>
      </c>
      <c r="G2610" s="27">
        <v>48.76</v>
      </c>
      <c r="H2610" s="1" t="s">
        <v>774</v>
      </c>
      <c r="I2610" s="20">
        <v>1</v>
      </c>
      <c r="J2610" s="36">
        <v>0.06</v>
      </c>
    </row>
    <row r="2611" spans="2:10" x14ac:dyDescent="0.35">
      <c r="B2611" s="18" t="s">
        <v>3800</v>
      </c>
      <c r="C2611" s="19" t="s">
        <v>4353</v>
      </c>
      <c r="D2611" s="5" t="s">
        <v>8</v>
      </c>
      <c r="E2611" s="19" t="s">
        <v>5762</v>
      </c>
      <c r="F2611" s="34" t="s">
        <v>3574</v>
      </c>
      <c r="G2611" s="27">
        <v>44.13</v>
      </c>
      <c r="H2611" s="1" t="s">
        <v>774</v>
      </c>
      <c r="I2611" s="20">
        <v>1</v>
      </c>
      <c r="J2611" s="36">
        <v>0.06</v>
      </c>
    </row>
    <row r="2612" spans="2:10" x14ac:dyDescent="0.35">
      <c r="B2612" s="18" t="s">
        <v>3801</v>
      </c>
      <c r="C2612" s="19" t="s">
        <v>4353</v>
      </c>
      <c r="D2612" s="5" t="s">
        <v>8</v>
      </c>
      <c r="E2612" s="19" t="s">
        <v>5763</v>
      </c>
      <c r="F2612" s="34" t="s">
        <v>3574</v>
      </c>
      <c r="G2612" s="27">
        <v>45.52</v>
      </c>
      <c r="H2612" s="1" t="s">
        <v>774</v>
      </c>
      <c r="I2612" s="20">
        <v>1</v>
      </c>
      <c r="J2612" s="36">
        <v>0.06</v>
      </c>
    </row>
    <row r="2613" spans="2:10" x14ac:dyDescent="0.35">
      <c r="B2613" s="18" t="s">
        <v>3802</v>
      </c>
      <c r="C2613" s="19" t="s">
        <v>4353</v>
      </c>
      <c r="D2613" s="5" t="s">
        <v>8</v>
      </c>
      <c r="E2613" s="19" t="s">
        <v>5764</v>
      </c>
      <c r="F2613" s="34" t="s">
        <v>3574</v>
      </c>
      <c r="G2613" s="27">
        <v>45.52</v>
      </c>
      <c r="H2613" s="1" t="s">
        <v>774</v>
      </c>
      <c r="I2613" s="20">
        <v>1</v>
      </c>
      <c r="J2613" s="36">
        <v>0.06</v>
      </c>
    </row>
    <row r="2614" spans="2:10" x14ac:dyDescent="0.35">
      <c r="B2614" s="18" t="s">
        <v>3803</v>
      </c>
      <c r="C2614" s="19" t="s">
        <v>4500</v>
      </c>
      <c r="D2614" s="5" t="s">
        <v>8</v>
      </c>
      <c r="E2614" s="19" t="s">
        <v>5765</v>
      </c>
      <c r="F2614" s="34" t="s">
        <v>3574</v>
      </c>
      <c r="G2614" s="27">
        <v>44.99</v>
      </c>
      <c r="H2614" s="1" t="s">
        <v>774</v>
      </c>
      <c r="I2614" s="20">
        <v>1</v>
      </c>
      <c r="J2614" s="36">
        <v>0.06</v>
      </c>
    </row>
    <row r="2615" spans="2:10" x14ac:dyDescent="0.35">
      <c r="B2615" s="18">
        <v>3603064</v>
      </c>
      <c r="C2615" s="19" t="s">
        <v>4501</v>
      </c>
      <c r="D2615" s="5" t="s">
        <v>8</v>
      </c>
      <c r="E2615" s="19" t="s">
        <v>5766</v>
      </c>
      <c r="F2615" s="34" t="s">
        <v>3574</v>
      </c>
      <c r="G2615" s="27">
        <v>44.63</v>
      </c>
      <c r="H2615" s="1" t="s">
        <v>774</v>
      </c>
      <c r="I2615" s="20">
        <v>1</v>
      </c>
      <c r="J2615" s="36">
        <v>0.06</v>
      </c>
    </row>
    <row r="2616" spans="2:10" x14ac:dyDescent="0.35">
      <c r="B2616" s="18" t="s">
        <v>3804</v>
      </c>
      <c r="C2616" s="19" t="s">
        <v>4402</v>
      </c>
      <c r="D2616" s="5" t="s">
        <v>8</v>
      </c>
      <c r="E2616" s="19" t="s">
        <v>5767</v>
      </c>
      <c r="F2616" s="34" t="s">
        <v>3574</v>
      </c>
      <c r="G2616" s="27">
        <v>46.23</v>
      </c>
      <c r="H2616" s="1" t="s">
        <v>774</v>
      </c>
      <c r="I2616" s="20">
        <v>1</v>
      </c>
      <c r="J2616" s="36">
        <v>0.06</v>
      </c>
    </row>
    <row r="2617" spans="2:10" x14ac:dyDescent="0.35">
      <c r="B2617" s="18">
        <v>4001570</v>
      </c>
      <c r="C2617" s="19" t="s">
        <v>4502</v>
      </c>
      <c r="D2617" s="5" t="s">
        <v>8</v>
      </c>
      <c r="E2617" s="19" t="s">
        <v>5768</v>
      </c>
      <c r="F2617" s="34" t="s">
        <v>3574</v>
      </c>
      <c r="G2617" s="27">
        <v>60</v>
      </c>
      <c r="H2617" s="1" t="s">
        <v>774</v>
      </c>
      <c r="I2617" s="20">
        <v>1</v>
      </c>
      <c r="J2617" s="36">
        <v>0.06</v>
      </c>
    </row>
    <row r="2618" spans="2:10" x14ac:dyDescent="0.35">
      <c r="B2618" s="18" t="s">
        <v>3805</v>
      </c>
      <c r="C2618" s="19" t="s">
        <v>4353</v>
      </c>
      <c r="D2618" s="5" t="s">
        <v>8</v>
      </c>
      <c r="E2618" s="19" t="s">
        <v>5769</v>
      </c>
      <c r="F2618" s="34" t="s">
        <v>3574</v>
      </c>
      <c r="G2618" s="27">
        <v>47.06</v>
      </c>
      <c r="H2618" s="1" t="s">
        <v>774</v>
      </c>
      <c r="I2618" s="20">
        <v>1</v>
      </c>
      <c r="J2618" s="36">
        <v>0.06</v>
      </c>
    </row>
    <row r="2619" spans="2:10" x14ac:dyDescent="0.35">
      <c r="B2619" s="18" t="s">
        <v>3806</v>
      </c>
      <c r="C2619" s="19" t="s">
        <v>4353</v>
      </c>
      <c r="D2619" s="5" t="s">
        <v>8</v>
      </c>
      <c r="E2619" s="19" t="s">
        <v>5770</v>
      </c>
      <c r="F2619" s="34" t="s">
        <v>3574</v>
      </c>
      <c r="G2619" s="27">
        <v>46.94</v>
      </c>
      <c r="H2619" s="1" t="s">
        <v>774</v>
      </c>
      <c r="I2619" s="20">
        <v>1</v>
      </c>
      <c r="J2619" s="36">
        <v>0.06</v>
      </c>
    </row>
    <row r="2620" spans="2:10" x14ac:dyDescent="0.35">
      <c r="B2620" s="18">
        <v>800003723</v>
      </c>
      <c r="C2620" s="19" t="s">
        <v>4503</v>
      </c>
      <c r="D2620" s="5" t="s">
        <v>8</v>
      </c>
      <c r="E2620" s="19" t="s">
        <v>5771</v>
      </c>
      <c r="F2620" s="34" t="s">
        <v>3574</v>
      </c>
      <c r="G2620" s="27">
        <v>265.10000000000002</v>
      </c>
      <c r="H2620" s="1" t="s">
        <v>774</v>
      </c>
      <c r="I2620" s="20">
        <v>1</v>
      </c>
      <c r="J2620" s="36">
        <v>0.06</v>
      </c>
    </row>
    <row r="2621" spans="2:10" x14ac:dyDescent="0.35">
      <c r="B2621" s="18" t="s">
        <v>3807</v>
      </c>
      <c r="C2621" s="19" t="s">
        <v>4353</v>
      </c>
      <c r="D2621" s="5" t="s">
        <v>8</v>
      </c>
      <c r="E2621" s="19" t="s">
        <v>5772</v>
      </c>
      <c r="F2621" s="34" t="s">
        <v>3574</v>
      </c>
      <c r="G2621" s="27">
        <v>538.46</v>
      </c>
      <c r="H2621" s="1" t="s">
        <v>774</v>
      </c>
      <c r="I2621" s="20">
        <v>1</v>
      </c>
      <c r="J2621" s="36">
        <v>0.06</v>
      </c>
    </row>
    <row r="2622" spans="2:10" x14ac:dyDescent="0.35">
      <c r="B2622" s="18">
        <v>3603231</v>
      </c>
      <c r="C2622" s="19" t="s">
        <v>4504</v>
      </c>
      <c r="D2622" s="5" t="s">
        <v>8</v>
      </c>
      <c r="E2622" s="19" t="s">
        <v>5773</v>
      </c>
      <c r="F2622" s="34" t="s">
        <v>3574</v>
      </c>
      <c r="G2622" s="27">
        <v>146.48999999999998</v>
      </c>
      <c r="H2622" s="1" t="s">
        <v>774</v>
      </c>
      <c r="I2622" s="20">
        <v>1</v>
      </c>
      <c r="J2622" s="36">
        <v>0.06</v>
      </c>
    </row>
    <row r="2623" spans="2:10" x14ac:dyDescent="0.35">
      <c r="B2623" s="18">
        <v>800000048</v>
      </c>
      <c r="C2623" s="19" t="s">
        <v>4505</v>
      </c>
      <c r="D2623" s="5" t="s">
        <v>8</v>
      </c>
      <c r="E2623" s="19" t="s">
        <v>5774</v>
      </c>
      <c r="F2623" s="34" t="s">
        <v>3574</v>
      </c>
      <c r="G2623" s="27">
        <v>150.38999999999999</v>
      </c>
      <c r="H2623" s="1" t="s">
        <v>774</v>
      </c>
      <c r="I2623" s="20">
        <v>1</v>
      </c>
      <c r="J2623" s="36">
        <v>0.06</v>
      </c>
    </row>
    <row r="2624" spans="2:10" x14ac:dyDescent="0.35">
      <c r="B2624" s="18">
        <v>1262123</v>
      </c>
      <c r="C2624" s="19" t="s">
        <v>4506</v>
      </c>
      <c r="D2624" s="5" t="s">
        <v>8</v>
      </c>
      <c r="E2624" s="19" t="s">
        <v>5775</v>
      </c>
      <c r="F2624" s="34" t="s">
        <v>3574</v>
      </c>
      <c r="G2624" s="27">
        <v>239.87</v>
      </c>
      <c r="H2624" s="1" t="s">
        <v>774</v>
      </c>
      <c r="I2624" s="20">
        <v>1</v>
      </c>
      <c r="J2624" s="36">
        <v>0.06</v>
      </c>
    </row>
    <row r="2625" spans="2:10" x14ac:dyDescent="0.35">
      <c r="B2625" s="18">
        <v>4001703</v>
      </c>
      <c r="C2625" s="19" t="s">
        <v>4507</v>
      </c>
      <c r="D2625" s="5" t="s">
        <v>8</v>
      </c>
      <c r="E2625" s="19" t="s">
        <v>5776</v>
      </c>
      <c r="F2625" s="34" t="s">
        <v>3574</v>
      </c>
      <c r="G2625" s="27">
        <v>157.76</v>
      </c>
      <c r="H2625" s="1" t="s">
        <v>774</v>
      </c>
      <c r="I2625" s="20">
        <v>1</v>
      </c>
      <c r="J2625" s="36">
        <v>0.06</v>
      </c>
    </row>
    <row r="2626" spans="2:10" x14ac:dyDescent="0.35">
      <c r="B2626" s="18">
        <v>800002200</v>
      </c>
      <c r="C2626" s="19" t="s">
        <v>4508</v>
      </c>
      <c r="D2626" s="5" t="s">
        <v>8</v>
      </c>
      <c r="E2626" s="19" t="s">
        <v>5777</v>
      </c>
      <c r="F2626" s="34" t="s">
        <v>3574</v>
      </c>
      <c r="G2626" s="27">
        <v>423.84</v>
      </c>
      <c r="H2626" s="1" t="s">
        <v>774</v>
      </c>
      <c r="I2626" s="20">
        <v>1</v>
      </c>
      <c r="J2626" s="36">
        <v>0.06</v>
      </c>
    </row>
    <row r="2627" spans="2:10" x14ac:dyDescent="0.35">
      <c r="B2627" s="18">
        <v>1250353</v>
      </c>
      <c r="C2627" s="19" t="s">
        <v>4453</v>
      </c>
      <c r="D2627" s="5" t="s">
        <v>8</v>
      </c>
      <c r="E2627" s="19" t="s">
        <v>5778</v>
      </c>
      <c r="F2627" s="34" t="s">
        <v>3574</v>
      </c>
      <c r="G2627" s="27">
        <v>139.34</v>
      </c>
      <c r="H2627" s="1" t="s">
        <v>774</v>
      </c>
      <c r="I2627" s="20">
        <v>1</v>
      </c>
      <c r="J2627" s="36">
        <v>0.06</v>
      </c>
    </row>
    <row r="2628" spans="2:10" x14ac:dyDescent="0.35">
      <c r="B2628" s="18">
        <v>4001778</v>
      </c>
      <c r="C2628" s="19" t="s">
        <v>4509</v>
      </c>
      <c r="D2628" s="5" t="s">
        <v>8</v>
      </c>
      <c r="E2628" s="19" t="s">
        <v>5779</v>
      </c>
      <c r="F2628" s="34" t="s">
        <v>3574</v>
      </c>
      <c r="G2628" s="27">
        <v>151.04</v>
      </c>
      <c r="H2628" s="1" t="s">
        <v>774</v>
      </c>
      <c r="I2628" s="20">
        <v>1</v>
      </c>
      <c r="J2628" s="36">
        <v>0.06</v>
      </c>
    </row>
    <row r="2629" spans="2:10" x14ac:dyDescent="0.35">
      <c r="B2629" s="18">
        <v>1250326</v>
      </c>
      <c r="C2629" s="19" t="s">
        <v>4510</v>
      </c>
      <c r="D2629" s="5" t="s">
        <v>8</v>
      </c>
      <c r="E2629" s="19" t="s">
        <v>5780</v>
      </c>
      <c r="F2629" s="34" t="s">
        <v>3574</v>
      </c>
      <c r="G2629" s="27">
        <v>197.07</v>
      </c>
      <c r="H2629" s="1" t="s">
        <v>774</v>
      </c>
      <c r="I2629" s="20">
        <v>1</v>
      </c>
      <c r="J2629" s="36">
        <v>0.06</v>
      </c>
    </row>
    <row r="2630" spans="2:10" x14ac:dyDescent="0.35">
      <c r="B2630" s="18">
        <v>1250258</v>
      </c>
      <c r="C2630" s="19" t="s">
        <v>4511</v>
      </c>
      <c r="D2630" s="5" t="s">
        <v>8</v>
      </c>
      <c r="E2630" s="19" t="s">
        <v>5781</v>
      </c>
      <c r="F2630" s="34" t="s">
        <v>3574</v>
      </c>
      <c r="G2630" s="27">
        <v>219.28</v>
      </c>
      <c r="H2630" s="1" t="s">
        <v>774</v>
      </c>
      <c r="I2630" s="20">
        <v>1</v>
      </c>
      <c r="J2630" s="36">
        <v>0.06</v>
      </c>
    </row>
    <row r="2631" spans="2:10" x14ac:dyDescent="0.35">
      <c r="B2631" s="18">
        <v>1260550</v>
      </c>
      <c r="C2631" s="19" t="s">
        <v>4512</v>
      </c>
      <c r="D2631" s="5" t="s">
        <v>8</v>
      </c>
      <c r="E2631" s="19" t="s">
        <v>5782</v>
      </c>
      <c r="F2631" s="34" t="s">
        <v>3574</v>
      </c>
      <c r="G2631" s="27">
        <v>345.04</v>
      </c>
      <c r="H2631" s="1" t="s">
        <v>774</v>
      </c>
      <c r="I2631" s="20">
        <v>1</v>
      </c>
      <c r="J2631" s="36">
        <v>0.06</v>
      </c>
    </row>
    <row r="2632" spans="2:10" x14ac:dyDescent="0.35">
      <c r="B2632" s="18">
        <v>1250324</v>
      </c>
      <c r="C2632" s="19" t="s">
        <v>4383</v>
      </c>
      <c r="D2632" s="5" t="s">
        <v>8</v>
      </c>
      <c r="E2632" s="19" t="s">
        <v>5783</v>
      </c>
      <c r="F2632" s="34" t="s">
        <v>3574</v>
      </c>
      <c r="G2632" s="27">
        <v>119.14</v>
      </c>
      <c r="H2632" s="1" t="s">
        <v>774</v>
      </c>
      <c r="I2632" s="20">
        <v>1</v>
      </c>
      <c r="J2632" s="36">
        <v>0.06</v>
      </c>
    </row>
    <row r="2633" spans="2:10" x14ac:dyDescent="0.35">
      <c r="B2633" s="18">
        <v>1260560</v>
      </c>
      <c r="C2633" s="19" t="s">
        <v>4513</v>
      </c>
      <c r="D2633" s="5" t="s">
        <v>8</v>
      </c>
      <c r="E2633" s="19" t="s">
        <v>5784</v>
      </c>
      <c r="F2633" s="34" t="s">
        <v>3574</v>
      </c>
      <c r="G2633" s="27">
        <v>166.53</v>
      </c>
      <c r="H2633" s="1" t="s">
        <v>774</v>
      </c>
      <c r="I2633" s="20">
        <v>1</v>
      </c>
      <c r="J2633" s="36">
        <v>0.06</v>
      </c>
    </row>
    <row r="2634" spans="2:10" x14ac:dyDescent="0.35">
      <c r="B2634" s="18">
        <v>1250363</v>
      </c>
      <c r="C2634" s="19" t="s">
        <v>4514</v>
      </c>
      <c r="D2634" s="5" t="s">
        <v>8</v>
      </c>
      <c r="E2634" s="19" t="s">
        <v>5785</v>
      </c>
      <c r="F2634" s="34" t="s">
        <v>3574</v>
      </c>
      <c r="G2634" s="27">
        <v>129.68</v>
      </c>
      <c r="H2634" s="1" t="s">
        <v>774</v>
      </c>
      <c r="I2634" s="20">
        <v>1</v>
      </c>
      <c r="J2634" s="36">
        <v>0.06</v>
      </c>
    </row>
    <row r="2635" spans="2:10" x14ac:dyDescent="0.35">
      <c r="B2635" s="18" t="s">
        <v>3808</v>
      </c>
      <c r="C2635" s="19" t="s">
        <v>4387</v>
      </c>
      <c r="D2635" s="5" t="s">
        <v>8</v>
      </c>
      <c r="E2635" s="19" t="s">
        <v>5786</v>
      </c>
      <c r="F2635" s="34" t="s">
        <v>3574</v>
      </c>
      <c r="G2635" s="27">
        <v>730.74</v>
      </c>
      <c r="H2635" s="1" t="s">
        <v>774</v>
      </c>
      <c r="I2635" s="20">
        <v>1</v>
      </c>
      <c r="J2635" s="36">
        <v>0.06</v>
      </c>
    </row>
    <row r="2636" spans="2:10" x14ac:dyDescent="0.35">
      <c r="B2636" s="18">
        <v>3603268</v>
      </c>
      <c r="C2636" s="19" t="s">
        <v>4515</v>
      </c>
      <c r="D2636" s="5" t="s">
        <v>8</v>
      </c>
      <c r="E2636" s="19" t="s">
        <v>5787</v>
      </c>
      <c r="F2636" s="34" t="s">
        <v>3574</v>
      </c>
      <c r="G2636" s="27">
        <v>445.6</v>
      </c>
      <c r="H2636" s="1" t="s">
        <v>774</v>
      </c>
      <c r="I2636" s="20">
        <v>1</v>
      </c>
      <c r="J2636" s="36">
        <v>0.06</v>
      </c>
    </row>
    <row r="2637" spans="2:10" x14ac:dyDescent="0.35">
      <c r="B2637" s="18">
        <v>4001284</v>
      </c>
      <c r="C2637" s="19" t="s">
        <v>4516</v>
      </c>
      <c r="D2637" s="5" t="s">
        <v>8</v>
      </c>
      <c r="E2637" s="19" t="s">
        <v>5788</v>
      </c>
      <c r="F2637" s="34" t="s">
        <v>3574</v>
      </c>
      <c r="G2637" s="27">
        <v>352.49</v>
      </c>
      <c r="H2637" s="1" t="s">
        <v>774</v>
      </c>
      <c r="I2637" s="20">
        <v>1</v>
      </c>
      <c r="J2637" s="36">
        <v>0.06</v>
      </c>
    </row>
    <row r="2638" spans="2:10" x14ac:dyDescent="0.35">
      <c r="B2638" s="18" t="s">
        <v>3809</v>
      </c>
      <c r="C2638" s="19" t="s">
        <v>4517</v>
      </c>
      <c r="D2638" s="5" t="s">
        <v>8</v>
      </c>
      <c r="E2638" s="19" t="s">
        <v>5789</v>
      </c>
      <c r="F2638" s="34" t="s">
        <v>3574</v>
      </c>
      <c r="G2638" s="27">
        <v>51.33</v>
      </c>
      <c r="H2638" s="1" t="s">
        <v>774</v>
      </c>
      <c r="I2638" s="20">
        <v>1</v>
      </c>
      <c r="J2638" s="36">
        <v>0.06</v>
      </c>
    </row>
    <row r="2639" spans="2:10" x14ac:dyDescent="0.35">
      <c r="B2639" s="18">
        <v>1440060</v>
      </c>
      <c r="C2639" s="19" t="s">
        <v>4518</v>
      </c>
      <c r="D2639" s="5" t="s">
        <v>8</v>
      </c>
      <c r="E2639" s="19" t="s">
        <v>5790</v>
      </c>
      <c r="F2639" s="34" t="s">
        <v>3574</v>
      </c>
      <c r="G2639" s="27">
        <v>25.51</v>
      </c>
      <c r="H2639" s="1" t="s">
        <v>774</v>
      </c>
      <c r="I2639" s="20">
        <v>1</v>
      </c>
      <c r="J2639" s="36">
        <v>0.06</v>
      </c>
    </row>
    <row r="2640" spans="2:10" x14ac:dyDescent="0.35">
      <c r="B2640" s="18">
        <v>4002109</v>
      </c>
      <c r="C2640" s="19" t="s">
        <v>4519</v>
      </c>
      <c r="D2640" s="5" t="s">
        <v>8</v>
      </c>
      <c r="E2640" s="19" t="s">
        <v>5791</v>
      </c>
      <c r="F2640" s="34" t="s">
        <v>3574</v>
      </c>
      <c r="G2640" s="27">
        <v>37.18</v>
      </c>
      <c r="H2640" s="1" t="s">
        <v>774</v>
      </c>
      <c r="I2640" s="20">
        <v>1</v>
      </c>
      <c r="J2640" s="36">
        <v>0.06</v>
      </c>
    </row>
    <row r="2641" spans="2:10" x14ac:dyDescent="0.35">
      <c r="B2641" s="18" t="s">
        <v>3810</v>
      </c>
      <c r="C2641" s="19" t="s">
        <v>4517</v>
      </c>
      <c r="D2641" s="5" t="s">
        <v>8</v>
      </c>
      <c r="E2641" s="19" t="s">
        <v>5792</v>
      </c>
      <c r="F2641" s="34" t="s">
        <v>3574</v>
      </c>
      <c r="G2641" s="27">
        <v>37.840000000000003</v>
      </c>
      <c r="H2641" s="1" t="s">
        <v>774</v>
      </c>
      <c r="I2641" s="20">
        <v>1</v>
      </c>
      <c r="J2641" s="36">
        <v>0.06</v>
      </c>
    </row>
    <row r="2642" spans="2:10" x14ac:dyDescent="0.35">
      <c r="B2642" s="18">
        <v>4000689</v>
      </c>
      <c r="C2642" s="19" t="s">
        <v>4520</v>
      </c>
      <c r="D2642" s="5" t="s">
        <v>8</v>
      </c>
      <c r="E2642" s="19" t="s">
        <v>5793</v>
      </c>
      <c r="F2642" s="34" t="s">
        <v>3574</v>
      </c>
      <c r="G2642" s="27">
        <v>34.21</v>
      </c>
      <c r="H2642" s="1" t="s">
        <v>774</v>
      </c>
      <c r="I2642" s="20">
        <v>1</v>
      </c>
      <c r="J2642" s="36">
        <v>0.06</v>
      </c>
    </row>
    <row r="2643" spans="2:10" x14ac:dyDescent="0.35">
      <c r="B2643" s="18" t="s">
        <v>3811</v>
      </c>
      <c r="C2643" s="19" t="s">
        <v>4521</v>
      </c>
      <c r="D2643" s="5" t="s">
        <v>8</v>
      </c>
      <c r="E2643" s="19" t="s">
        <v>5794</v>
      </c>
      <c r="F2643" s="34" t="s">
        <v>3574</v>
      </c>
      <c r="G2643" s="27">
        <v>30.44</v>
      </c>
      <c r="H2643" s="1" t="s">
        <v>774</v>
      </c>
      <c r="I2643" s="20">
        <v>1</v>
      </c>
      <c r="J2643" s="36">
        <v>0.06</v>
      </c>
    </row>
    <row r="2644" spans="2:10" x14ac:dyDescent="0.35">
      <c r="B2644" s="18">
        <v>4001190</v>
      </c>
      <c r="C2644" s="19" t="s">
        <v>4518</v>
      </c>
      <c r="D2644" s="5" t="s">
        <v>8</v>
      </c>
      <c r="E2644" s="19" t="s">
        <v>5795</v>
      </c>
      <c r="F2644" s="34" t="s">
        <v>3574</v>
      </c>
      <c r="G2644" s="27">
        <v>36.82</v>
      </c>
      <c r="H2644" s="1" t="s">
        <v>774</v>
      </c>
      <c r="I2644" s="20">
        <v>1</v>
      </c>
      <c r="J2644" s="36">
        <v>0.06</v>
      </c>
    </row>
    <row r="2645" spans="2:10" x14ac:dyDescent="0.35">
      <c r="B2645" s="18" t="s">
        <v>3812</v>
      </c>
      <c r="C2645" s="19" t="s">
        <v>4522</v>
      </c>
      <c r="D2645" s="5" t="s">
        <v>8</v>
      </c>
      <c r="E2645" s="19" t="s">
        <v>5796</v>
      </c>
      <c r="F2645" s="34" t="s">
        <v>3574</v>
      </c>
      <c r="G2645" s="27">
        <v>78.34</v>
      </c>
      <c r="H2645" s="1" t="s">
        <v>774</v>
      </c>
      <c r="I2645" s="20">
        <v>1</v>
      </c>
      <c r="J2645" s="36">
        <v>0.06</v>
      </c>
    </row>
    <row r="2646" spans="2:10" x14ac:dyDescent="0.35">
      <c r="B2646" s="18">
        <v>1439104</v>
      </c>
      <c r="C2646" s="19" t="s">
        <v>4523</v>
      </c>
      <c r="D2646" s="5" t="s">
        <v>8</v>
      </c>
      <c r="E2646" s="19" t="s">
        <v>5797</v>
      </c>
      <c r="F2646" s="34" t="s">
        <v>3574</v>
      </c>
      <c r="G2646" s="27">
        <v>59.99</v>
      </c>
      <c r="H2646" s="1" t="s">
        <v>774</v>
      </c>
      <c r="I2646" s="20">
        <v>1</v>
      </c>
      <c r="J2646" s="36">
        <v>0.06</v>
      </c>
    </row>
    <row r="2647" spans="2:10" x14ac:dyDescent="0.35">
      <c r="B2647" s="18">
        <v>1411142</v>
      </c>
      <c r="C2647" s="19" t="s">
        <v>4524</v>
      </c>
      <c r="D2647" s="5" t="s">
        <v>8</v>
      </c>
      <c r="E2647" s="19" t="s">
        <v>5798</v>
      </c>
      <c r="F2647" s="34" t="s">
        <v>3574</v>
      </c>
      <c r="G2647" s="27">
        <v>90.78</v>
      </c>
      <c r="H2647" s="1" t="s">
        <v>774</v>
      </c>
      <c r="I2647" s="20">
        <v>1</v>
      </c>
      <c r="J2647" s="36">
        <v>0.06</v>
      </c>
    </row>
    <row r="2648" spans="2:10" x14ac:dyDescent="0.35">
      <c r="B2648" s="18" t="s">
        <v>3813</v>
      </c>
      <c r="C2648" s="19" t="s">
        <v>4517</v>
      </c>
      <c r="D2648" s="5" t="s">
        <v>8</v>
      </c>
      <c r="E2648" s="19" t="s">
        <v>5799</v>
      </c>
      <c r="F2648" s="34" t="s">
        <v>3574</v>
      </c>
      <c r="G2648" s="27">
        <v>85.42</v>
      </c>
      <c r="H2648" s="1" t="s">
        <v>774</v>
      </c>
      <c r="I2648" s="20">
        <v>1</v>
      </c>
      <c r="J2648" s="36">
        <v>0.06</v>
      </c>
    </row>
    <row r="2649" spans="2:10" x14ac:dyDescent="0.35">
      <c r="B2649" s="18">
        <v>1411717</v>
      </c>
      <c r="C2649" s="19" t="s">
        <v>4525</v>
      </c>
      <c r="D2649" s="5" t="s">
        <v>8</v>
      </c>
      <c r="E2649" s="19" t="s">
        <v>5800</v>
      </c>
      <c r="F2649" s="34" t="s">
        <v>3574</v>
      </c>
      <c r="G2649" s="27">
        <v>85.42</v>
      </c>
      <c r="H2649" s="1" t="s">
        <v>774</v>
      </c>
      <c r="I2649" s="20">
        <v>1</v>
      </c>
      <c r="J2649" s="36">
        <v>0.06</v>
      </c>
    </row>
    <row r="2650" spans="2:10" x14ac:dyDescent="0.35">
      <c r="B2650" s="18" t="s">
        <v>3814</v>
      </c>
      <c r="C2650" s="19" t="s">
        <v>4526</v>
      </c>
      <c r="D2650" s="5" t="s">
        <v>8</v>
      </c>
      <c r="E2650" s="19" t="s">
        <v>5800</v>
      </c>
      <c r="F2650" s="34" t="s">
        <v>3574</v>
      </c>
      <c r="G2650" s="27">
        <v>85.42</v>
      </c>
      <c r="H2650" s="1" t="s">
        <v>774</v>
      </c>
      <c r="I2650" s="20">
        <v>1</v>
      </c>
      <c r="J2650" s="36">
        <v>0.06</v>
      </c>
    </row>
    <row r="2651" spans="2:10" x14ac:dyDescent="0.35">
      <c r="B2651" s="18">
        <v>4001806</v>
      </c>
      <c r="C2651" s="19" t="s">
        <v>4527</v>
      </c>
      <c r="D2651" s="5" t="s">
        <v>8</v>
      </c>
      <c r="E2651" s="19" t="s">
        <v>5801</v>
      </c>
      <c r="F2651" s="34" t="s">
        <v>3574</v>
      </c>
      <c r="G2651" s="27">
        <v>83.08</v>
      </c>
      <c r="H2651" s="1" t="s">
        <v>774</v>
      </c>
      <c r="I2651" s="20">
        <v>1</v>
      </c>
      <c r="J2651" s="36">
        <v>0.06</v>
      </c>
    </row>
    <row r="2652" spans="2:10" x14ac:dyDescent="0.35">
      <c r="B2652" s="18">
        <v>4001847</v>
      </c>
      <c r="C2652" s="19" t="s">
        <v>4528</v>
      </c>
      <c r="D2652" s="5" t="s">
        <v>8</v>
      </c>
      <c r="E2652" s="19" t="s">
        <v>5802</v>
      </c>
      <c r="F2652" s="34" t="s">
        <v>3574</v>
      </c>
      <c r="G2652" s="27">
        <v>66.64</v>
      </c>
      <c r="H2652" s="1" t="s">
        <v>774</v>
      </c>
      <c r="I2652" s="20">
        <v>1</v>
      </c>
      <c r="J2652" s="36">
        <v>0.06</v>
      </c>
    </row>
    <row r="2653" spans="2:10" x14ac:dyDescent="0.35">
      <c r="B2653" s="18" t="s">
        <v>3815</v>
      </c>
      <c r="C2653" s="19" t="s">
        <v>4529</v>
      </c>
      <c r="D2653" s="5" t="s">
        <v>8</v>
      </c>
      <c r="E2653" s="19" t="s">
        <v>5803</v>
      </c>
      <c r="F2653" s="34" t="s">
        <v>3574</v>
      </c>
      <c r="G2653" s="27">
        <v>66.64</v>
      </c>
      <c r="H2653" s="1" t="s">
        <v>774</v>
      </c>
      <c r="I2653" s="20">
        <v>1</v>
      </c>
      <c r="J2653" s="36">
        <v>0.06</v>
      </c>
    </row>
    <row r="2654" spans="2:10" x14ac:dyDescent="0.35">
      <c r="B2654" s="18">
        <v>1585508</v>
      </c>
      <c r="C2654" s="19" t="s">
        <v>4530</v>
      </c>
      <c r="D2654" s="5" t="s">
        <v>8</v>
      </c>
      <c r="E2654" s="19" t="s">
        <v>5804</v>
      </c>
      <c r="F2654" s="34" t="s">
        <v>3574</v>
      </c>
      <c r="G2654" s="27">
        <v>61.96</v>
      </c>
      <c r="H2654" s="1" t="s">
        <v>774</v>
      </c>
      <c r="I2654" s="20">
        <v>1</v>
      </c>
      <c r="J2654" s="36">
        <v>0.06</v>
      </c>
    </row>
    <row r="2655" spans="2:10" x14ac:dyDescent="0.35">
      <c r="B2655" s="18">
        <v>1410047</v>
      </c>
      <c r="C2655" s="19" t="s">
        <v>4531</v>
      </c>
      <c r="D2655" s="5" t="s">
        <v>8</v>
      </c>
      <c r="E2655" s="19" t="s">
        <v>5805</v>
      </c>
      <c r="F2655" s="34" t="s">
        <v>3574</v>
      </c>
      <c r="G2655" s="27">
        <v>88.87</v>
      </c>
      <c r="H2655" s="1" t="s">
        <v>774</v>
      </c>
      <c r="I2655" s="20">
        <v>1</v>
      </c>
      <c r="J2655" s="36">
        <v>0.06</v>
      </c>
    </row>
    <row r="2656" spans="2:10" x14ac:dyDescent="0.35">
      <c r="B2656" s="18">
        <v>1439102</v>
      </c>
      <c r="C2656" s="19" t="s">
        <v>4532</v>
      </c>
      <c r="D2656" s="5" t="s">
        <v>8</v>
      </c>
      <c r="E2656" s="19" t="s">
        <v>5806</v>
      </c>
      <c r="F2656" s="34" t="s">
        <v>3574</v>
      </c>
      <c r="G2656" s="27">
        <v>76.540000000000006</v>
      </c>
      <c r="H2656" s="1" t="s">
        <v>774</v>
      </c>
      <c r="I2656" s="20">
        <v>1</v>
      </c>
      <c r="J2656" s="36">
        <v>0.06</v>
      </c>
    </row>
    <row r="2657" spans="2:10" x14ac:dyDescent="0.35">
      <c r="B2657" s="18">
        <v>3601495</v>
      </c>
      <c r="C2657" s="19" t="s">
        <v>4533</v>
      </c>
      <c r="D2657" s="5" t="s">
        <v>8</v>
      </c>
      <c r="E2657" s="19" t="s">
        <v>5807</v>
      </c>
      <c r="F2657" s="34" t="s">
        <v>3574</v>
      </c>
      <c r="G2657" s="27">
        <v>110.18</v>
      </c>
      <c r="H2657" s="1" t="s">
        <v>774</v>
      </c>
      <c r="I2657" s="20">
        <v>1</v>
      </c>
      <c r="J2657" s="36">
        <v>0.06</v>
      </c>
    </row>
    <row r="2658" spans="2:10" x14ac:dyDescent="0.35">
      <c r="B2658" s="18">
        <v>4001324</v>
      </c>
      <c r="C2658" s="19" t="s">
        <v>4534</v>
      </c>
      <c r="D2658" s="5" t="s">
        <v>8</v>
      </c>
      <c r="E2658" s="19" t="s">
        <v>5808</v>
      </c>
      <c r="F2658" s="34" t="s">
        <v>3574</v>
      </c>
      <c r="G2658" s="27">
        <v>66.790000000000006</v>
      </c>
      <c r="H2658" s="1" t="s">
        <v>774</v>
      </c>
      <c r="I2658" s="20">
        <v>1</v>
      </c>
      <c r="J2658" s="36">
        <v>0.06</v>
      </c>
    </row>
    <row r="2659" spans="2:10" x14ac:dyDescent="0.35">
      <c r="B2659" s="18">
        <v>4001779</v>
      </c>
      <c r="C2659" s="19" t="s">
        <v>4527</v>
      </c>
      <c r="D2659" s="5" t="s">
        <v>8</v>
      </c>
      <c r="E2659" s="19" t="s">
        <v>5809</v>
      </c>
      <c r="F2659" s="34" t="s">
        <v>3574</v>
      </c>
      <c r="G2659" s="27">
        <v>63.62</v>
      </c>
      <c r="H2659" s="1" t="s">
        <v>774</v>
      </c>
      <c r="I2659" s="20">
        <v>1</v>
      </c>
      <c r="J2659" s="36">
        <v>0.06</v>
      </c>
    </row>
    <row r="2660" spans="2:10" x14ac:dyDescent="0.35">
      <c r="B2660" s="18">
        <v>4002553</v>
      </c>
      <c r="C2660" s="19" t="s">
        <v>4535</v>
      </c>
      <c r="D2660" s="5" t="s">
        <v>8</v>
      </c>
      <c r="E2660" s="19" t="s">
        <v>5810</v>
      </c>
      <c r="F2660" s="34" t="s">
        <v>3574</v>
      </c>
      <c r="G2660" s="27">
        <v>86.93</v>
      </c>
      <c r="H2660" s="1" t="s">
        <v>774</v>
      </c>
      <c r="I2660" s="20">
        <v>1</v>
      </c>
      <c r="J2660" s="36">
        <v>0.06</v>
      </c>
    </row>
    <row r="2661" spans="2:10" x14ac:dyDescent="0.35">
      <c r="B2661" s="18" t="s">
        <v>3816</v>
      </c>
      <c r="C2661" s="19" t="s">
        <v>4521</v>
      </c>
      <c r="D2661" s="5" t="s">
        <v>8</v>
      </c>
      <c r="E2661" s="19" t="s">
        <v>5811</v>
      </c>
      <c r="F2661" s="34" t="s">
        <v>3574</v>
      </c>
      <c r="G2661" s="27">
        <v>41.74</v>
      </c>
      <c r="H2661" s="1" t="s">
        <v>774</v>
      </c>
      <c r="I2661" s="20">
        <v>1</v>
      </c>
      <c r="J2661" s="36">
        <v>0.06</v>
      </c>
    </row>
    <row r="2662" spans="2:10" x14ac:dyDescent="0.35">
      <c r="B2662" s="18">
        <v>4001548</v>
      </c>
      <c r="C2662" s="19" t="s">
        <v>4523</v>
      </c>
      <c r="D2662" s="5" t="s">
        <v>8</v>
      </c>
      <c r="E2662" s="19" t="s">
        <v>5812</v>
      </c>
      <c r="F2662" s="34" t="s">
        <v>3574</v>
      </c>
      <c r="G2662" s="27">
        <v>71.78</v>
      </c>
      <c r="H2662" s="1" t="s">
        <v>774</v>
      </c>
      <c r="I2662" s="20">
        <v>1</v>
      </c>
      <c r="J2662" s="36">
        <v>0.06</v>
      </c>
    </row>
    <row r="2663" spans="2:10" x14ac:dyDescent="0.35">
      <c r="B2663" s="18">
        <v>1439123</v>
      </c>
      <c r="C2663" s="19" t="s">
        <v>4523</v>
      </c>
      <c r="D2663" s="5" t="s">
        <v>8</v>
      </c>
      <c r="E2663" s="19" t="s">
        <v>5813</v>
      </c>
      <c r="F2663" s="34" t="s">
        <v>3574</v>
      </c>
      <c r="G2663" s="27">
        <v>57.8</v>
      </c>
      <c r="H2663" s="1" t="s">
        <v>774</v>
      </c>
      <c r="I2663" s="20">
        <v>1</v>
      </c>
      <c r="J2663" s="36">
        <v>0.06</v>
      </c>
    </row>
    <row r="2664" spans="2:10" x14ac:dyDescent="0.35">
      <c r="B2664" s="18" t="s">
        <v>3817</v>
      </c>
      <c r="C2664" s="19" t="s">
        <v>4536</v>
      </c>
      <c r="D2664" s="5" t="s">
        <v>8</v>
      </c>
      <c r="E2664" s="19" t="s">
        <v>5814</v>
      </c>
      <c r="F2664" s="34" t="s">
        <v>3574</v>
      </c>
      <c r="G2664" s="27">
        <v>62.08</v>
      </c>
      <c r="H2664" s="1" t="s">
        <v>774</v>
      </c>
      <c r="I2664" s="20">
        <v>1</v>
      </c>
      <c r="J2664" s="36">
        <v>0.06</v>
      </c>
    </row>
    <row r="2665" spans="2:10" x14ac:dyDescent="0.35">
      <c r="B2665" s="18" t="s">
        <v>3818</v>
      </c>
      <c r="C2665" s="19" t="s">
        <v>4537</v>
      </c>
      <c r="D2665" s="5" t="s">
        <v>8</v>
      </c>
      <c r="E2665" s="19" t="s">
        <v>5815</v>
      </c>
      <c r="F2665" s="34" t="s">
        <v>3574</v>
      </c>
      <c r="G2665" s="27">
        <v>137.72</v>
      </c>
      <c r="H2665" s="1" t="s">
        <v>774</v>
      </c>
      <c r="I2665" s="20">
        <v>1</v>
      </c>
      <c r="J2665" s="36">
        <v>0.06</v>
      </c>
    </row>
    <row r="2666" spans="2:10" x14ac:dyDescent="0.35">
      <c r="B2666" s="18">
        <v>1202532</v>
      </c>
      <c r="C2666" s="19" t="s">
        <v>4518</v>
      </c>
      <c r="D2666" s="5" t="s">
        <v>8</v>
      </c>
      <c r="E2666" s="19" t="s">
        <v>5816</v>
      </c>
      <c r="F2666" s="34" t="s">
        <v>3574</v>
      </c>
      <c r="G2666" s="27">
        <v>56.14</v>
      </c>
      <c r="H2666" s="1" t="s">
        <v>774</v>
      </c>
      <c r="I2666" s="20">
        <v>1</v>
      </c>
      <c r="J2666" s="36">
        <v>0.06</v>
      </c>
    </row>
    <row r="2667" spans="2:10" x14ac:dyDescent="0.35">
      <c r="B2667" s="18">
        <v>1202533</v>
      </c>
      <c r="C2667" s="19" t="s">
        <v>4518</v>
      </c>
      <c r="D2667" s="5" t="s">
        <v>8</v>
      </c>
      <c r="E2667" s="19" t="s">
        <v>5817</v>
      </c>
      <c r="F2667" s="34" t="s">
        <v>3574</v>
      </c>
      <c r="G2667" s="27">
        <v>53.33</v>
      </c>
      <c r="H2667" s="1" t="s">
        <v>774</v>
      </c>
      <c r="I2667" s="20">
        <v>1</v>
      </c>
      <c r="J2667" s="36">
        <v>0.06</v>
      </c>
    </row>
    <row r="2668" spans="2:10" x14ac:dyDescent="0.35">
      <c r="B2668" s="18" t="s">
        <v>3819</v>
      </c>
      <c r="C2668" s="19" t="s">
        <v>4526</v>
      </c>
      <c r="D2668" s="5" t="s">
        <v>8</v>
      </c>
      <c r="E2668" s="19" t="s">
        <v>5818</v>
      </c>
      <c r="F2668" s="34" t="s">
        <v>3574</v>
      </c>
      <c r="G2668" s="27">
        <v>88.76</v>
      </c>
      <c r="H2668" s="1" t="s">
        <v>774</v>
      </c>
      <c r="I2668" s="20">
        <v>1</v>
      </c>
      <c r="J2668" s="36">
        <v>0.06</v>
      </c>
    </row>
    <row r="2669" spans="2:10" x14ac:dyDescent="0.35">
      <c r="B2669" s="18" t="s">
        <v>3820</v>
      </c>
      <c r="C2669" s="19" t="s">
        <v>4526</v>
      </c>
      <c r="D2669" s="5" t="s">
        <v>8</v>
      </c>
      <c r="E2669" s="19" t="s">
        <v>5819</v>
      </c>
      <c r="F2669" s="34" t="s">
        <v>3574</v>
      </c>
      <c r="G2669" s="27">
        <v>73.349999999999994</v>
      </c>
      <c r="H2669" s="1" t="s">
        <v>774</v>
      </c>
      <c r="I2669" s="20">
        <v>1</v>
      </c>
      <c r="J2669" s="36">
        <v>0.06</v>
      </c>
    </row>
    <row r="2670" spans="2:10" x14ac:dyDescent="0.35">
      <c r="B2670" s="18" t="s">
        <v>3821</v>
      </c>
      <c r="C2670" s="19" t="s">
        <v>4538</v>
      </c>
      <c r="D2670" s="5" t="s">
        <v>8</v>
      </c>
      <c r="E2670" s="19" t="s">
        <v>5820</v>
      </c>
      <c r="F2670" s="34" t="s">
        <v>3574</v>
      </c>
      <c r="G2670" s="27">
        <v>8466.69</v>
      </c>
      <c r="H2670" s="1" t="s">
        <v>774</v>
      </c>
      <c r="I2670" s="20">
        <v>1</v>
      </c>
      <c r="J2670" s="36">
        <v>0.06</v>
      </c>
    </row>
    <row r="2671" spans="2:10" x14ac:dyDescent="0.35">
      <c r="B2671" s="18" t="s">
        <v>3822</v>
      </c>
      <c r="C2671" s="19" t="s">
        <v>4332</v>
      </c>
      <c r="D2671" s="5" t="s">
        <v>8</v>
      </c>
      <c r="E2671" s="19" t="s">
        <v>5821</v>
      </c>
      <c r="F2671" s="34" t="s">
        <v>3574</v>
      </c>
      <c r="G2671" s="27">
        <v>21.83</v>
      </c>
      <c r="H2671" s="1" t="s">
        <v>774</v>
      </c>
      <c r="I2671" s="20">
        <v>1</v>
      </c>
      <c r="J2671" s="36">
        <v>0.06</v>
      </c>
    </row>
    <row r="2672" spans="2:10" x14ac:dyDescent="0.35">
      <c r="B2672" s="18">
        <v>1317040</v>
      </c>
      <c r="C2672" s="19" t="s">
        <v>4539</v>
      </c>
      <c r="D2672" s="5" t="s">
        <v>8</v>
      </c>
      <c r="E2672" s="19" t="s">
        <v>5822</v>
      </c>
      <c r="F2672" s="34" t="s">
        <v>3574</v>
      </c>
      <c r="G2672" s="27">
        <v>16.760000000000002</v>
      </c>
      <c r="H2672" s="1" t="s">
        <v>774</v>
      </c>
      <c r="I2672" s="20">
        <v>1</v>
      </c>
      <c r="J2672" s="36">
        <v>0.06</v>
      </c>
    </row>
    <row r="2673" spans="2:10" x14ac:dyDescent="0.35">
      <c r="B2673" s="18" t="s">
        <v>3823</v>
      </c>
      <c r="C2673" s="19" t="s">
        <v>4540</v>
      </c>
      <c r="D2673" s="5" t="s">
        <v>8</v>
      </c>
      <c r="E2673" s="19" t="s">
        <v>5823</v>
      </c>
      <c r="F2673" s="34" t="s">
        <v>3574</v>
      </c>
      <c r="G2673" s="27">
        <v>7.43</v>
      </c>
      <c r="H2673" s="1" t="s">
        <v>774</v>
      </c>
      <c r="I2673" s="20">
        <v>1</v>
      </c>
      <c r="J2673" s="36">
        <v>0.06</v>
      </c>
    </row>
    <row r="2674" spans="2:10" x14ac:dyDescent="0.35">
      <c r="B2674" s="18" t="s">
        <v>3824</v>
      </c>
      <c r="C2674" s="19" t="s">
        <v>4332</v>
      </c>
      <c r="D2674" s="5" t="s">
        <v>8</v>
      </c>
      <c r="E2674" s="19" t="s">
        <v>5824</v>
      </c>
      <c r="F2674" s="34" t="s">
        <v>3574</v>
      </c>
      <c r="G2674" s="27">
        <v>12.43</v>
      </c>
      <c r="H2674" s="1" t="s">
        <v>774</v>
      </c>
      <c r="I2674" s="20">
        <v>1</v>
      </c>
      <c r="J2674" s="36">
        <v>0.06</v>
      </c>
    </row>
    <row r="2675" spans="2:10" x14ac:dyDescent="0.35">
      <c r="B2675" s="18">
        <v>1348003</v>
      </c>
      <c r="C2675" s="19" t="s">
        <v>4540</v>
      </c>
      <c r="D2675" s="5" t="s">
        <v>8</v>
      </c>
      <c r="E2675" s="19" t="s">
        <v>5825</v>
      </c>
      <c r="F2675" s="34" t="s">
        <v>3574</v>
      </c>
      <c r="G2675" s="27">
        <v>14.95</v>
      </c>
      <c r="H2675" s="1" t="s">
        <v>774</v>
      </c>
      <c r="I2675" s="20">
        <v>1</v>
      </c>
      <c r="J2675" s="36">
        <v>0.06</v>
      </c>
    </row>
    <row r="2676" spans="2:10" x14ac:dyDescent="0.35">
      <c r="B2676" s="18">
        <v>1439098</v>
      </c>
      <c r="C2676" s="19" t="s">
        <v>4523</v>
      </c>
      <c r="D2676" s="5" t="s">
        <v>8</v>
      </c>
      <c r="E2676" s="19" t="s">
        <v>5826</v>
      </c>
      <c r="F2676" s="34" t="s">
        <v>3574</v>
      </c>
      <c r="G2676" s="27">
        <v>83.2</v>
      </c>
      <c r="H2676" s="1" t="s">
        <v>774</v>
      </c>
      <c r="I2676" s="20">
        <v>1</v>
      </c>
      <c r="J2676" s="36">
        <v>0.06</v>
      </c>
    </row>
    <row r="2677" spans="2:10" x14ac:dyDescent="0.35">
      <c r="B2677" s="18">
        <v>1439018</v>
      </c>
      <c r="C2677" s="19" t="s">
        <v>4523</v>
      </c>
      <c r="D2677" s="5" t="s">
        <v>8</v>
      </c>
      <c r="E2677" s="19" t="s">
        <v>5827</v>
      </c>
      <c r="F2677" s="34" t="s">
        <v>3574</v>
      </c>
      <c r="G2677" s="27">
        <v>62.24</v>
      </c>
      <c r="H2677" s="1" t="s">
        <v>774</v>
      </c>
      <c r="I2677" s="20">
        <v>1</v>
      </c>
      <c r="J2677" s="36">
        <v>0.06</v>
      </c>
    </row>
    <row r="2678" spans="2:10" x14ac:dyDescent="0.35">
      <c r="B2678" s="18">
        <v>1439029</v>
      </c>
      <c r="C2678" s="19" t="s">
        <v>4523</v>
      </c>
      <c r="D2678" s="5" t="s">
        <v>8</v>
      </c>
      <c r="E2678" s="19" t="s">
        <v>5828</v>
      </c>
      <c r="F2678" s="34" t="s">
        <v>3574</v>
      </c>
      <c r="G2678" s="27">
        <v>71.81</v>
      </c>
      <c r="H2678" s="1" t="s">
        <v>774</v>
      </c>
      <c r="I2678" s="20">
        <v>1</v>
      </c>
      <c r="J2678" s="36">
        <v>0.06</v>
      </c>
    </row>
    <row r="2679" spans="2:10" x14ac:dyDescent="0.35">
      <c r="B2679" s="18">
        <v>1439221</v>
      </c>
      <c r="C2679" s="19" t="s">
        <v>4541</v>
      </c>
      <c r="D2679" s="5" t="s">
        <v>8</v>
      </c>
      <c r="E2679" s="19" t="s">
        <v>5829</v>
      </c>
      <c r="F2679" s="34" t="s">
        <v>3574</v>
      </c>
      <c r="G2679" s="27">
        <v>101.43</v>
      </c>
      <c r="H2679" s="1" t="s">
        <v>774</v>
      </c>
      <c r="I2679" s="20">
        <v>1</v>
      </c>
      <c r="J2679" s="36">
        <v>0.06</v>
      </c>
    </row>
    <row r="2680" spans="2:10" x14ac:dyDescent="0.35">
      <c r="B2680" s="18">
        <v>1361047</v>
      </c>
      <c r="C2680" s="19" t="s">
        <v>4542</v>
      </c>
      <c r="D2680" s="5" t="s">
        <v>8</v>
      </c>
      <c r="E2680" s="19" t="s">
        <v>5830</v>
      </c>
      <c r="F2680" s="34" t="s">
        <v>3574</v>
      </c>
      <c r="G2680" s="27">
        <v>50.99</v>
      </c>
      <c r="H2680" s="1" t="s">
        <v>774</v>
      </c>
      <c r="I2680" s="20">
        <v>1</v>
      </c>
      <c r="J2680" s="36">
        <v>0.06</v>
      </c>
    </row>
    <row r="2681" spans="2:10" x14ac:dyDescent="0.35">
      <c r="B2681" s="18">
        <v>4001218</v>
      </c>
      <c r="C2681" s="19" t="s">
        <v>4543</v>
      </c>
      <c r="D2681" s="5" t="s">
        <v>8</v>
      </c>
      <c r="E2681" s="19" t="s">
        <v>5831</v>
      </c>
      <c r="F2681" s="34" t="s">
        <v>3574</v>
      </c>
      <c r="G2681" s="27">
        <v>1.42</v>
      </c>
      <c r="H2681" s="1" t="s">
        <v>774</v>
      </c>
      <c r="I2681" s="20">
        <v>1</v>
      </c>
      <c r="J2681" s="36">
        <v>0.06</v>
      </c>
    </row>
    <row r="2682" spans="2:10" x14ac:dyDescent="0.35">
      <c r="B2682" s="18">
        <v>1260696</v>
      </c>
      <c r="C2682" s="19" t="s">
        <v>4544</v>
      </c>
      <c r="D2682" s="5" t="s">
        <v>8</v>
      </c>
      <c r="E2682" s="19" t="s">
        <v>5832</v>
      </c>
      <c r="F2682" s="34" t="s">
        <v>3574</v>
      </c>
      <c r="G2682" s="27">
        <v>134.96</v>
      </c>
      <c r="H2682" s="1" t="s">
        <v>774</v>
      </c>
      <c r="I2682" s="20">
        <v>1</v>
      </c>
      <c r="J2682" s="36">
        <v>0.06</v>
      </c>
    </row>
    <row r="2683" spans="2:10" x14ac:dyDescent="0.35">
      <c r="B2683" s="18">
        <v>1360639</v>
      </c>
      <c r="C2683" s="19" t="s">
        <v>4545</v>
      </c>
      <c r="D2683" s="5" t="s">
        <v>8</v>
      </c>
      <c r="E2683" s="19" t="s">
        <v>5833</v>
      </c>
      <c r="F2683" s="34" t="s">
        <v>3574</v>
      </c>
      <c r="G2683" s="27">
        <v>15.27</v>
      </c>
      <c r="H2683" s="1" t="s">
        <v>774</v>
      </c>
      <c r="I2683" s="20">
        <v>1</v>
      </c>
      <c r="J2683" s="36">
        <v>0.06</v>
      </c>
    </row>
    <row r="2684" spans="2:10" x14ac:dyDescent="0.35">
      <c r="B2684" s="18">
        <v>1202373</v>
      </c>
      <c r="C2684" s="19" t="s">
        <v>4546</v>
      </c>
      <c r="D2684" s="5" t="s">
        <v>8</v>
      </c>
      <c r="E2684" s="19" t="s">
        <v>5834</v>
      </c>
      <c r="F2684" s="34" t="s">
        <v>3574</v>
      </c>
      <c r="G2684" s="27">
        <v>407.22</v>
      </c>
      <c r="H2684" s="1" t="s">
        <v>774</v>
      </c>
      <c r="I2684" s="20">
        <v>1</v>
      </c>
      <c r="J2684" s="36">
        <v>0.06</v>
      </c>
    </row>
    <row r="2685" spans="2:10" x14ac:dyDescent="0.35">
      <c r="B2685" s="18">
        <v>1202740</v>
      </c>
      <c r="C2685" s="19" t="s">
        <v>4547</v>
      </c>
      <c r="D2685" s="5" t="s">
        <v>8</v>
      </c>
      <c r="E2685" s="19" t="s">
        <v>5835</v>
      </c>
      <c r="F2685" s="34" t="s">
        <v>3574</v>
      </c>
      <c r="G2685" s="27">
        <v>427.58</v>
      </c>
      <c r="H2685" s="1" t="s">
        <v>774</v>
      </c>
      <c r="I2685" s="20">
        <v>1</v>
      </c>
      <c r="J2685" s="36">
        <v>0.06</v>
      </c>
    </row>
    <row r="2686" spans="2:10" x14ac:dyDescent="0.35">
      <c r="B2686" s="18" t="s">
        <v>3825</v>
      </c>
      <c r="C2686" s="19" t="s">
        <v>4353</v>
      </c>
      <c r="D2686" s="5" t="s">
        <v>8</v>
      </c>
      <c r="E2686" s="19" t="s">
        <v>5836</v>
      </c>
      <c r="F2686" s="34" t="s">
        <v>3574</v>
      </c>
      <c r="G2686" s="27">
        <v>67.38</v>
      </c>
      <c r="H2686" s="1" t="s">
        <v>774</v>
      </c>
      <c r="I2686" s="20">
        <v>1</v>
      </c>
      <c r="J2686" s="36">
        <v>0.06</v>
      </c>
    </row>
    <row r="2687" spans="2:10" x14ac:dyDescent="0.35">
      <c r="B2687" s="18">
        <v>1301062</v>
      </c>
      <c r="C2687" s="19" t="s">
        <v>4548</v>
      </c>
      <c r="D2687" s="5" t="s">
        <v>8</v>
      </c>
      <c r="E2687" s="19" t="s">
        <v>5837</v>
      </c>
      <c r="F2687" s="34" t="s">
        <v>3574</v>
      </c>
      <c r="G2687" s="27">
        <v>161.25</v>
      </c>
      <c r="H2687" s="1" t="s">
        <v>774</v>
      </c>
      <c r="I2687" s="20">
        <v>1</v>
      </c>
      <c r="J2687" s="36">
        <v>0.06</v>
      </c>
    </row>
    <row r="2688" spans="2:10" x14ac:dyDescent="0.35">
      <c r="B2688" s="18">
        <v>1360677</v>
      </c>
      <c r="C2688" s="19" t="s">
        <v>4548</v>
      </c>
      <c r="D2688" s="5" t="s">
        <v>8</v>
      </c>
      <c r="E2688" s="19" t="s">
        <v>5838</v>
      </c>
      <c r="F2688" s="34" t="s">
        <v>3574</v>
      </c>
      <c r="G2688" s="27">
        <v>166.62</v>
      </c>
      <c r="H2688" s="1" t="s">
        <v>774</v>
      </c>
      <c r="I2688" s="20">
        <v>1</v>
      </c>
      <c r="J2688" s="36">
        <v>0.06</v>
      </c>
    </row>
    <row r="2689" spans="2:10" x14ac:dyDescent="0.35">
      <c r="B2689" s="18" t="s">
        <v>3826</v>
      </c>
      <c r="C2689" s="19" t="s">
        <v>4549</v>
      </c>
      <c r="D2689" s="5" t="s">
        <v>8</v>
      </c>
      <c r="E2689" s="19" t="s">
        <v>5839</v>
      </c>
      <c r="F2689" s="34" t="s">
        <v>3574</v>
      </c>
      <c r="G2689" s="27">
        <v>134.18</v>
      </c>
      <c r="H2689" s="1" t="s">
        <v>774</v>
      </c>
      <c r="I2689" s="20">
        <v>1</v>
      </c>
      <c r="J2689" s="36">
        <v>0.06</v>
      </c>
    </row>
    <row r="2690" spans="2:10" x14ac:dyDescent="0.35">
      <c r="B2690" s="18" t="s">
        <v>3827</v>
      </c>
      <c r="C2690" s="19" t="s">
        <v>4549</v>
      </c>
      <c r="D2690" s="5" t="s">
        <v>8</v>
      </c>
      <c r="E2690" s="19" t="s">
        <v>5840</v>
      </c>
      <c r="F2690" s="34" t="s">
        <v>3574</v>
      </c>
      <c r="G2690" s="27">
        <v>138.96</v>
      </c>
      <c r="H2690" s="1" t="s">
        <v>774</v>
      </c>
      <c r="I2690" s="20">
        <v>1</v>
      </c>
      <c r="J2690" s="36">
        <v>0.06</v>
      </c>
    </row>
    <row r="2691" spans="2:10" x14ac:dyDescent="0.35">
      <c r="B2691" s="18" t="s">
        <v>3828</v>
      </c>
      <c r="C2691" s="19" t="s">
        <v>4550</v>
      </c>
      <c r="D2691" s="5" t="s">
        <v>8</v>
      </c>
      <c r="E2691" s="19" t="s">
        <v>5841</v>
      </c>
      <c r="F2691" s="34" t="s">
        <v>3574</v>
      </c>
      <c r="G2691" s="27">
        <v>182.21</v>
      </c>
      <c r="H2691" s="1" t="s">
        <v>774</v>
      </c>
      <c r="I2691" s="20">
        <v>1</v>
      </c>
      <c r="J2691" s="36">
        <v>0.06</v>
      </c>
    </row>
    <row r="2692" spans="2:10" x14ac:dyDescent="0.35">
      <c r="B2692" s="18">
        <v>1360638</v>
      </c>
      <c r="C2692" s="19" t="s">
        <v>4551</v>
      </c>
      <c r="D2692" s="5" t="s">
        <v>8</v>
      </c>
      <c r="E2692" s="19" t="s">
        <v>5842</v>
      </c>
      <c r="F2692" s="34" t="s">
        <v>3574</v>
      </c>
      <c r="G2692" s="27">
        <v>50.53</v>
      </c>
      <c r="H2692" s="1" t="s">
        <v>774</v>
      </c>
      <c r="I2692" s="20">
        <v>1</v>
      </c>
      <c r="J2692" s="36">
        <v>0.06</v>
      </c>
    </row>
    <row r="2693" spans="2:10" x14ac:dyDescent="0.35">
      <c r="B2693" s="18">
        <v>1328004</v>
      </c>
      <c r="C2693" s="19" t="s">
        <v>4552</v>
      </c>
      <c r="D2693" s="5" t="s">
        <v>8</v>
      </c>
      <c r="E2693" s="19" t="s">
        <v>5843</v>
      </c>
      <c r="F2693" s="34" t="s">
        <v>3574</v>
      </c>
      <c r="G2693" s="27">
        <v>38.619999999999997</v>
      </c>
      <c r="H2693" s="1" t="s">
        <v>774</v>
      </c>
      <c r="I2693" s="20">
        <v>1</v>
      </c>
      <c r="J2693" s="36">
        <v>0.06</v>
      </c>
    </row>
    <row r="2694" spans="2:10" x14ac:dyDescent="0.35">
      <c r="B2694" s="18">
        <v>1328013</v>
      </c>
      <c r="C2694" s="19" t="s">
        <v>4553</v>
      </c>
      <c r="D2694" s="5" t="s">
        <v>8</v>
      </c>
      <c r="E2694" s="19" t="s">
        <v>5844</v>
      </c>
      <c r="F2694" s="34" t="s">
        <v>3574</v>
      </c>
      <c r="G2694" s="27">
        <v>61.67</v>
      </c>
      <c r="H2694" s="1" t="s">
        <v>774</v>
      </c>
      <c r="I2694" s="20">
        <v>1</v>
      </c>
      <c r="J2694" s="36">
        <v>0.06</v>
      </c>
    </row>
    <row r="2695" spans="2:10" x14ac:dyDescent="0.35">
      <c r="B2695" s="18">
        <v>1328003</v>
      </c>
      <c r="C2695" s="19" t="s">
        <v>4554</v>
      </c>
      <c r="D2695" s="5" t="s">
        <v>8</v>
      </c>
      <c r="E2695" s="19" t="s">
        <v>5845</v>
      </c>
      <c r="F2695" s="34" t="s">
        <v>3574</v>
      </c>
      <c r="G2695" s="27">
        <v>30.55</v>
      </c>
      <c r="H2695" s="1" t="s">
        <v>774</v>
      </c>
      <c r="I2695" s="20">
        <v>1</v>
      </c>
      <c r="J2695" s="36">
        <v>0.06</v>
      </c>
    </row>
    <row r="2696" spans="2:10" x14ac:dyDescent="0.35">
      <c r="B2696" s="18">
        <v>1328011</v>
      </c>
      <c r="C2696" s="19" t="s">
        <v>4555</v>
      </c>
      <c r="D2696" s="5" t="s">
        <v>8</v>
      </c>
      <c r="E2696" s="19" t="s">
        <v>5846</v>
      </c>
      <c r="F2696" s="34" t="s">
        <v>3574</v>
      </c>
      <c r="G2696" s="27">
        <v>334.23</v>
      </c>
      <c r="H2696" s="1" t="s">
        <v>774</v>
      </c>
      <c r="I2696" s="20">
        <v>1</v>
      </c>
      <c r="J2696" s="36">
        <v>0.06</v>
      </c>
    </row>
    <row r="2697" spans="2:10" x14ac:dyDescent="0.35">
      <c r="B2697" s="18">
        <v>4001713</v>
      </c>
      <c r="C2697" s="19" t="s">
        <v>4556</v>
      </c>
      <c r="D2697" s="5" t="s">
        <v>8</v>
      </c>
      <c r="E2697" s="19" t="s">
        <v>5847</v>
      </c>
      <c r="F2697" s="34" t="s">
        <v>3574</v>
      </c>
      <c r="G2697" s="27">
        <v>28.35</v>
      </c>
      <c r="H2697" s="1" t="s">
        <v>774</v>
      </c>
      <c r="I2697" s="20">
        <v>1</v>
      </c>
      <c r="J2697" s="36">
        <v>0.06</v>
      </c>
    </row>
    <row r="2698" spans="2:10" x14ac:dyDescent="0.35">
      <c r="B2698" s="18">
        <v>3601808</v>
      </c>
      <c r="C2698" s="19" t="s">
        <v>4557</v>
      </c>
      <c r="D2698" s="5" t="s">
        <v>8</v>
      </c>
      <c r="E2698" s="19" t="s">
        <v>5848</v>
      </c>
      <c r="F2698" s="34" t="s">
        <v>3574</v>
      </c>
      <c r="G2698" s="27">
        <v>31.729999999999997</v>
      </c>
      <c r="H2698" s="1" t="s">
        <v>774</v>
      </c>
      <c r="I2698" s="20">
        <v>1</v>
      </c>
      <c r="J2698" s="36">
        <v>0.06</v>
      </c>
    </row>
    <row r="2699" spans="2:10" x14ac:dyDescent="0.35">
      <c r="B2699" s="18">
        <v>1324002</v>
      </c>
      <c r="C2699" s="19" t="s">
        <v>4558</v>
      </c>
      <c r="D2699" s="5" t="s">
        <v>8</v>
      </c>
      <c r="E2699" s="19" t="s">
        <v>5849</v>
      </c>
      <c r="F2699" s="34" t="s">
        <v>3574</v>
      </c>
      <c r="G2699" s="27">
        <v>17.97</v>
      </c>
      <c r="H2699" s="1" t="s">
        <v>774</v>
      </c>
      <c r="I2699" s="20">
        <v>1</v>
      </c>
      <c r="J2699" s="36">
        <v>0.06</v>
      </c>
    </row>
    <row r="2700" spans="2:10" x14ac:dyDescent="0.35">
      <c r="B2700" s="18" t="s">
        <v>3829</v>
      </c>
      <c r="C2700" s="19" t="s">
        <v>4559</v>
      </c>
      <c r="D2700" s="5" t="s">
        <v>8</v>
      </c>
      <c r="E2700" s="19" t="s">
        <v>5849</v>
      </c>
      <c r="F2700" s="34" t="s">
        <v>3574</v>
      </c>
      <c r="G2700" s="27">
        <v>17.97</v>
      </c>
      <c r="H2700" s="1" t="s">
        <v>774</v>
      </c>
      <c r="I2700" s="20">
        <v>1</v>
      </c>
      <c r="J2700" s="36">
        <v>0.06</v>
      </c>
    </row>
    <row r="2701" spans="2:10" x14ac:dyDescent="0.35">
      <c r="B2701" s="18">
        <v>3603581</v>
      </c>
      <c r="C2701" s="19" t="s">
        <v>4560</v>
      </c>
      <c r="D2701" s="5" t="s">
        <v>8</v>
      </c>
      <c r="E2701" s="19" t="s">
        <v>5850</v>
      </c>
      <c r="F2701" s="34" t="s">
        <v>3574</v>
      </c>
      <c r="G2701" s="27">
        <v>33.26</v>
      </c>
      <c r="H2701" s="1" t="s">
        <v>774</v>
      </c>
      <c r="I2701" s="20">
        <v>1</v>
      </c>
      <c r="J2701" s="36">
        <v>0.06</v>
      </c>
    </row>
    <row r="2702" spans="2:10" x14ac:dyDescent="0.35">
      <c r="B2702" s="18">
        <v>800004636</v>
      </c>
      <c r="C2702" s="19" t="s">
        <v>4561</v>
      </c>
      <c r="D2702" s="5" t="s">
        <v>8</v>
      </c>
      <c r="E2702" s="19" t="s">
        <v>5851</v>
      </c>
      <c r="F2702" s="34" t="s">
        <v>3574</v>
      </c>
      <c r="G2702" s="27">
        <v>34.909999999999997</v>
      </c>
      <c r="H2702" s="1" t="s">
        <v>774</v>
      </c>
      <c r="I2702" s="20">
        <v>1</v>
      </c>
      <c r="J2702" s="36">
        <v>0.06</v>
      </c>
    </row>
    <row r="2703" spans="2:10" x14ac:dyDescent="0.35">
      <c r="B2703" s="18">
        <v>3604571</v>
      </c>
      <c r="C2703" s="19" t="s">
        <v>4562</v>
      </c>
      <c r="D2703" s="5" t="s">
        <v>8</v>
      </c>
      <c r="E2703" s="19" t="s">
        <v>5852</v>
      </c>
      <c r="F2703" s="34" t="s">
        <v>3574</v>
      </c>
      <c r="G2703" s="27">
        <v>36.479999999999997</v>
      </c>
      <c r="H2703" s="1" t="s">
        <v>774</v>
      </c>
      <c r="I2703" s="20">
        <v>1</v>
      </c>
      <c r="J2703" s="36">
        <v>0.06</v>
      </c>
    </row>
    <row r="2704" spans="2:10" x14ac:dyDescent="0.35">
      <c r="B2704" s="18">
        <v>800000602</v>
      </c>
      <c r="C2704" s="19" t="s">
        <v>4563</v>
      </c>
      <c r="D2704" s="5" t="s">
        <v>8</v>
      </c>
      <c r="E2704" s="19" t="s">
        <v>5853</v>
      </c>
      <c r="F2704" s="34" t="s">
        <v>3574</v>
      </c>
      <c r="G2704" s="27">
        <v>39.28</v>
      </c>
      <c r="H2704" s="1" t="s">
        <v>774</v>
      </c>
      <c r="I2704" s="20">
        <v>1</v>
      </c>
      <c r="J2704" s="36">
        <v>0.06</v>
      </c>
    </row>
    <row r="2705" spans="2:10" x14ac:dyDescent="0.35">
      <c r="B2705" s="18">
        <v>4020154</v>
      </c>
      <c r="C2705" s="19" t="s">
        <v>4564</v>
      </c>
      <c r="D2705" s="5" t="s">
        <v>8</v>
      </c>
      <c r="E2705" s="19" t="s">
        <v>5854</v>
      </c>
      <c r="F2705" s="34" t="s">
        <v>3574</v>
      </c>
      <c r="G2705" s="27">
        <v>24.96</v>
      </c>
      <c r="H2705" s="1" t="s">
        <v>774</v>
      </c>
      <c r="I2705" s="20">
        <v>1</v>
      </c>
      <c r="J2705" s="36">
        <v>0.06</v>
      </c>
    </row>
    <row r="2706" spans="2:10" x14ac:dyDescent="0.35">
      <c r="B2706" s="18">
        <v>3604570</v>
      </c>
      <c r="C2706" s="19" t="s">
        <v>4565</v>
      </c>
      <c r="D2706" s="5" t="s">
        <v>8</v>
      </c>
      <c r="E2706" s="19" t="s">
        <v>5855</v>
      </c>
      <c r="F2706" s="34" t="s">
        <v>3574</v>
      </c>
      <c r="G2706" s="27">
        <v>44.18</v>
      </c>
      <c r="H2706" s="1" t="s">
        <v>774</v>
      </c>
      <c r="I2706" s="20">
        <v>1</v>
      </c>
      <c r="J2706" s="36">
        <v>0.06</v>
      </c>
    </row>
    <row r="2707" spans="2:10" x14ac:dyDescent="0.35">
      <c r="B2707" s="18">
        <v>800001850</v>
      </c>
      <c r="C2707" s="19" t="s">
        <v>4566</v>
      </c>
      <c r="D2707" s="5" t="s">
        <v>8</v>
      </c>
      <c r="E2707" s="19" t="s">
        <v>5856</v>
      </c>
      <c r="F2707" s="34" t="s">
        <v>3574</v>
      </c>
      <c r="G2707" s="27">
        <v>44.18</v>
      </c>
      <c r="H2707" s="1" t="s">
        <v>774</v>
      </c>
      <c r="I2707" s="20">
        <v>1</v>
      </c>
      <c r="J2707" s="36">
        <v>0.06</v>
      </c>
    </row>
    <row r="2708" spans="2:10" x14ac:dyDescent="0.35">
      <c r="B2708" s="18" t="s">
        <v>3830</v>
      </c>
      <c r="C2708" s="19" t="s">
        <v>4567</v>
      </c>
      <c r="D2708" s="5" t="s">
        <v>8</v>
      </c>
      <c r="E2708" s="19" t="s">
        <v>5857</v>
      </c>
      <c r="F2708" s="34" t="s">
        <v>3574</v>
      </c>
      <c r="G2708" s="27">
        <v>4.5599999999999996</v>
      </c>
      <c r="H2708" s="1" t="s">
        <v>774</v>
      </c>
      <c r="I2708" s="20">
        <v>1</v>
      </c>
      <c r="J2708" s="36">
        <v>0.06</v>
      </c>
    </row>
    <row r="2709" spans="2:10" x14ac:dyDescent="0.35">
      <c r="B2709" s="18" t="s">
        <v>3831</v>
      </c>
      <c r="C2709" s="19" t="s">
        <v>4567</v>
      </c>
      <c r="D2709" s="5" t="s">
        <v>8</v>
      </c>
      <c r="E2709" s="19" t="s">
        <v>5858</v>
      </c>
      <c r="F2709" s="34" t="s">
        <v>3574</v>
      </c>
      <c r="G2709" s="27">
        <v>3.71</v>
      </c>
      <c r="H2709" s="1" t="s">
        <v>774</v>
      </c>
      <c r="I2709" s="20">
        <v>1</v>
      </c>
      <c r="J2709" s="36">
        <v>0.06</v>
      </c>
    </row>
    <row r="2710" spans="2:10" x14ac:dyDescent="0.35">
      <c r="B2710" s="18" t="s">
        <v>3832</v>
      </c>
      <c r="C2710" s="19" t="s">
        <v>4568</v>
      </c>
      <c r="D2710" s="5" t="s">
        <v>8</v>
      </c>
      <c r="E2710" s="19" t="s">
        <v>5859</v>
      </c>
      <c r="F2710" s="34" t="s">
        <v>3574</v>
      </c>
      <c r="G2710" s="27">
        <v>30.42</v>
      </c>
      <c r="H2710" s="1" t="s">
        <v>774</v>
      </c>
      <c r="I2710" s="20">
        <v>1</v>
      </c>
      <c r="J2710" s="36">
        <v>0.06</v>
      </c>
    </row>
    <row r="2711" spans="2:10" x14ac:dyDescent="0.35">
      <c r="B2711" s="18">
        <v>4001255</v>
      </c>
      <c r="C2711" s="19" t="s">
        <v>4569</v>
      </c>
      <c r="D2711" s="5" t="s">
        <v>8</v>
      </c>
      <c r="E2711" s="19" t="s">
        <v>5860</v>
      </c>
      <c r="F2711" s="34" t="s">
        <v>3574</v>
      </c>
      <c r="G2711" s="27">
        <v>4.0599999999999996</v>
      </c>
      <c r="H2711" s="1" t="s">
        <v>774</v>
      </c>
      <c r="I2711" s="20">
        <v>1</v>
      </c>
      <c r="J2711" s="36">
        <v>0.06</v>
      </c>
    </row>
    <row r="2712" spans="2:10" x14ac:dyDescent="0.35">
      <c r="B2712" s="18">
        <v>3603280</v>
      </c>
      <c r="C2712" s="19" t="s">
        <v>4570</v>
      </c>
      <c r="D2712" s="5" t="s">
        <v>8</v>
      </c>
      <c r="E2712" s="19" t="s">
        <v>5861</v>
      </c>
      <c r="F2712" s="34" t="s">
        <v>3574</v>
      </c>
      <c r="G2712" s="27">
        <v>38.369999999999997</v>
      </c>
      <c r="H2712" s="1" t="s">
        <v>774</v>
      </c>
      <c r="I2712" s="20">
        <v>1</v>
      </c>
      <c r="J2712" s="36">
        <v>0.06</v>
      </c>
    </row>
    <row r="2713" spans="2:10" x14ac:dyDescent="0.35">
      <c r="B2713" s="18" t="s">
        <v>3833</v>
      </c>
      <c r="C2713" s="19" t="s">
        <v>4571</v>
      </c>
      <c r="D2713" s="5" t="s">
        <v>8</v>
      </c>
      <c r="E2713" s="19" t="s">
        <v>5862</v>
      </c>
      <c r="F2713" s="34" t="s">
        <v>3574</v>
      </c>
      <c r="G2713" s="27">
        <v>1126.1300000000001</v>
      </c>
      <c r="H2713" s="1" t="s">
        <v>774</v>
      </c>
      <c r="I2713" s="20">
        <v>1</v>
      </c>
      <c r="J2713" s="36">
        <v>0.06</v>
      </c>
    </row>
    <row r="2714" spans="2:10" x14ac:dyDescent="0.35">
      <c r="B2714" s="18">
        <v>3603904</v>
      </c>
      <c r="C2714" s="19" t="s">
        <v>4572</v>
      </c>
      <c r="D2714" s="5" t="s">
        <v>8</v>
      </c>
      <c r="E2714" s="19" t="s">
        <v>5863</v>
      </c>
      <c r="F2714" s="34" t="s">
        <v>3574</v>
      </c>
      <c r="G2714" s="27">
        <v>25.75</v>
      </c>
      <c r="H2714" s="1" t="s">
        <v>774</v>
      </c>
      <c r="I2714" s="20">
        <v>1</v>
      </c>
      <c r="J2714" s="36">
        <v>0.06</v>
      </c>
    </row>
    <row r="2715" spans="2:10" x14ac:dyDescent="0.35">
      <c r="B2715" s="18">
        <v>3603123</v>
      </c>
      <c r="C2715" s="19" t="s">
        <v>4573</v>
      </c>
      <c r="D2715" s="5" t="s">
        <v>8</v>
      </c>
      <c r="E2715" s="19" t="s">
        <v>5864</v>
      </c>
      <c r="F2715" s="34" t="s">
        <v>3574</v>
      </c>
      <c r="G2715" s="27">
        <v>242.32</v>
      </c>
      <c r="H2715" s="1" t="s">
        <v>774</v>
      </c>
      <c r="I2715" s="20">
        <v>1</v>
      </c>
      <c r="J2715" s="36">
        <v>0.06</v>
      </c>
    </row>
    <row r="2716" spans="2:10" x14ac:dyDescent="0.35">
      <c r="B2716" s="18">
        <v>3602824</v>
      </c>
      <c r="C2716" s="19" t="s">
        <v>4574</v>
      </c>
      <c r="D2716" s="5" t="s">
        <v>8</v>
      </c>
      <c r="E2716" s="19" t="s">
        <v>5865</v>
      </c>
      <c r="F2716" s="34" t="s">
        <v>3574</v>
      </c>
      <c r="G2716" s="27">
        <v>161.93</v>
      </c>
      <c r="H2716" s="1" t="s">
        <v>774</v>
      </c>
      <c r="I2716" s="20">
        <v>1</v>
      </c>
      <c r="J2716" s="36">
        <v>0.06</v>
      </c>
    </row>
    <row r="2717" spans="2:10" x14ac:dyDescent="0.35">
      <c r="B2717" s="18">
        <v>1360681</v>
      </c>
      <c r="C2717" s="19" t="s">
        <v>4575</v>
      </c>
      <c r="D2717" s="5" t="s">
        <v>8</v>
      </c>
      <c r="E2717" s="19" t="s">
        <v>5866</v>
      </c>
      <c r="F2717" s="34" t="s">
        <v>3574</v>
      </c>
      <c r="G2717" s="27">
        <v>101.04</v>
      </c>
      <c r="H2717" s="1" t="s">
        <v>774</v>
      </c>
      <c r="I2717" s="20">
        <v>1</v>
      </c>
      <c r="J2717" s="36">
        <v>0.06</v>
      </c>
    </row>
    <row r="2718" spans="2:10" x14ac:dyDescent="0.35">
      <c r="B2718" s="18" t="s">
        <v>3834</v>
      </c>
      <c r="C2718" s="19" t="s">
        <v>4576</v>
      </c>
      <c r="D2718" s="5" t="s">
        <v>8</v>
      </c>
      <c r="E2718" s="19" t="s">
        <v>5867</v>
      </c>
      <c r="F2718" s="34" t="s">
        <v>3574</v>
      </c>
      <c r="G2718" s="27">
        <v>123.45</v>
      </c>
      <c r="H2718" s="1" t="s">
        <v>774</v>
      </c>
      <c r="I2718" s="20">
        <v>1</v>
      </c>
      <c r="J2718" s="36">
        <v>0.06</v>
      </c>
    </row>
    <row r="2719" spans="2:10" x14ac:dyDescent="0.35">
      <c r="B2719" s="18">
        <v>3604086</v>
      </c>
      <c r="C2719" s="19" t="s">
        <v>4577</v>
      </c>
      <c r="D2719" s="5" t="s">
        <v>8</v>
      </c>
      <c r="E2719" s="19" t="s">
        <v>5868</v>
      </c>
      <c r="F2719" s="34" t="s">
        <v>3574</v>
      </c>
      <c r="G2719" s="27">
        <v>178.36</v>
      </c>
      <c r="H2719" s="1" t="s">
        <v>774</v>
      </c>
      <c r="I2719" s="20">
        <v>1</v>
      </c>
      <c r="J2719" s="36">
        <v>0.06</v>
      </c>
    </row>
    <row r="2720" spans="2:10" x14ac:dyDescent="0.35">
      <c r="B2720" s="18">
        <v>4020031</v>
      </c>
      <c r="C2720" s="19" t="s">
        <v>4578</v>
      </c>
      <c r="D2720" s="5" t="s">
        <v>8</v>
      </c>
      <c r="E2720" s="19" t="s">
        <v>5869</v>
      </c>
      <c r="F2720" s="34" t="s">
        <v>3574</v>
      </c>
      <c r="G2720" s="27">
        <v>142.31</v>
      </c>
      <c r="H2720" s="1" t="s">
        <v>774</v>
      </c>
      <c r="I2720" s="20">
        <v>1</v>
      </c>
      <c r="J2720" s="36">
        <v>0.06</v>
      </c>
    </row>
    <row r="2721" spans="2:10" x14ac:dyDescent="0.35">
      <c r="B2721" s="18">
        <v>3603311</v>
      </c>
      <c r="C2721" s="19" t="s">
        <v>4579</v>
      </c>
      <c r="D2721" s="5" t="s">
        <v>8</v>
      </c>
      <c r="E2721" s="19" t="s">
        <v>5870</v>
      </c>
      <c r="F2721" s="34" t="s">
        <v>3574</v>
      </c>
      <c r="G2721" s="27">
        <v>251.32</v>
      </c>
      <c r="H2721" s="1" t="s">
        <v>774</v>
      </c>
      <c r="I2721" s="20">
        <v>1</v>
      </c>
      <c r="J2721" s="36">
        <v>0.06</v>
      </c>
    </row>
    <row r="2722" spans="2:10" x14ac:dyDescent="0.35">
      <c r="B2722" s="18">
        <v>3603312</v>
      </c>
      <c r="C2722" s="19" t="s">
        <v>4580</v>
      </c>
      <c r="D2722" s="5" t="s">
        <v>8</v>
      </c>
      <c r="E2722" s="19" t="s">
        <v>5871</v>
      </c>
      <c r="F2722" s="34" t="s">
        <v>3574</v>
      </c>
      <c r="G2722" s="27">
        <v>251.66</v>
      </c>
      <c r="H2722" s="1" t="s">
        <v>774</v>
      </c>
      <c r="I2722" s="20">
        <v>1</v>
      </c>
      <c r="J2722" s="36">
        <v>0.06</v>
      </c>
    </row>
    <row r="2723" spans="2:10" x14ac:dyDescent="0.35">
      <c r="B2723" s="18" t="s">
        <v>3835</v>
      </c>
      <c r="C2723" s="19" t="s">
        <v>4581</v>
      </c>
      <c r="D2723" s="5" t="s">
        <v>8</v>
      </c>
      <c r="E2723" s="19" t="s">
        <v>5872</v>
      </c>
      <c r="F2723" s="34" t="s">
        <v>3574</v>
      </c>
      <c r="G2723" s="27">
        <v>176.25</v>
      </c>
      <c r="H2723" s="1" t="s">
        <v>774</v>
      </c>
      <c r="I2723" s="20">
        <v>1</v>
      </c>
      <c r="J2723" s="36">
        <v>0.06</v>
      </c>
    </row>
    <row r="2724" spans="2:10" x14ac:dyDescent="0.35">
      <c r="B2724" s="18" t="s">
        <v>3836</v>
      </c>
      <c r="C2724" s="19" t="s">
        <v>4582</v>
      </c>
      <c r="D2724" s="5" t="s">
        <v>8</v>
      </c>
      <c r="E2724" s="19" t="s">
        <v>5873</v>
      </c>
      <c r="F2724" s="34" t="s">
        <v>3574</v>
      </c>
      <c r="G2724" s="27">
        <v>264.14999999999998</v>
      </c>
      <c r="H2724" s="1" t="s">
        <v>774</v>
      </c>
      <c r="I2724" s="20">
        <v>1</v>
      </c>
      <c r="J2724" s="36">
        <v>0.06</v>
      </c>
    </row>
    <row r="2725" spans="2:10" x14ac:dyDescent="0.35">
      <c r="B2725" s="18">
        <v>1585926</v>
      </c>
      <c r="C2725" s="19" t="s">
        <v>4583</v>
      </c>
      <c r="D2725" s="5" t="s">
        <v>8</v>
      </c>
      <c r="E2725" s="19" t="s">
        <v>5874</v>
      </c>
      <c r="F2725" s="34" t="s">
        <v>3574</v>
      </c>
      <c r="G2725" s="27">
        <v>135.96</v>
      </c>
      <c r="H2725" s="1" t="s">
        <v>774</v>
      </c>
      <c r="I2725" s="20">
        <v>1</v>
      </c>
      <c r="J2725" s="36">
        <v>0.06</v>
      </c>
    </row>
    <row r="2726" spans="2:10" x14ac:dyDescent="0.35">
      <c r="B2726" s="18">
        <v>4001678</v>
      </c>
      <c r="C2726" s="19" t="s">
        <v>4584</v>
      </c>
      <c r="D2726" s="5" t="s">
        <v>8</v>
      </c>
      <c r="E2726" s="19" t="s">
        <v>5875</v>
      </c>
      <c r="F2726" s="34" t="s">
        <v>3574</v>
      </c>
      <c r="G2726" s="27">
        <v>202.07</v>
      </c>
      <c r="H2726" s="1" t="s">
        <v>774</v>
      </c>
      <c r="I2726" s="20">
        <v>1</v>
      </c>
      <c r="J2726" s="36">
        <v>0.06</v>
      </c>
    </row>
    <row r="2727" spans="2:10" x14ac:dyDescent="0.35">
      <c r="B2727" s="18">
        <v>1361169</v>
      </c>
      <c r="C2727" s="19" t="s">
        <v>4585</v>
      </c>
      <c r="D2727" s="5" t="s">
        <v>8</v>
      </c>
      <c r="E2727" s="19" t="s">
        <v>5876</v>
      </c>
      <c r="F2727" s="34" t="s">
        <v>3574</v>
      </c>
      <c r="G2727" s="27">
        <v>187.96</v>
      </c>
      <c r="H2727" s="1" t="s">
        <v>774</v>
      </c>
      <c r="I2727" s="20">
        <v>1</v>
      </c>
      <c r="J2727" s="36">
        <v>0.06</v>
      </c>
    </row>
    <row r="2728" spans="2:10" x14ac:dyDescent="0.35">
      <c r="B2728" s="18">
        <v>3603737</v>
      </c>
      <c r="C2728" s="19" t="s">
        <v>4586</v>
      </c>
      <c r="D2728" s="5" t="s">
        <v>8</v>
      </c>
      <c r="E2728" s="19" t="s">
        <v>5877</v>
      </c>
      <c r="F2728" s="34" t="s">
        <v>3574</v>
      </c>
      <c r="G2728" s="27">
        <v>260.20999999999998</v>
      </c>
      <c r="H2728" s="1" t="s">
        <v>774</v>
      </c>
      <c r="I2728" s="20">
        <v>1</v>
      </c>
      <c r="J2728" s="36">
        <v>0.06</v>
      </c>
    </row>
    <row r="2729" spans="2:10" x14ac:dyDescent="0.35">
      <c r="B2729" s="18">
        <v>1326016</v>
      </c>
      <c r="C2729" s="19" t="s">
        <v>4587</v>
      </c>
      <c r="D2729" s="5" t="s">
        <v>8</v>
      </c>
      <c r="E2729" s="19" t="s">
        <v>5878</v>
      </c>
      <c r="F2729" s="34" t="s">
        <v>3574</v>
      </c>
      <c r="G2729" s="27">
        <v>138.13</v>
      </c>
      <c r="H2729" s="1" t="s">
        <v>774</v>
      </c>
      <c r="I2729" s="20">
        <v>1</v>
      </c>
      <c r="J2729" s="36">
        <v>0.06</v>
      </c>
    </row>
    <row r="2730" spans="2:10" x14ac:dyDescent="0.35">
      <c r="B2730" s="18">
        <v>1001355</v>
      </c>
      <c r="C2730" s="19" t="s">
        <v>4588</v>
      </c>
      <c r="D2730" s="5" t="s">
        <v>8</v>
      </c>
      <c r="E2730" s="19" t="s">
        <v>5879</v>
      </c>
      <c r="F2730" s="34" t="s">
        <v>3574</v>
      </c>
      <c r="G2730" s="27">
        <v>144.63999999999999</v>
      </c>
      <c r="H2730" s="1" t="s">
        <v>774</v>
      </c>
      <c r="I2730" s="20">
        <v>1</v>
      </c>
      <c r="J2730" s="36">
        <v>0.06</v>
      </c>
    </row>
    <row r="2731" spans="2:10" x14ac:dyDescent="0.35">
      <c r="B2731" s="18" t="s">
        <v>3837</v>
      </c>
      <c r="C2731" s="19" t="s">
        <v>4589</v>
      </c>
      <c r="D2731" s="5" t="s">
        <v>8</v>
      </c>
      <c r="E2731" s="19" t="s">
        <v>5880</v>
      </c>
      <c r="F2731" s="34" t="s">
        <v>3574</v>
      </c>
      <c r="G2731" s="27">
        <v>195.7</v>
      </c>
      <c r="H2731" s="1" t="s">
        <v>774</v>
      </c>
      <c r="I2731" s="20">
        <v>1</v>
      </c>
      <c r="J2731" s="36">
        <v>0.06</v>
      </c>
    </row>
    <row r="2732" spans="2:10" x14ac:dyDescent="0.35">
      <c r="B2732" s="18" t="s">
        <v>3838</v>
      </c>
      <c r="C2732" s="19" t="s">
        <v>4590</v>
      </c>
      <c r="D2732" s="5" t="s">
        <v>8</v>
      </c>
      <c r="E2732" s="19" t="s">
        <v>5881</v>
      </c>
      <c r="F2732" s="34" t="s">
        <v>3574</v>
      </c>
      <c r="G2732" s="27">
        <v>169.53</v>
      </c>
      <c r="H2732" s="1" t="s">
        <v>774</v>
      </c>
      <c r="I2732" s="20">
        <v>1</v>
      </c>
      <c r="J2732" s="36">
        <v>0.06</v>
      </c>
    </row>
    <row r="2733" spans="2:10" x14ac:dyDescent="0.35">
      <c r="B2733" s="18">
        <v>1361119</v>
      </c>
      <c r="C2733" s="19" t="s">
        <v>4591</v>
      </c>
      <c r="D2733" s="5" t="s">
        <v>8</v>
      </c>
      <c r="E2733" s="19" t="s">
        <v>5882</v>
      </c>
      <c r="F2733" s="34" t="s">
        <v>3574</v>
      </c>
      <c r="G2733" s="27">
        <v>103.5</v>
      </c>
      <c r="H2733" s="1" t="s">
        <v>774</v>
      </c>
      <c r="I2733" s="20">
        <v>1</v>
      </c>
      <c r="J2733" s="36">
        <v>0.06</v>
      </c>
    </row>
    <row r="2734" spans="2:10" x14ac:dyDescent="0.35">
      <c r="B2734" s="18">
        <v>4001395</v>
      </c>
      <c r="C2734" s="19" t="s">
        <v>4592</v>
      </c>
      <c r="D2734" s="5" t="s">
        <v>8</v>
      </c>
      <c r="E2734" s="19" t="s">
        <v>5883</v>
      </c>
      <c r="F2734" s="34" t="s">
        <v>3574</v>
      </c>
      <c r="G2734" s="27">
        <v>114.89</v>
      </c>
      <c r="H2734" s="1" t="s">
        <v>774</v>
      </c>
      <c r="I2734" s="20">
        <v>1</v>
      </c>
      <c r="J2734" s="36">
        <v>0.06</v>
      </c>
    </row>
    <row r="2735" spans="2:10" x14ac:dyDescent="0.35">
      <c r="B2735" s="18" t="s">
        <v>3839</v>
      </c>
      <c r="C2735" s="19" t="s">
        <v>4593</v>
      </c>
      <c r="D2735" s="5" t="s">
        <v>8</v>
      </c>
      <c r="E2735" s="19" t="s">
        <v>5884</v>
      </c>
      <c r="F2735" s="34" t="s">
        <v>3574</v>
      </c>
      <c r="G2735" s="27">
        <v>186.49</v>
      </c>
      <c r="H2735" s="1" t="s">
        <v>774</v>
      </c>
      <c r="I2735" s="20">
        <v>1</v>
      </c>
      <c r="J2735" s="36">
        <v>0.06</v>
      </c>
    </row>
    <row r="2736" spans="2:10" x14ac:dyDescent="0.35">
      <c r="B2736" s="18">
        <v>3603835</v>
      </c>
      <c r="C2736" s="19" t="s">
        <v>4594</v>
      </c>
      <c r="D2736" s="5" t="s">
        <v>8</v>
      </c>
      <c r="E2736" s="19" t="s">
        <v>5885</v>
      </c>
      <c r="F2736" s="34" t="s">
        <v>3574</v>
      </c>
      <c r="G2736" s="27">
        <v>171.07</v>
      </c>
      <c r="H2736" s="1" t="s">
        <v>774</v>
      </c>
      <c r="I2736" s="20">
        <v>1</v>
      </c>
      <c r="J2736" s="36">
        <v>0.06</v>
      </c>
    </row>
    <row r="2737" spans="2:10" x14ac:dyDescent="0.35">
      <c r="B2737" s="18">
        <v>1360016</v>
      </c>
      <c r="C2737" s="19" t="s">
        <v>4595</v>
      </c>
      <c r="D2737" s="5" t="s">
        <v>8</v>
      </c>
      <c r="E2737" s="19" t="s">
        <v>5886</v>
      </c>
      <c r="F2737" s="34" t="s">
        <v>3574</v>
      </c>
      <c r="G2737" s="27">
        <v>208.88</v>
      </c>
      <c r="H2737" s="1" t="s">
        <v>774</v>
      </c>
      <c r="I2737" s="20">
        <v>1</v>
      </c>
      <c r="J2737" s="36">
        <v>0.06</v>
      </c>
    </row>
    <row r="2738" spans="2:10" x14ac:dyDescent="0.35">
      <c r="B2738" s="18" t="s">
        <v>3840</v>
      </c>
      <c r="C2738" s="19" t="s">
        <v>4593</v>
      </c>
      <c r="D2738" s="5" t="s">
        <v>8</v>
      </c>
      <c r="E2738" s="19" t="s">
        <v>5887</v>
      </c>
      <c r="F2738" s="34" t="s">
        <v>3574</v>
      </c>
      <c r="G2738" s="27">
        <v>214.4</v>
      </c>
      <c r="H2738" s="1" t="s">
        <v>774</v>
      </c>
      <c r="I2738" s="20">
        <v>1</v>
      </c>
      <c r="J2738" s="36">
        <v>0.06</v>
      </c>
    </row>
    <row r="2739" spans="2:10" x14ac:dyDescent="0.35">
      <c r="B2739" s="18">
        <v>3603662</v>
      </c>
      <c r="C2739" s="19" t="s">
        <v>4596</v>
      </c>
      <c r="D2739" s="5" t="s">
        <v>8</v>
      </c>
      <c r="E2739" s="19" t="s">
        <v>5888</v>
      </c>
      <c r="F2739" s="34" t="s">
        <v>3574</v>
      </c>
      <c r="G2739" s="27">
        <v>505.64</v>
      </c>
      <c r="H2739" s="1" t="s">
        <v>774</v>
      </c>
      <c r="I2739" s="20">
        <v>1</v>
      </c>
      <c r="J2739" s="36">
        <v>0.06</v>
      </c>
    </row>
    <row r="2740" spans="2:10" x14ac:dyDescent="0.35">
      <c r="B2740" s="18" t="s">
        <v>3841</v>
      </c>
      <c r="C2740" s="19" t="s">
        <v>4597</v>
      </c>
      <c r="D2740" s="5" t="s">
        <v>8</v>
      </c>
      <c r="E2740" s="19" t="s">
        <v>5889</v>
      </c>
      <c r="F2740" s="34" t="s">
        <v>3574</v>
      </c>
      <c r="G2740" s="27">
        <v>511.01</v>
      </c>
      <c r="H2740" s="1" t="s">
        <v>774</v>
      </c>
      <c r="I2740" s="20">
        <v>1</v>
      </c>
      <c r="J2740" s="36">
        <v>0.06</v>
      </c>
    </row>
    <row r="2741" spans="2:10" x14ac:dyDescent="0.35">
      <c r="B2741" s="18">
        <v>1360867</v>
      </c>
      <c r="C2741" s="19" t="s">
        <v>4598</v>
      </c>
      <c r="D2741" s="5" t="s">
        <v>8</v>
      </c>
      <c r="E2741" s="19" t="s">
        <v>5890</v>
      </c>
      <c r="F2741" s="34" t="s">
        <v>3574</v>
      </c>
      <c r="G2741" s="27">
        <v>637.58000000000004</v>
      </c>
      <c r="H2741" s="1" t="s">
        <v>774</v>
      </c>
      <c r="I2741" s="20">
        <v>1</v>
      </c>
      <c r="J2741" s="36">
        <v>0.06</v>
      </c>
    </row>
    <row r="2742" spans="2:10" x14ac:dyDescent="0.35">
      <c r="B2742" s="18">
        <v>3010232</v>
      </c>
      <c r="C2742" s="19" t="s">
        <v>4598</v>
      </c>
      <c r="D2742" s="5" t="s">
        <v>8</v>
      </c>
      <c r="E2742" s="19" t="s">
        <v>5891</v>
      </c>
      <c r="F2742" s="34" t="s">
        <v>3574</v>
      </c>
      <c r="G2742" s="27">
        <v>637.58000000000004</v>
      </c>
      <c r="H2742" s="1" t="s">
        <v>774</v>
      </c>
      <c r="I2742" s="20">
        <v>1</v>
      </c>
      <c r="J2742" s="36">
        <v>0.06</v>
      </c>
    </row>
    <row r="2743" spans="2:10" x14ac:dyDescent="0.35">
      <c r="B2743" s="18">
        <v>2101158</v>
      </c>
      <c r="C2743" s="19" t="s">
        <v>4599</v>
      </c>
      <c r="D2743" s="5" t="s">
        <v>8</v>
      </c>
      <c r="E2743" s="19" t="s">
        <v>5892</v>
      </c>
      <c r="F2743" s="34" t="s">
        <v>3574</v>
      </c>
      <c r="G2743" s="27">
        <v>844.6</v>
      </c>
      <c r="H2743" s="1" t="s">
        <v>774</v>
      </c>
      <c r="I2743" s="20">
        <v>1</v>
      </c>
      <c r="J2743" s="36">
        <v>0.06</v>
      </c>
    </row>
    <row r="2744" spans="2:10" x14ac:dyDescent="0.35">
      <c r="B2744" s="18">
        <v>3604391</v>
      </c>
      <c r="C2744" s="19" t="s">
        <v>4600</v>
      </c>
      <c r="D2744" s="5" t="s">
        <v>8</v>
      </c>
      <c r="E2744" s="19" t="s">
        <v>5893</v>
      </c>
      <c r="F2744" s="34" t="s">
        <v>3574</v>
      </c>
      <c r="G2744" s="27">
        <v>788.26</v>
      </c>
      <c r="H2744" s="1" t="s">
        <v>774</v>
      </c>
      <c r="I2744" s="20">
        <v>1</v>
      </c>
      <c r="J2744" s="36">
        <v>0.06</v>
      </c>
    </row>
    <row r="2745" spans="2:10" x14ac:dyDescent="0.35">
      <c r="B2745" s="18">
        <v>3603002</v>
      </c>
      <c r="C2745" s="19" t="s">
        <v>4601</v>
      </c>
      <c r="D2745" s="5" t="s">
        <v>8</v>
      </c>
      <c r="E2745" s="19" t="s">
        <v>5894</v>
      </c>
      <c r="F2745" s="34" t="s">
        <v>3574</v>
      </c>
      <c r="G2745" s="27">
        <v>844.74</v>
      </c>
      <c r="H2745" s="1" t="s">
        <v>774</v>
      </c>
      <c r="I2745" s="20">
        <v>1</v>
      </c>
      <c r="J2745" s="36">
        <v>0.06</v>
      </c>
    </row>
    <row r="2746" spans="2:10" x14ac:dyDescent="0.35">
      <c r="B2746" s="18" t="s">
        <v>3842</v>
      </c>
      <c r="C2746" s="19" t="s">
        <v>4602</v>
      </c>
      <c r="D2746" s="5" t="s">
        <v>8</v>
      </c>
      <c r="E2746" s="19" t="s">
        <v>5895</v>
      </c>
      <c r="F2746" s="34" t="s">
        <v>3574</v>
      </c>
      <c r="G2746" s="27">
        <v>827.64</v>
      </c>
      <c r="H2746" s="1" t="s">
        <v>774</v>
      </c>
      <c r="I2746" s="20">
        <v>1</v>
      </c>
      <c r="J2746" s="36">
        <v>0.06</v>
      </c>
    </row>
    <row r="2747" spans="2:10" x14ac:dyDescent="0.35">
      <c r="B2747" s="18">
        <v>3603775</v>
      </c>
      <c r="C2747" s="19" t="s">
        <v>4603</v>
      </c>
      <c r="D2747" s="5" t="s">
        <v>8</v>
      </c>
      <c r="E2747" s="19" t="s">
        <v>5896</v>
      </c>
      <c r="F2747" s="34" t="s">
        <v>3574</v>
      </c>
      <c r="G2747" s="27">
        <v>832.91</v>
      </c>
      <c r="H2747" s="1" t="s">
        <v>774</v>
      </c>
      <c r="I2747" s="20">
        <v>1</v>
      </c>
      <c r="J2747" s="36">
        <v>0.06</v>
      </c>
    </row>
    <row r="2748" spans="2:10" x14ac:dyDescent="0.35">
      <c r="B2748" s="18">
        <v>3604276</v>
      </c>
      <c r="C2748" s="19" t="s">
        <v>4604</v>
      </c>
      <c r="D2748" s="5" t="s">
        <v>8</v>
      </c>
      <c r="E2748" s="19" t="s">
        <v>5897</v>
      </c>
      <c r="F2748" s="34" t="s">
        <v>3574</v>
      </c>
      <c r="G2748" s="27">
        <v>862.49</v>
      </c>
      <c r="H2748" s="1" t="s">
        <v>774</v>
      </c>
      <c r="I2748" s="20">
        <v>1</v>
      </c>
      <c r="J2748" s="36">
        <v>0.06</v>
      </c>
    </row>
    <row r="2749" spans="2:10" x14ac:dyDescent="0.35">
      <c r="B2749" s="18" t="s">
        <v>3843</v>
      </c>
      <c r="C2749" s="19" t="s">
        <v>4605</v>
      </c>
      <c r="D2749" s="5" t="s">
        <v>8</v>
      </c>
      <c r="E2749" s="19" t="s">
        <v>5898</v>
      </c>
      <c r="F2749" s="34" t="s">
        <v>3574</v>
      </c>
      <c r="G2749" s="27">
        <v>20.92</v>
      </c>
      <c r="H2749" s="1" t="s">
        <v>774</v>
      </c>
      <c r="I2749" s="20">
        <v>1</v>
      </c>
      <c r="J2749" s="36">
        <v>0.06</v>
      </c>
    </row>
    <row r="2750" spans="2:10" x14ac:dyDescent="0.35">
      <c r="B2750" s="18" t="s">
        <v>3844</v>
      </c>
      <c r="C2750" s="19" t="s">
        <v>4605</v>
      </c>
      <c r="D2750" s="5" t="s">
        <v>8</v>
      </c>
      <c r="E2750" s="19" t="s">
        <v>5899</v>
      </c>
      <c r="F2750" s="34" t="s">
        <v>3574</v>
      </c>
      <c r="G2750" s="27">
        <v>32.96</v>
      </c>
      <c r="H2750" s="1" t="s">
        <v>774</v>
      </c>
      <c r="I2750" s="20">
        <v>1</v>
      </c>
      <c r="J2750" s="36">
        <v>0.06</v>
      </c>
    </row>
    <row r="2751" spans="2:10" x14ac:dyDescent="0.35">
      <c r="B2751" s="18" t="s">
        <v>3845</v>
      </c>
      <c r="C2751" s="19" t="s">
        <v>4605</v>
      </c>
      <c r="D2751" s="5" t="s">
        <v>8</v>
      </c>
      <c r="E2751" s="19" t="s">
        <v>5900</v>
      </c>
      <c r="F2751" s="34" t="s">
        <v>3574</v>
      </c>
      <c r="G2751" s="27">
        <v>19.38</v>
      </c>
      <c r="H2751" s="1" t="s">
        <v>774</v>
      </c>
      <c r="I2751" s="20">
        <v>1</v>
      </c>
      <c r="J2751" s="36">
        <v>0.06</v>
      </c>
    </row>
    <row r="2752" spans="2:10" x14ac:dyDescent="0.35">
      <c r="B2752" s="18" t="s">
        <v>3846</v>
      </c>
      <c r="C2752" s="19" t="s">
        <v>4605</v>
      </c>
      <c r="D2752" s="5" t="s">
        <v>8</v>
      </c>
      <c r="E2752" s="19" t="s">
        <v>5901</v>
      </c>
      <c r="F2752" s="34" t="s">
        <v>3574</v>
      </c>
      <c r="G2752" s="27">
        <v>32.479999999999997</v>
      </c>
      <c r="H2752" s="1" t="s">
        <v>774</v>
      </c>
      <c r="I2752" s="20">
        <v>1</v>
      </c>
      <c r="J2752" s="36">
        <v>0.06</v>
      </c>
    </row>
    <row r="2753" spans="2:10" x14ac:dyDescent="0.35">
      <c r="B2753" s="18">
        <v>3603968</v>
      </c>
      <c r="C2753" s="19" t="s">
        <v>4606</v>
      </c>
      <c r="D2753" s="5" t="s">
        <v>8</v>
      </c>
      <c r="E2753" s="19" t="s">
        <v>5902</v>
      </c>
      <c r="F2753" s="34" t="s">
        <v>3574</v>
      </c>
      <c r="G2753" s="27">
        <v>81.89</v>
      </c>
      <c r="H2753" s="1" t="s">
        <v>774</v>
      </c>
      <c r="I2753" s="20">
        <v>1</v>
      </c>
      <c r="J2753" s="36">
        <v>0.06</v>
      </c>
    </row>
    <row r="2754" spans="2:10" x14ac:dyDescent="0.35">
      <c r="B2754" s="18" t="s">
        <v>3847</v>
      </c>
      <c r="C2754" s="19" t="s">
        <v>4607</v>
      </c>
      <c r="D2754" s="5" t="s">
        <v>8</v>
      </c>
      <c r="E2754" s="19" t="s">
        <v>5903</v>
      </c>
      <c r="F2754" s="34" t="s">
        <v>3574</v>
      </c>
      <c r="G2754" s="27">
        <v>2.39</v>
      </c>
      <c r="H2754" s="1" t="s">
        <v>774</v>
      </c>
      <c r="I2754" s="20">
        <v>1</v>
      </c>
      <c r="J2754" s="36">
        <v>0.06</v>
      </c>
    </row>
    <row r="2755" spans="2:10" x14ac:dyDescent="0.35">
      <c r="B2755" s="18" t="s">
        <v>3848</v>
      </c>
      <c r="C2755" s="19" t="s">
        <v>4608</v>
      </c>
      <c r="D2755" s="5" t="s">
        <v>8</v>
      </c>
      <c r="E2755" s="19" t="s">
        <v>5904</v>
      </c>
      <c r="F2755" s="34" t="s">
        <v>3574</v>
      </c>
      <c r="G2755" s="27">
        <v>3.6</v>
      </c>
      <c r="H2755" s="1" t="s">
        <v>774</v>
      </c>
      <c r="I2755" s="20">
        <v>1</v>
      </c>
      <c r="J2755" s="36">
        <v>0.06</v>
      </c>
    </row>
    <row r="2756" spans="2:10" x14ac:dyDescent="0.35">
      <c r="B2756" s="18">
        <v>3601332</v>
      </c>
      <c r="C2756" s="19" t="s">
        <v>4609</v>
      </c>
      <c r="D2756" s="5" t="s">
        <v>8</v>
      </c>
      <c r="E2756" s="19" t="s">
        <v>5905</v>
      </c>
      <c r="F2756" s="34" t="s">
        <v>3574</v>
      </c>
      <c r="G2756" s="27">
        <v>35.25</v>
      </c>
      <c r="H2756" s="1" t="s">
        <v>774</v>
      </c>
      <c r="I2756" s="20">
        <v>1</v>
      </c>
      <c r="J2756" s="36">
        <v>0.06</v>
      </c>
    </row>
    <row r="2757" spans="2:10" x14ac:dyDescent="0.35">
      <c r="B2757" s="18">
        <v>1324016</v>
      </c>
      <c r="C2757" s="19" t="s">
        <v>4610</v>
      </c>
      <c r="D2757" s="5" t="s">
        <v>8</v>
      </c>
      <c r="E2757" s="19" t="s">
        <v>5906</v>
      </c>
      <c r="F2757" s="34" t="s">
        <v>3574</v>
      </c>
      <c r="G2757" s="27">
        <v>15.21</v>
      </c>
      <c r="H2757" s="1" t="s">
        <v>774</v>
      </c>
      <c r="I2757" s="20">
        <v>1</v>
      </c>
      <c r="J2757" s="36">
        <v>0.06</v>
      </c>
    </row>
    <row r="2758" spans="2:10" x14ac:dyDescent="0.35">
      <c r="B2758" s="18">
        <v>1324013</v>
      </c>
      <c r="C2758" s="19" t="s">
        <v>4611</v>
      </c>
      <c r="D2758" s="5" t="s">
        <v>8</v>
      </c>
      <c r="E2758" s="19" t="s">
        <v>5907</v>
      </c>
      <c r="F2758" s="34" t="s">
        <v>3574</v>
      </c>
      <c r="G2758" s="27">
        <v>12.06</v>
      </c>
      <c r="H2758" s="1" t="s">
        <v>774</v>
      </c>
      <c r="I2758" s="20">
        <v>1</v>
      </c>
      <c r="J2758" s="36">
        <v>0.06</v>
      </c>
    </row>
    <row r="2759" spans="2:10" x14ac:dyDescent="0.35">
      <c r="B2759" s="18">
        <v>2001682</v>
      </c>
      <c r="C2759" s="19" t="s">
        <v>4612</v>
      </c>
      <c r="D2759" s="5" t="s">
        <v>8</v>
      </c>
      <c r="E2759" s="19" t="s">
        <v>5908</v>
      </c>
      <c r="F2759" s="34" t="s">
        <v>3574</v>
      </c>
      <c r="G2759" s="27">
        <v>187.1</v>
      </c>
      <c r="H2759" s="1" t="s">
        <v>774</v>
      </c>
      <c r="I2759" s="20">
        <v>1</v>
      </c>
      <c r="J2759" s="36">
        <v>0.06</v>
      </c>
    </row>
    <row r="2760" spans="2:10" x14ac:dyDescent="0.35">
      <c r="B2760" s="18" t="s">
        <v>3849</v>
      </c>
      <c r="C2760" s="19" t="s">
        <v>4613</v>
      </c>
      <c r="D2760" s="5" t="s">
        <v>8</v>
      </c>
      <c r="E2760" s="19" t="s">
        <v>5909</v>
      </c>
      <c r="F2760" s="34" t="s">
        <v>3574</v>
      </c>
      <c r="G2760" s="27">
        <v>150.54</v>
      </c>
      <c r="H2760" s="1" t="s">
        <v>774</v>
      </c>
      <c r="I2760" s="20">
        <v>1</v>
      </c>
      <c r="J2760" s="36">
        <v>0.06</v>
      </c>
    </row>
    <row r="2761" spans="2:10" x14ac:dyDescent="0.35">
      <c r="B2761" s="18" t="s">
        <v>3850</v>
      </c>
      <c r="C2761" s="19" t="s">
        <v>4614</v>
      </c>
      <c r="D2761" s="5" t="s">
        <v>8</v>
      </c>
      <c r="E2761" s="19" t="s">
        <v>5910</v>
      </c>
      <c r="F2761" s="34" t="s">
        <v>3574</v>
      </c>
      <c r="G2761" s="27">
        <v>278.23</v>
      </c>
      <c r="H2761" s="1" t="s">
        <v>774</v>
      </c>
      <c r="I2761" s="20">
        <v>1</v>
      </c>
      <c r="J2761" s="36">
        <v>0.06</v>
      </c>
    </row>
    <row r="2762" spans="2:10" x14ac:dyDescent="0.35">
      <c r="B2762" s="18" t="s">
        <v>3851</v>
      </c>
      <c r="C2762" s="19" t="s">
        <v>4615</v>
      </c>
      <c r="D2762" s="5" t="s">
        <v>8</v>
      </c>
      <c r="E2762" s="19" t="s">
        <v>5911</v>
      </c>
      <c r="F2762" s="34" t="s">
        <v>3574</v>
      </c>
      <c r="G2762" s="27">
        <v>5.58</v>
      </c>
      <c r="H2762" s="1" t="s">
        <v>774</v>
      </c>
      <c r="I2762" s="20">
        <v>1</v>
      </c>
      <c r="J2762" s="36">
        <v>0.06</v>
      </c>
    </row>
    <row r="2763" spans="2:10" x14ac:dyDescent="0.35">
      <c r="B2763" s="18" t="s">
        <v>3852</v>
      </c>
      <c r="C2763" s="19" t="s">
        <v>4220</v>
      </c>
      <c r="D2763" s="5" t="s">
        <v>8</v>
      </c>
      <c r="E2763" s="19" t="s">
        <v>5912</v>
      </c>
      <c r="F2763" s="34" t="s">
        <v>3574</v>
      </c>
      <c r="G2763" s="27">
        <v>30.05</v>
      </c>
      <c r="H2763" s="1" t="s">
        <v>774</v>
      </c>
      <c r="I2763" s="20">
        <v>1</v>
      </c>
      <c r="J2763" s="36">
        <v>0.06</v>
      </c>
    </row>
    <row r="2764" spans="2:10" x14ac:dyDescent="0.35">
      <c r="B2764" s="18">
        <v>800002183</v>
      </c>
      <c r="C2764" s="19" t="s">
        <v>4616</v>
      </c>
      <c r="D2764" s="5" t="s">
        <v>8</v>
      </c>
      <c r="E2764" s="19" t="s">
        <v>5913</v>
      </c>
      <c r="F2764" s="34" t="s">
        <v>3574</v>
      </c>
      <c r="G2764" s="27">
        <v>94.1</v>
      </c>
      <c r="H2764" s="1" t="s">
        <v>774</v>
      </c>
      <c r="I2764" s="20">
        <v>1</v>
      </c>
      <c r="J2764" s="36">
        <v>0.06</v>
      </c>
    </row>
    <row r="2765" spans="2:10" x14ac:dyDescent="0.35">
      <c r="B2765" s="18" t="s">
        <v>3853</v>
      </c>
      <c r="C2765" s="19" t="s">
        <v>4617</v>
      </c>
      <c r="D2765" s="5" t="s">
        <v>8</v>
      </c>
      <c r="E2765" s="19" t="s">
        <v>5914</v>
      </c>
      <c r="F2765" s="34" t="s">
        <v>3574</v>
      </c>
      <c r="G2765" s="27">
        <v>37.68</v>
      </c>
      <c r="H2765" s="1" t="s">
        <v>774</v>
      </c>
      <c r="I2765" s="20">
        <v>1</v>
      </c>
      <c r="J2765" s="36">
        <v>0.06</v>
      </c>
    </row>
    <row r="2766" spans="2:10" x14ac:dyDescent="0.35">
      <c r="B2766" s="18">
        <v>800002763</v>
      </c>
      <c r="C2766" s="19" t="s">
        <v>4618</v>
      </c>
      <c r="D2766" s="5" t="s">
        <v>8</v>
      </c>
      <c r="E2766" s="19" t="s">
        <v>5915</v>
      </c>
      <c r="F2766" s="34" t="s">
        <v>3574</v>
      </c>
      <c r="G2766" s="27">
        <v>143.63999999999999</v>
      </c>
      <c r="H2766" s="1" t="s">
        <v>774</v>
      </c>
      <c r="I2766" s="20">
        <v>1</v>
      </c>
      <c r="J2766" s="36">
        <v>0.06</v>
      </c>
    </row>
    <row r="2767" spans="2:10" x14ac:dyDescent="0.35">
      <c r="B2767" s="18" t="s">
        <v>3854</v>
      </c>
      <c r="C2767" s="19" t="s">
        <v>4220</v>
      </c>
      <c r="D2767" s="5" t="s">
        <v>8</v>
      </c>
      <c r="E2767" s="19" t="s">
        <v>5916</v>
      </c>
      <c r="F2767" s="34" t="s">
        <v>3574</v>
      </c>
      <c r="G2767" s="27">
        <v>108.68</v>
      </c>
      <c r="H2767" s="1" t="s">
        <v>774</v>
      </c>
      <c r="I2767" s="20">
        <v>1</v>
      </c>
      <c r="J2767" s="36">
        <v>0.06</v>
      </c>
    </row>
    <row r="2768" spans="2:10" x14ac:dyDescent="0.35">
      <c r="B2768" s="18">
        <v>800002156</v>
      </c>
      <c r="C2768" s="19" t="s">
        <v>4619</v>
      </c>
      <c r="D2768" s="5" t="s">
        <v>8</v>
      </c>
      <c r="E2768" s="19" t="s">
        <v>5917</v>
      </c>
      <c r="F2768" s="34" t="s">
        <v>3574</v>
      </c>
      <c r="G2768" s="27">
        <v>180.45</v>
      </c>
      <c r="H2768" s="1" t="s">
        <v>774</v>
      </c>
      <c r="I2768" s="20">
        <v>1</v>
      </c>
      <c r="J2768" s="36">
        <v>0.06</v>
      </c>
    </row>
    <row r="2769" spans="2:10" x14ac:dyDescent="0.35">
      <c r="B2769" s="18" t="s">
        <v>3855</v>
      </c>
      <c r="C2769" s="19" t="s">
        <v>4220</v>
      </c>
      <c r="D2769" s="5" t="s">
        <v>8</v>
      </c>
      <c r="E2769" s="19" t="s">
        <v>5918</v>
      </c>
      <c r="F2769" s="34" t="s">
        <v>3574</v>
      </c>
      <c r="G2769" s="27">
        <v>85.26</v>
      </c>
      <c r="H2769" s="1" t="s">
        <v>774</v>
      </c>
      <c r="I2769" s="20">
        <v>1</v>
      </c>
      <c r="J2769" s="36">
        <v>0.06</v>
      </c>
    </row>
    <row r="2770" spans="2:10" x14ac:dyDescent="0.35">
      <c r="B2770" s="18" t="s">
        <v>3856</v>
      </c>
      <c r="C2770" s="19" t="s">
        <v>4620</v>
      </c>
      <c r="D2770" s="5" t="s">
        <v>8</v>
      </c>
      <c r="E2770" s="19" t="s">
        <v>5919</v>
      </c>
      <c r="F2770" s="34" t="s">
        <v>3574</v>
      </c>
      <c r="G2770" s="27">
        <v>4.1500000000000004</v>
      </c>
      <c r="H2770" s="1" t="s">
        <v>774</v>
      </c>
      <c r="I2770" s="20">
        <v>1</v>
      </c>
      <c r="J2770" s="36">
        <v>0.06</v>
      </c>
    </row>
    <row r="2771" spans="2:10" x14ac:dyDescent="0.35">
      <c r="B2771" s="18" t="s">
        <v>3857</v>
      </c>
      <c r="C2771" s="19" t="s">
        <v>4621</v>
      </c>
      <c r="D2771" s="5" t="s">
        <v>8</v>
      </c>
      <c r="E2771" s="19" t="s">
        <v>5920</v>
      </c>
      <c r="F2771" s="34" t="s">
        <v>3574</v>
      </c>
      <c r="G2771" s="27">
        <v>6.39</v>
      </c>
      <c r="H2771" s="1" t="s">
        <v>774</v>
      </c>
      <c r="I2771" s="20">
        <v>1</v>
      </c>
      <c r="J2771" s="36">
        <v>0.06</v>
      </c>
    </row>
    <row r="2772" spans="2:10" x14ac:dyDescent="0.35">
      <c r="B2772" s="18" t="s">
        <v>3858</v>
      </c>
      <c r="C2772" s="19" t="s">
        <v>4622</v>
      </c>
      <c r="D2772" s="5" t="s">
        <v>8</v>
      </c>
      <c r="E2772" s="19" t="s">
        <v>5921</v>
      </c>
      <c r="F2772" s="34" t="s">
        <v>3574</v>
      </c>
      <c r="G2772" s="27">
        <v>10.99</v>
      </c>
      <c r="H2772" s="1" t="s">
        <v>774</v>
      </c>
      <c r="I2772" s="20">
        <v>1</v>
      </c>
      <c r="J2772" s="36">
        <v>0.06</v>
      </c>
    </row>
    <row r="2773" spans="2:10" x14ac:dyDescent="0.35">
      <c r="B2773" s="18">
        <v>1305306</v>
      </c>
      <c r="C2773" s="19" t="s">
        <v>4623</v>
      </c>
      <c r="D2773" s="5" t="s">
        <v>8</v>
      </c>
      <c r="E2773" s="19" t="s">
        <v>5922</v>
      </c>
      <c r="F2773" s="34" t="s">
        <v>3574</v>
      </c>
      <c r="G2773" s="27">
        <v>18.850000000000001</v>
      </c>
      <c r="H2773" s="1" t="s">
        <v>774</v>
      </c>
      <c r="I2773" s="20">
        <v>1</v>
      </c>
      <c r="J2773" s="36">
        <v>0.06</v>
      </c>
    </row>
    <row r="2774" spans="2:10" x14ac:dyDescent="0.35">
      <c r="B2774" s="18" t="s">
        <v>3859</v>
      </c>
      <c r="C2774" s="19" t="s">
        <v>4220</v>
      </c>
      <c r="D2774" s="5" t="s">
        <v>8</v>
      </c>
      <c r="E2774" s="19" t="s">
        <v>5923</v>
      </c>
      <c r="F2774" s="34" t="s">
        <v>3574</v>
      </c>
      <c r="G2774" s="27">
        <v>36.43</v>
      </c>
      <c r="H2774" s="1" t="s">
        <v>774</v>
      </c>
      <c r="I2774" s="20">
        <v>1</v>
      </c>
      <c r="J2774" s="36">
        <v>0.06</v>
      </c>
    </row>
    <row r="2775" spans="2:10" x14ac:dyDescent="0.35">
      <c r="B2775" s="18">
        <v>3603414</v>
      </c>
      <c r="C2775" s="19" t="s">
        <v>4624</v>
      </c>
      <c r="D2775" s="5" t="s">
        <v>8</v>
      </c>
      <c r="E2775" s="19" t="s">
        <v>5924</v>
      </c>
      <c r="F2775" s="34" t="s">
        <v>3574</v>
      </c>
      <c r="G2775" s="27">
        <v>5.5</v>
      </c>
      <c r="H2775" s="1" t="s">
        <v>774</v>
      </c>
      <c r="I2775" s="20">
        <v>1</v>
      </c>
      <c r="J2775" s="36">
        <v>0.06</v>
      </c>
    </row>
    <row r="2776" spans="2:10" x14ac:dyDescent="0.35">
      <c r="B2776" s="18">
        <v>2000728</v>
      </c>
      <c r="C2776" s="19" t="s">
        <v>4625</v>
      </c>
      <c r="D2776" s="5" t="s">
        <v>8</v>
      </c>
      <c r="E2776" s="19" t="s">
        <v>5925</v>
      </c>
      <c r="F2776" s="34" t="s">
        <v>3574</v>
      </c>
      <c r="G2776" s="27">
        <v>2.79</v>
      </c>
      <c r="H2776" s="1" t="s">
        <v>774</v>
      </c>
      <c r="I2776" s="20">
        <v>1</v>
      </c>
      <c r="J2776" s="36">
        <v>0.06</v>
      </c>
    </row>
    <row r="2777" spans="2:10" x14ac:dyDescent="0.35">
      <c r="B2777" s="18">
        <v>1305206</v>
      </c>
      <c r="C2777" s="19" t="s">
        <v>4626</v>
      </c>
      <c r="D2777" s="5" t="s">
        <v>8</v>
      </c>
      <c r="E2777" s="19" t="s">
        <v>5926</v>
      </c>
      <c r="F2777" s="34" t="s">
        <v>3574</v>
      </c>
      <c r="G2777" s="27">
        <v>2.75</v>
      </c>
      <c r="H2777" s="1" t="s">
        <v>774</v>
      </c>
      <c r="I2777" s="20">
        <v>1</v>
      </c>
      <c r="J2777" s="36">
        <v>0.06</v>
      </c>
    </row>
    <row r="2778" spans="2:10" x14ac:dyDescent="0.35">
      <c r="B2778" s="18">
        <v>3604065</v>
      </c>
      <c r="C2778" s="19" t="s">
        <v>4627</v>
      </c>
      <c r="D2778" s="5" t="s">
        <v>8</v>
      </c>
      <c r="E2778" s="19" t="s">
        <v>5927</v>
      </c>
      <c r="F2778" s="34" t="s">
        <v>3574</v>
      </c>
      <c r="G2778" s="27">
        <v>3.38</v>
      </c>
      <c r="H2778" s="1" t="s">
        <v>774</v>
      </c>
      <c r="I2778" s="20">
        <v>1</v>
      </c>
      <c r="J2778" s="36">
        <v>0.06</v>
      </c>
    </row>
    <row r="2779" spans="2:10" x14ac:dyDescent="0.35">
      <c r="B2779" s="18">
        <v>3602648</v>
      </c>
      <c r="C2779" s="19" t="s">
        <v>4628</v>
      </c>
      <c r="D2779" s="5" t="s">
        <v>8</v>
      </c>
      <c r="E2779" s="19" t="s">
        <v>5928</v>
      </c>
      <c r="F2779" s="34" t="s">
        <v>3574</v>
      </c>
      <c r="G2779" s="27">
        <v>5.27</v>
      </c>
      <c r="H2779" s="1" t="s">
        <v>774</v>
      </c>
      <c r="I2779" s="20">
        <v>1</v>
      </c>
      <c r="J2779" s="36">
        <v>0.06</v>
      </c>
    </row>
    <row r="2780" spans="2:10" x14ac:dyDescent="0.35">
      <c r="B2780" s="18">
        <v>3603143</v>
      </c>
      <c r="C2780" s="19" t="s">
        <v>4629</v>
      </c>
      <c r="D2780" s="5" t="s">
        <v>8</v>
      </c>
      <c r="E2780" s="19" t="s">
        <v>5929</v>
      </c>
      <c r="F2780" s="34" t="s">
        <v>3574</v>
      </c>
      <c r="G2780" s="27">
        <v>3.46</v>
      </c>
      <c r="H2780" s="1" t="s">
        <v>774</v>
      </c>
      <c r="I2780" s="20">
        <v>1</v>
      </c>
      <c r="J2780" s="36">
        <v>0.06</v>
      </c>
    </row>
    <row r="2781" spans="2:10" x14ac:dyDescent="0.35">
      <c r="B2781" s="18">
        <v>1361154</v>
      </c>
      <c r="C2781" s="19" t="s">
        <v>4630</v>
      </c>
      <c r="D2781" s="5" t="s">
        <v>8</v>
      </c>
      <c r="E2781" s="19" t="s">
        <v>5930</v>
      </c>
      <c r="F2781" s="34" t="s">
        <v>3574</v>
      </c>
      <c r="G2781" s="27">
        <v>2.85</v>
      </c>
      <c r="H2781" s="1" t="s">
        <v>774</v>
      </c>
      <c r="I2781" s="20">
        <v>1</v>
      </c>
      <c r="J2781" s="36">
        <v>0.06</v>
      </c>
    </row>
    <row r="2782" spans="2:10" x14ac:dyDescent="0.35">
      <c r="B2782" s="18" t="s">
        <v>3860</v>
      </c>
      <c r="C2782" s="19" t="s">
        <v>4617</v>
      </c>
      <c r="D2782" s="5" t="s">
        <v>8</v>
      </c>
      <c r="E2782" s="19" t="s">
        <v>5931</v>
      </c>
      <c r="F2782" s="34" t="s">
        <v>3574</v>
      </c>
      <c r="G2782" s="27">
        <v>2.8499999999999996</v>
      </c>
      <c r="H2782" s="1" t="s">
        <v>774</v>
      </c>
      <c r="I2782" s="20">
        <v>1</v>
      </c>
      <c r="J2782" s="36">
        <v>0.06</v>
      </c>
    </row>
    <row r="2783" spans="2:10" x14ac:dyDescent="0.35">
      <c r="B2783" s="18" t="s">
        <v>3861</v>
      </c>
      <c r="C2783" s="19" t="s">
        <v>4631</v>
      </c>
      <c r="D2783" s="5" t="s">
        <v>8</v>
      </c>
      <c r="E2783" s="19" t="s">
        <v>5932</v>
      </c>
      <c r="F2783" s="34" t="s">
        <v>3574</v>
      </c>
      <c r="G2783" s="27">
        <v>3.1</v>
      </c>
      <c r="H2783" s="1" t="s">
        <v>774</v>
      </c>
      <c r="I2783" s="20">
        <v>1</v>
      </c>
      <c r="J2783" s="36">
        <v>0.06</v>
      </c>
    </row>
    <row r="2784" spans="2:10" x14ac:dyDescent="0.35">
      <c r="B2784" s="18" t="s">
        <v>3862</v>
      </c>
      <c r="C2784" s="19" t="s">
        <v>4632</v>
      </c>
      <c r="D2784" s="5" t="s">
        <v>8</v>
      </c>
      <c r="E2784" s="19" t="s">
        <v>5933</v>
      </c>
      <c r="F2784" s="34" t="s">
        <v>3574</v>
      </c>
      <c r="G2784" s="27">
        <v>5.52</v>
      </c>
      <c r="H2784" s="1" t="s">
        <v>774</v>
      </c>
      <c r="I2784" s="20">
        <v>1</v>
      </c>
      <c r="J2784" s="36">
        <v>0.06</v>
      </c>
    </row>
    <row r="2785" spans="2:10" x14ac:dyDescent="0.35">
      <c r="B2785" s="18">
        <v>4001756</v>
      </c>
      <c r="C2785" s="19" t="s">
        <v>4633</v>
      </c>
      <c r="D2785" s="5" t="s">
        <v>8</v>
      </c>
      <c r="E2785" s="19" t="s">
        <v>5934</v>
      </c>
      <c r="F2785" s="34" t="s">
        <v>3574</v>
      </c>
      <c r="G2785" s="27">
        <v>3.51</v>
      </c>
      <c r="H2785" s="1" t="s">
        <v>774</v>
      </c>
      <c r="I2785" s="20">
        <v>1</v>
      </c>
      <c r="J2785" s="36">
        <v>0.06</v>
      </c>
    </row>
    <row r="2786" spans="2:10" x14ac:dyDescent="0.35">
      <c r="B2786" s="18" t="s">
        <v>3863</v>
      </c>
      <c r="C2786" s="19" t="s">
        <v>4634</v>
      </c>
      <c r="D2786" s="5" t="s">
        <v>8</v>
      </c>
      <c r="E2786" s="19" t="s">
        <v>5935</v>
      </c>
      <c r="F2786" s="34" t="s">
        <v>3574</v>
      </c>
      <c r="G2786" s="27">
        <v>2.38</v>
      </c>
      <c r="H2786" s="1" t="s">
        <v>774</v>
      </c>
      <c r="I2786" s="20">
        <v>1</v>
      </c>
      <c r="J2786" s="36">
        <v>0.06</v>
      </c>
    </row>
    <row r="2787" spans="2:10" x14ac:dyDescent="0.35">
      <c r="B2787" s="18" t="s">
        <v>3864</v>
      </c>
      <c r="C2787" s="19" t="s">
        <v>4635</v>
      </c>
      <c r="D2787" s="5" t="s">
        <v>8</v>
      </c>
      <c r="E2787" s="19" t="s">
        <v>5936</v>
      </c>
      <c r="F2787" s="34" t="s">
        <v>3574</v>
      </c>
      <c r="G2787" s="27">
        <v>16.03</v>
      </c>
      <c r="H2787" s="1" t="s">
        <v>774</v>
      </c>
      <c r="I2787" s="20">
        <v>1</v>
      </c>
      <c r="J2787" s="36">
        <v>0.06</v>
      </c>
    </row>
    <row r="2788" spans="2:10" x14ac:dyDescent="0.35">
      <c r="B2788" s="18" t="s">
        <v>3865</v>
      </c>
      <c r="C2788" s="19" t="s">
        <v>4635</v>
      </c>
      <c r="D2788" s="5" t="s">
        <v>8</v>
      </c>
      <c r="E2788" s="19" t="s">
        <v>5937</v>
      </c>
      <c r="F2788" s="34" t="s">
        <v>3574</v>
      </c>
      <c r="G2788" s="27">
        <v>11.54</v>
      </c>
      <c r="H2788" s="1" t="s">
        <v>774</v>
      </c>
      <c r="I2788" s="20">
        <v>1</v>
      </c>
      <c r="J2788" s="36">
        <v>0.06</v>
      </c>
    </row>
    <row r="2789" spans="2:10" x14ac:dyDescent="0.35">
      <c r="B2789" s="18" t="s">
        <v>3866</v>
      </c>
      <c r="C2789" s="19" t="s">
        <v>4634</v>
      </c>
      <c r="D2789" s="5" t="s">
        <v>8</v>
      </c>
      <c r="E2789" s="19" t="s">
        <v>5938</v>
      </c>
      <c r="F2789" s="34" t="s">
        <v>3574</v>
      </c>
      <c r="G2789" s="27">
        <v>5.96</v>
      </c>
      <c r="H2789" s="1" t="s">
        <v>774</v>
      </c>
      <c r="I2789" s="20">
        <v>1</v>
      </c>
      <c r="J2789" s="36">
        <v>0.06</v>
      </c>
    </row>
    <row r="2790" spans="2:10" x14ac:dyDescent="0.35">
      <c r="B2790" s="18">
        <v>4001752</v>
      </c>
      <c r="C2790" s="19" t="s">
        <v>4636</v>
      </c>
      <c r="D2790" s="5" t="s">
        <v>8</v>
      </c>
      <c r="E2790" s="19" t="s">
        <v>5939</v>
      </c>
      <c r="F2790" s="34" t="s">
        <v>3574</v>
      </c>
      <c r="G2790" s="27">
        <v>7.92</v>
      </c>
      <c r="H2790" s="1" t="s">
        <v>774</v>
      </c>
      <c r="I2790" s="20">
        <v>1</v>
      </c>
      <c r="J2790" s="36">
        <v>0.06</v>
      </c>
    </row>
    <row r="2791" spans="2:10" x14ac:dyDescent="0.35">
      <c r="B2791" s="18">
        <v>4001753</v>
      </c>
      <c r="C2791" s="19" t="s">
        <v>4637</v>
      </c>
      <c r="D2791" s="5" t="s">
        <v>8</v>
      </c>
      <c r="E2791" s="19" t="s">
        <v>5940</v>
      </c>
      <c r="F2791" s="34" t="s">
        <v>3574</v>
      </c>
      <c r="G2791" s="27">
        <v>23.58</v>
      </c>
      <c r="H2791" s="1" t="s">
        <v>774</v>
      </c>
      <c r="I2791" s="20">
        <v>1</v>
      </c>
      <c r="J2791" s="36">
        <v>0.06</v>
      </c>
    </row>
    <row r="2792" spans="2:10" x14ac:dyDescent="0.35">
      <c r="B2792" s="18">
        <v>1360747</v>
      </c>
      <c r="C2792" s="19" t="s">
        <v>4638</v>
      </c>
      <c r="D2792" s="5" t="s">
        <v>8</v>
      </c>
      <c r="E2792" s="19" t="s">
        <v>5941</v>
      </c>
      <c r="F2792" s="34" t="s">
        <v>3574</v>
      </c>
      <c r="G2792" s="27">
        <v>8.67</v>
      </c>
      <c r="H2792" s="1" t="s">
        <v>774</v>
      </c>
      <c r="I2792" s="20">
        <v>1</v>
      </c>
      <c r="J2792" s="36">
        <v>0.06</v>
      </c>
    </row>
    <row r="2793" spans="2:10" x14ac:dyDescent="0.35">
      <c r="B2793" s="18">
        <v>1585325</v>
      </c>
      <c r="C2793" s="19" t="s">
        <v>4639</v>
      </c>
      <c r="D2793" s="5" t="s">
        <v>8</v>
      </c>
      <c r="E2793" s="19" t="s">
        <v>5942</v>
      </c>
      <c r="F2793" s="34" t="s">
        <v>3574</v>
      </c>
      <c r="G2793" s="27">
        <v>6.48</v>
      </c>
      <c r="H2793" s="1" t="s">
        <v>774</v>
      </c>
      <c r="I2793" s="20">
        <v>1</v>
      </c>
      <c r="J2793" s="36">
        <v>0.06</v>
      </c>
    </row>
    <row r="2794" spans="2:10" x14ac:dyDescent="0.35">
      <c r="B2794" s="18">
        <v>1585326</v>
      </c>
      <c r="C2794" s="19" t="s">
        <v>4640</v>
      </c>
      <c r="D2794" s="5" t="s">
        <v>8</v>
      </c>
      <c r="E2794" s="19" t="s">
        <v>5943</v>
      </c>
      <c r="F2794" s="34" t="s">
        <v>3574</v>
      </c>
      <c r="G2794" s="27">
        <v>14.28</v>
      </c>
      <c r="H2794" s="1" t="s">
        <v>774</v>
      </c>
      <c r="I2794" s="20">
        <v>1</v>
      </c>
      <c r="J2794" s="36">
        <v>0.06</v>
      </c>
    </row>
    <row r="2795" spans="2:10" x14ac:dyDescent="0.35">
      <c r="B2795" s="18">
        <v>800004717</v>
      </c>
      <c r="C2795" s="19" t="s">
        <v>4641</v>
      </c>
      <c r="D2795" s="5" t="s">
        <v>8</v>
      </c>
      <c r="E2795" s="19" t="s">
        <v>5944</v>
      </c>
      <c r="F2795" s="34" t="s">
        <v>3574</v>
      </c>
      <c r="G2795" s="27">
        <v>28.17</v>
      </c>
      <c r="H2795" s="1" t="s">
        <v>774</v>
      </c>
      <c r="I2795" s="20">
        <v>1</v>
      </c>
      <c r="J2795" s="36">
        <v>0.06</v>
      </c>
    </row>
    <row r="2796" spans="2:10" x14ac:dyDescent="0.35">
      <c r="B2796" s="18">
        <v>1360746</v>
      </c>
      <c r="C2796" s="19" t="s">
        <v>4642</v>
      </c>
      <c r="D2796" s="5" t="s">
        <v>8</v>
      </c>
      <c r="E2796" s="19" t="s">
        <v>5945</v>
      </c>
      <c r="F2796" s="34" t="s">
        <v>3574</v>
      </c>
      <c r="G2796" s="27">
        <v>20.32</v>
      </c>
      <c r="H2796" s="1" t="s">
        <v>774</v>
      </c>
      <c r="I2796" s="20">
        <v>1</v>
      </c>
      <c r="J2796" s="36">
        <v>0.06</v>
      </c>
    </row>
    <row r="2797" spans="2:10" x14ac:dyDescent="0.35">
      <c r="B2797" s="18">
        <v>1360755</v>
      </c>
      <c r="C2797" s="19" t="s">
        <v>4643</v>
      </c>
      <c r="D2797" s="5" t="s">
        <v>8</v>
      </c>
      <c r="E2797" s="19" t="s">
        <v>5946</v>
      </c>
      <c r="F2797" s="34" t="s">
        <v>3574</v>
      </c>
      <c r="G2797" s="27">
        <v>7.66</v>
      </c>
      <c r="H2797" s="1" t="s">
        <v>774</v>
      </c>
      <c r="I2797" s="20">
        <v>1</v>
      </c>
      <c r="J2797" s="36">
        <v>0.06</v>
      </c>
    </row>
    <row r="2798" spans="2:10" x14ac:dyDescent="0.35">
      <c r="B2798" s="18">
        <v>800004718</v>
      </c>
      <c r="C2798" s="19" t="s">
        <v>4644</v>
      </c>
      <c r="D2798" s="5" t="s">
        <v>8</v>
      </c>
      <c r="E2798" s="19" t="s">
        <v>5947</v>
      </c>
      <c r="F2798" s="34" t="s">
        <v>3574</v>
      </c>
      <c r="G2798" s="27">
        <v>9.879999999999999</v>
      </c>
      <c r="H2798" s="1" t="s">
        <v>774</v>
      </c>
      <c r="I2798" s="20">
        <v>1</v>
      </c>
      <c r="J2798" s="36">
        <v>0.06</v>
      </c>
    </row>
    <row r="2799" spans="2:10" x14ac:dyDescent="0.35">
      <c r="B2799" s="18">
        <v>1585573</v>
      </c>
      <c r="C2799" s="19" t="s">
        <v>4645</v>
      </c>
      <c r="D2799" s="5" t="s">
        <v>8</v>
      </c>
      <c r="E2799" s="19" t="s">
        <v>5948</v>
      </c>
      <c r="F2799" s="34" t="s">
        <v>3574</v>
      </c>
      <c r="G2799" s="27">
        <v>8.6</v>
      </c>
      <c r="H2799" s="1" t="s">
        <v>774</v>
      </c>
      <c r="I2799" s="20">
        <v>1</v>
      </c>
      <c r="J2799" s="36">
        <v>0.06</v>
      </c>
    </row>
    <row r="2800" spans="2:10" x14ac:dyDescent="0.35">
      <c r="B2800" s="18">
        <v>1585323</v>
      </c>
      <c r="C2800" s="19" t="s">
        <v>4646</v>
      </c>
      <c r="D2800" s="5" t="s">
        <v>8</v>
      </c>
      <c r="E2800" s="19" t="s">
        <v>5949</v>
      </c>
      <c r="F2800" s="34" t="s">
        <v>3574</v>
      </c>
      <c r="G2800" s="27">
        <v>13.41</v>
      </c>
      <c r="H2800" s="1" t="s">
        <v>774</v>
      </c>
      <c r="I2800" s="20">
        <v>1</v>
      </c>
      <c r="J2800" s="36">
        <v>0.06</v>
      </c>
    </row>
    <row r="2801" spans="2:10" x14ac:dyDescent="0.35">
      <c r="B2801" s="18">
        <v>3200189</v>
      </c>
      <c r="C2801" s="19" t="s">
        <v>4647</v>
      </c>
      <c r="D2801" s="5" t="s">
        <v>8</v>
      </c>
      <c r="E2801" s="19" t="s">
        <v>5950</v>
      </c>
      <c r="F2801" s="34" t="s">
        <v>3574</v>
      </c>
      <c r="G2801" s="27">
        <v>35.200000000000003</v>
      </c>
      <c r="H2801" s="1" t="s">
        <v>774</v>
      </c>
      <c r="I2801" s="20">
        <v>1</v>
      </c>
      <c r="J2801" s="36">
        <v>0.06</v>
      </c>
    </row>
    <row r="2802" spans="2:10" x14ac:dyDescent="0.35">
      <c r="B2802" s="18">
        <v>1360754</v>
      </c>
      <c r="C2802" s="19" t="s">
        <v>4648</v>
      </c>
      <c r="D2802" s="5" t="s">
        <v>8</v>
      </c>
      <c r="E2802" s="19" t="s">
        <v>5951</v>
      </c>
      <c r="F2802" s="34" t="s">
        <v>3574</v>
      </c>
      <c r="G2802" s="27">
        <v>21.62</v>
      </c>
      <c r="H2802" s="1" t="s">
        <v>774</v>
      </c>
      <c r="I2802" s="20">
        <v>1</v>
      </c>
      <c r="J2802" s="36">
        <v>0.06</v>
      </c>
    </row>
    <row r="2803" spans="2:10" x14ac:dyDescent="0.35">
      <c r="B2803" s="18">
        <v>800004719</v>
      </c>
      <c r="C2803" s="19" t="s">
        <v>4649</v>
      </c>
      <c r="D2803" s="5" t="s">
        <v>8</v>
      </c>
      <c r="E2803" s="19" t="s">
        <v>5952</v>
      </c>
      <c r="F2803" s="34" t="s">
        <v>3574</v>
      </c>
      <c r="G2803" s="27">
        <v>43.65</v>
      </c>
      <c r="H2803" s="1" t="s">
        <v>774</v>
      </c>
      <c r="I2803" s="20">
        <v>1</v>
      </c>
      <c r="J2803" s="36">
        <v>0.06</v>
      </c>
    </row>
    <row r="2804" spans="2:10" x14ac:dyDescent="0.35">
      <c r="B2804" s="18">
        <v>3602618</v>
      </c>
      <c r="C2804" s="19" t="s">
        <v>4650</v>
      </c>
      <c r="D2804" s="5" t="s">
        <v>8</v>
      </c>
      <c r="E2804" s="19" t="s">
        <v>5953</v>
      </c>
      <c r="F2804" s="34" t="s">
        <v>3574</v>
      </c>
      <c r="G2804" s="27">
        <v>17.62</v>
      </c>
      <c r="H2804" s="1" t="s">
        <v>774</v>
      </c>
      <c r="I2804" s="20">
        <v>1</v>
      </c>
      <c r="J2804" s="36">
        <v>0.06</v>
      </c>
    </row>
    <row r="2805" spans="2:10" x14ac:dyDescent="0.35">
      <c r="B2805" s="18">
        <v>3602619</v>
      </c>
      <c r="C2805" s="19" t="s">
        <v>4651</v>
      </c>
      <c r="D2805" s="5" t="s">
        <v>8</v>
      </c>
      <c r="E2805" s="19" t="s">
        <v>5954</v>
      </c>
      <c r="F2805" s="34" t="s">
        <v>3574</v>
      </c>
      <c r="G2805" s="27">
        <v>39.659999999999997</v>
      </c>
      <c r="H2805" s="1" t="s">
        <v>774</v>
      </c>
      <c r="I2805" s="20">
        <v>1</v>
      </c>
      <c r="J2805" s="36">
        <v>0.06</v>
      </c>
    </row>
    <row r="2806" spans="2:10" x14ac:dyDescent="0.35">
      <c r="B2806" s="18" t="s">
        <v>3867</v>
      </c>
      <c r="C2806" s="19" t="s">
        <v>4617</v>
      </c>
      <c r="D2806" s="5" t="s">
        <v>8</v>
      </c>
      <c r="E2806" s="19" t="s">
        <v>5955</v>
      </c>
      <c r="F2806" s="34" t="s">
        <v>3574</v>
      </c>
      <c r="G2806" s="27">
        <v>26.31</v>
      </c>
      <c r="H2806" s="1" t="s">
        <v>774</v>
      </c>
      <c r="I2806" s="20">
        <v>1</v>
      </c>
      <c r="J2806" s="36">
        <v>0.06</v>
      </c>
    </row>
    <row r="2807" spans="2:10" x14ac:dyDescent="0.35">
      <c r="B2807" s="18" t="s">
        <v>3868</v>
      </c>
      <c r="C2807" s="19" t="s">
        <v>4652</v>
      </c>
      <c r="D2807" s="5" t="s">
        <v>8</v>
      </c>
      <c r="E2807" s="19" t="s">
        <v>5956</v>
      </c>
      <c r="F2807" s="34" t="s">
        <v>3574</v>
      </c>
      <c r="G2807" s="27">
        <v>25.02</v>
      </c>
      <c r="H2807" s="1" t="s">
        <v>774</v>
      </c>
      <c r="I2807" s="20">
        <v>1</v>
      </c>
      <c r="J2807" s="36">
        <v>0.06</v>
      </c>
    </row>
    <row r="2808" spans="2:10" x14ac:dyDescent="0.35">
      <c r="B2808" s="18">
        <v>1304152</v>
      </c>
      <c r="C2808" s="19" t="s">
        <v>4653</v>
      </c>
      <c r="D2808" s="5" t="s">
        <v>8</v>
      </c>
      <c r="E2808" s="19" t="s">
        <v>5957</v>
      </c>
      <c r="F2808" s="34" t="s">
        <v>3574</v>
      </c>
      <c r="G2808" s="27">
        <v>23.76</v>
      </c>
      <c r="H2808" s="1" t="s">
        <v>774</v>
      </c>
      <c r="I2808" s="20">
        <v>1</v>
      </c>
      <c r="J2808" s="36">
        <v>0.06</v>
      </c>
    </row>
    <row r="2809" spans="2:10" x14ac:dyDescent="0.35">
      <c r="B2809" s="18">
        <v>3601801</v>
      </c>
      <c r="C2809" s="19" t="s">
        <v>4654</v>
      </c>
      <c r="D2809" s="5" t="s">
        <v>8</v>
      </c>
      <c r="E2809" s="19" t="s">
        <v>5958</v>
      </c>
      <c r="F2809" s="34" t="s">
        <v>3574</v>
      </c>
      <c r="G2809" s="27">
        <v>42.04</v>
      </c>
      <c r="H2809" s="1" t="s">
        <v>774</v>
      </c>
      <c r="I2809" s="20">
        <v>1</v>
      </c>
      <c r="J2809" s="36">
        <v>0.06</v>
      </c>
    </row>
    <row r="2810" spans="2:10" x14ac:dyDescent="0.35">
      <c r="B2810" s="18">
        <v>3601335</v>
      </c>
      <c r="C2810" s="19" t="s">
        <v>4655</v>
      </c>
      <c r="D2810" s="5" t="s">
        <v>8</v>
      </c>
      <c r="E2810" s="19" t="s">
        <v>5959</v>
      </c>
      <c r="F2810" s="34" t="s">
        <v>3574</v>
      </c>
      <c r="G2810" s="27">
        <v>29.78</v>
      </c>
      <c r="H2810" s="1" t="s">
        <v>774</v>
      </c>
      <c r="I2810" s="20">
        <v>1</v>
      </c>
      <c r="J2810" s="36">
        <v>0.06</v>
      </c>
    </row>
    <row r="2811" spans="2:10" x14ac:dyDescent="0.35">
      <c r="B2811" s="18">
        <v>1360412</v>
      </c>
      <c r="C2811" s="19" t="s">
        <v>4656</v>
      </c>
      <c r="D2811" s="5" t="s">
        <v>8</v>
      </c>
      <c r="E2811" s="19" t="s">
        <v>5960</v>
      </c>
      <c r="F2811" s="34" t="s">
        <v>3574</v>
      </c>
      <c r="G2811" s="27">
        <v>16.88</v>
      </c>
      <c r="H2811" s="1" t="s">
        <v>774</v>
      </c>
      <c r="I2811" s="20">
        <v>1</v>
      </c>
      <c r="J2811" s="36">
        <v>0.06</v>
      </c>
    </row>
    <row r="2812" spans="2:10" x14ac:dyDescent="0.35">
      <c r="B2812" s="18">
        <v>1130606</v>
      </c>
      <c r="C2812" s="19" t="s">
        <v>4657</v>
      </c>
      <c r="D2812" s="5" t="s">
        <v>8</v>
      </c>
      <c r="E2812" s="19" t="s">
        <v>5961</v>
      </c>
      <c r="F2812" s="34" t="s">
        <v>3574</v>
      </c>
      <c r="G2812" s="27">
        <v>1.43</v>
      </c>
      <c r="H2812" s="1" t="s">
        <v>774</v>
      </c>
      <c r="I2812" s="20">
        <v>1</v>
      </c>
      <c r="J2812" s="36">
        <v>0.06</v>
      </c>
    </row>
    <row r="2813" spans="2:10" x14ac:dyDescent="0.35">
      <c r="B2813" s="18">
        <v>1504822</v>
      </c>
      <c r="C2813" s="19" t="s">
        <v>4658</v>
      </c>
      <c r="D2813" s="5" t="s">
        <v>8</v>
      </c>
      <c r="E2813" s="19" t="s">
        <v>5962</v>
      </c>
      <c r="F2813" s="34" t="s">
        <v>3574</v>
      </c>
      <c r="G2813" s="27">
        <v>1.87</v>
      </c>
      <c r="H2813" s="1" t="s">
        <v>774</v>
      </c>
      <c r="I2813" s="20">
        <v>1</v>
      </c>
      <c r="J2813" s="36">
        <v>0.06</v>
      </c>
    </row>
    <row r="2814" spans="2:10" x14ac:dyDescent="0.35">
      <c r="B2814" s="18">
        <v>1504718</v>
      </c>
      <c r="C2814" s="19" t="s">
        <v>4659</v>
      </c>
      <c r="D2814" s="5" t="s">
        <v>8</v>
      </c>
      <c r="E2814" s="19" t="s">
        <v>5963</v>
      </c>
      <c r="F2814" s="34" t="s">
        <v>3574</v>
      </c>
      <c r="G2814" s="27">
        <v>2.1800000000000002</v>
      </c>
      <c r="H2814" s="1" t="s">
        <v>774</v>
      </c>
      <c r="I2814" s="20">
        <v>1</v>
      </c>
      <c r="J2814" s="36">
        <v>0.06</v>
      </c>
    </row>
    <row r="2815" spans="2:10" x14ac:dyDescent="0.35">
      <c r="B2815" s="18" t="s">
        <v>3869</v>
      </c>
      <c r="C2815" s="19" t="s">
        <v>4660</v>
      </c>
      <c r="D2815" s="5" t="s">
        <v>8</v>
      </c>
      <c r="E2815" s="19" t="s">
        <v>5964</v>
      </c>
      <c r="F2815" s="34" t="s">
        <v>3574</v>
      </c>
      <c r="G2815" s="27">
        <v>7.51</v>
      </c>
      <c r="H2815" s="1" t="s">
        <v>774</v>
      </c>
      <c r="I2815" s="20">
        <v>1</v>
      </c>
      <c r="J2815" s="36">
        <v>0.06</v>
      </c>
    </row>
    <row r="2816" spans="2:10" x14ac:dyDescent="0.35">
      <c r="B2816" s="18" t="s">
        <v>3870</v>
      </c>
      <c r="C2816" s="19" t="s">
        <v>4661</v>
      </c>
      <c r="D2816" s="5" t="s">
        <v>8</v>
      </c>
      <c r="E2816" s="19" t="s">
        <v>5965</v>
      </c>
      <c r="F2816" s="34" t="s">
        <v>3574</v>
      </c>
      <c r="G2816" s="27">
        <v>8.17</v>
      </c>
      <c r="H2816" s="1" t="s">
        <v>774</v>
      </c>
      <c r="I2816" s="20">
        <v>1</v>
      </c>
      <c r="J2816" s="36">
        <v>0.06</v>
      </c>
    </row>
    <row r="2817" spans="2:10" x14ac:dyDescent="0.35">
      <c r="B2817" s="18" t="s">
        <v>3871</v>
      </c>
      <c r="C2817" s="19" t="s">
        <v>4220</v>
      </c>
      <c r="D2817" s="5" t="s">
        <v>8</v>
      </c>
      <c r="E2817" s="19" t="s">
        <v>5966</v>
      </c>
      <c r="F2817" s="34" t="s">
        <v>3574</v>
      </c>
      <c r="G2817" s="27">
        <v>9.34</v>
      </c>
      <c r="H2817" s="1" t="s">
        <v>774</v>
      </c>
      <c r="I2817" s="20">
        <v>1</v>
      </c>
      <c r="J2817" s="36">
        <v>0.06</v>
      </c>
    </row>
    <row r="2818" spans="2:10" x14ac:dyDescent="0.35">
      <c r="B2818" s="18">
        <v>2001662</v>
      </c>
      <c r="C2818" s="19" t="s">
        <v>4662</v>
      </c>
      <c r="D2818" s="5" t="s">
        <v>8</v>
      </c>
      <c r="E2818" s="19" t="s">
        <v>5967</v>
      </c>
      <c r="F2818" s="34" t="s">
        <v>3574</v>
      </c>
      <c r="G2818" s="27">
        <v>10.83</v>
      </c>
      <c r="H2818" s="1" t="s">
        <v>774</v>
      </c>
      <c r="I2818" s="20">
        <v>1</v>
      </c>
      <c r="J2818" s="36">
        <v>0.06</v>
      </c>
    </row>
    <row r="2819" spans="2:10" x14ac:dyDescent="0.35">
      <c r="B2819" s="18">
        <v>3602450</v>
      </c>
      <c r="C2819" s="19" t="s">
        <v>4663</v>
      </c>
      <c r="D2819" s="5" t="s">
        <v>8</v>
      </c>
      <c r="E2819" s="19" t="s">
        <v>5968</v>
      </c>
      <c r="F2819" s="34" t="s">
        <v>3574</v>
      </c>
      <c r="G2819" s="27">
        <v>11.92</v>
      </c>
      <c r="H2819" s="1" t="s">
        <v>774</v>
      </c>
      <c r="I2819" s="20">
        <v>1</v>
      </c>
      <c r="J2819" s="36">
        <v>0.06</v>
      </c>
    </row>
    <row r="2820" spans="2:10" x14ac:dyDescent="0.35">
      <c r="B2820" s="18">
        <v>3603694</v>
      </c>
      <c r="C2820" s="19" t="s">
        <v>4664</v>
      </c>
      <c r="D2820" s="5" t="s">
        <v>8</v>
      </c>
      <c r="E2820" s="19" t="s">
        <v>5969</v>
      </c>
      <c r="F2820" s="34" t="s">
        <v>3574</v>
      </c>
      <c r="G2820" s="27">
        <v>10.75</v>
      </c>
      <c r="H2820" s="1" t="s">
        <v>774</v>
      </c>
      <c r="I2820" s="20">
        <v>1</v>
      </c>
      <c r="J2820" s="36">
        <v>0.06</v>
      </c>
    </row>
    <row r="2821" spans="2:10" x14ac:dyDescent="0.35">
      <c r="B2821" s="18">
        <v>1305155</v>
      </c>
      <c r="C2821" s="19" t="s">
        <v>4665</v>
      </c>
      <c r="D2821" s="5" t="s">
        <v>8</v>
      </c>
      <c r="E2821" s="19" t="s">
        <v>5970</v>
      </c>
      <c r="F2821" s="34" t="s">
        <v>3574</v>
      </c>
      <c r="G2821" s="27">
        <v>7.21</v>
      </c>
      <c r="H2821" s="1" t="s">
        <v>774</v>
      </c>
      <c r="I2821" s="20">
        <v>1</v>
      </c>
      <c r="J2821" s="36">
        <v>0.06</v>
      </c>
    </row>
    <row r="2822" spans="2:10" x14ac:dyDescent="0.35">
      <c r="B2822" s="18" t="s">
        <v>3872</v>
      </c>
      <c r="C2822" s="19" t="s">
        <v>4666</v>
      </c>
      <c r="D2822" s="5" t="s">
        <v>8</v>
      </c>
      <c r="E2822" s="19" t="s">
        <v>5971</v>
      </c>
      <c r="F2822" s="34" t="s">
        <v>3574</v>
      </c>
      <c r="G2822" s="27">
        <v>6.09</v>
      </c>
      <c r="H2822" s="1" t="s">
        <v>774</v>
      </c>
      <c r="I2822" s="20">
        <v>1</v>
      </c>
      <c r="J2822" s="36">
        <v>0.06</v>
      </c>
    </row>
    <row r="2823" spans="2:10" x14ac:dyDescent="0.35">
      <c r="B2823" s="18">
        <v>91009940</v>
      </c>
      <c r="C2823" s="19" t="s">
        <v>4667</v>
      </c>
      <c r="D2823" s="5" t="s">
        <v>8</v>
      </c>
      <c r="E2823" s="19" t="s">
        <v>5972</v>
      </c>
      <c r="F2823" s="34" t="s">
        <v>3574</v>
      </c>
      <c r="G2823" s="27">
        <v>4.38</v>
      </c>
      <c r="H2823" s="1" t="s">
        <v>774</v>
      </c>
      <c r="I2823" s="20">
        <v>1</v>
      </c>
      <c r="J2823" s="36">
        <v>0.06</v>
      </c>
    </row>
    <row r="2824" spans="2:10" x14ac:dyDescent="0.35">
      <c r="B2824" s="18">
        <v>1361150</v>
      </c>
      <c r="C2824" s="19" t="s">
        <v>4668</v>
      </c>
      <c r="D2824" s="5" t="s">
        <v>8</v>
      </c>
      <c r="E2824" s="19" t="s">
        <v>5973</v>
      </c>
      <c r="F2824" s="34" t="s">
        <v>3574</v>
      </c>
      <c r="G2824" s="27">
        <v>4.5999999999999996</v>
      </c>
      <c r="H2824" s="1" t="s">
        <v>774</v>
      </c>
      <c r="I2824" s="20">
        <v>1</v>
      </c>
      <c r="J2824" s="36">
        <v>0.06</v>
      </c>
    </row>
    <row r="2825" spans="2:10" x14ac:dyDescent="0.35">
      <c r="B2825" s="18">
        <v>3603612</v>
      </c>
      <c r="C2825" s="19" t="s">
        <v>4668</v>
      </c>
      <c r="D2825" s="5" t="s">
        <v>8</v>
      </c>
      <c r="E2825" s="19" t="s">
        <v>5973</v>
      </c>
      <c r="F2825" s="34" t="s">
        <v>3574</v>
      </c>
      <c r="G2825" s="27">
        <v>4.5999999999999996</v>
      </c>
      <c r="H2825" s="1" t="s">
        <v>774</v>
      </c>
      <c r="I2825" s="20">
        <v>1</v>
      </c>
      <c r="J2825" s="36">
        <v>0.06</v>
      </c>
    </row>
    <row r="2826" spans="2:10" x14ac:dyDescent="0.35">
      <c r="B2826" s="18">
        <v>3602623</v>
      </c>
      <c r="C2826" s="19" t="s">
        <v>4669</v>
      </c>
      <c r="D2826" s="5" t="s">
        <v>8</v>
      </c>
      <c r="E2826" s="19" t="s">
        <v>5974</v>
      </c>
      <c r="F2826" s="34" t="s">
        <v>3574</v>
      </c>
      <c r="G2826" s="27">
        <v>5.8</v>
      </c>
      <c r="H2826" s="1" t="s">
        <v>774</v>
      </c>
      <c r="I2826" s="20">
        <v>1</v>
      </c>
      <c r="J2826" s="36">
        <v>0.06</v>
      </c>
    </row>
    <row r="2827" spans="2:10" x14ac:dyDescent="0.35">
      <c r="B2827" s="18" t="s">
        <v>3873</v>
      </c>
      <c r="C2827" s="19" t="s">
        <v>4220</v>
      </c>
      <c r="D2827" s="5" t="s">
        <v>8</v>
      </c>
      <c r="E2827" s="19" t="s">
        <v>5975</v>
      </c>
      <c r="F2827" s="34" t="s">
        <v>3574</v>
      </c>
      <c r="G2827" s="27">
        <v>4.3499999999999996</v>
      </c>
      <c r="H2827" s="1" t="s">
        <v>774</v>
      </c>
      <c r="I2827" s="20">
        <v>1</v>
      </c>
      <c r="J2827" s="36">
        <v>0.06</v>
      </c>
    </row>
    <row r="2828" spans="2:10" x14ac:dyDescent="0.35">
      <c r="B2828" s="18" t="s">
        <v>3874</v>
      </c>
      <c r="C2828" s="19" t="s">
        <v>4220</v>
      </c>
      <c r="D2828" s="5" t="s">
        <v>8</v>
      </c>
      <c r="E2828" s="19" t="s">
        <v>5976</v>
      </c>
      <c r="F2828" s="34" t="s">
        <v>3574</v>
      </c>
      <c r="G2828" s="27">
        <v>4.47</v>
      </c>
      <c r="H2828" s="1" t="s">
        <v>774</v>
      </c>
      <c r="I2828" s="20">
        <v>1</v>
      </c>
      <c r="J2828" s="36">
        <v>0.06</v>
      </c>
    </row>
    <row r="2829" spans="2:10" x14ac:dyDescent="0.35">
      <c r="B2829" s="18" t="s">
        <v>3875</v>
      </c>
      <c r="C2829" s="19" t="s">
        <v>4220</v>
      </c>
      <c r="D2829" s="5" t="s">
        <v>8</v>
      </c>
      <c r="E2829" s="19" t="s">
        <v>5977</v>
      </c>
      <c r="F2829" s="34" t="s">
        <v>3574</v>
      </c>
      <c r="G2829" s="27">
        <v>5.22</v>
      </c>
      <c r="H2829" s="1" t="s">
        <v>774</v>
      </c>
      <c r="I2829" s="20">
        <v>1</v>
      </c>
      <c r="J2829" s="36">
        <v>0.06</v>
      </c>
    </row>
    <row r="2830" spans="2:10" x14ac:dyDescent="0.35">
      <c r="B2830" s="18" t="s">
        <v>3876</v>
      </c>
      <c r="C2830" s="19" t="s">
        <v>4220</v>
      </c>
      <c r="D2830" s="5" t="s">
        <v>8</v>
      </c>
      <c r="E2830" s="19" t="s">
        <v>5978</v>
      </c>
      <c r="F2830" s="34" t="s">
        <v>3574</v>
      </c>
      <c r="G2830" s="27">
        <v>7.6</v>
      </c>
      <c r="H2830" s="1" t="s">
        <v>774</v>
      </c>
      <c r="I2830" s="20">
        <v>1</v>
      </c>
      <c r="J2830" s="36">
        <v>0.06</v>
      </c>
    </row>
    <row r="2831" spans="2:10" x14ac:dyDescent="0.35">
      <c r="B2831" s="18">
        <v>4001357</v>
      </c>
      <c r="C2831" s="19" t="s">
        <v>4670</v>
      </c>
      <c r="D2831" s="5" t="s">
        <v>8</v>
      </c>
      <c r="E2831" s="19" t="s">
        <v>5979</v>
      </c>
      <c r="F2831" s="34" t="s">
        <v>3574</v>
      </c>
      <c r="G2831" s="27">
        <v>6.54</v>
      </c>
      <c r="H2831" s="1" t="s">
        <v>774</v>
      </c>
      <c r="I2831" s="20">
        <v>1</v>
      </c>
      <c r="J2831" s="36">
        <v>0.06</v>
      </c>
    </row>
    <row r="2832" spans="2:10" x14ac:dyDescent="0.35">
      <c r="B2832" s="18" t="s">
        <v>3877</v>
      </c>
      <c r="C2832" s="19" t="s">
        <v>4220</v>
      </c>
      <c r="D2832" s="5" t="s">
        <v>8</v>
      </c>
      <c r="E2832" s="19" t="s">
        <v>5980</v>
      </c>
      <c r="F2832" s="34" t="s">
        <v>3574</v>
      </c>
      <c r="G2832" s="27">
        <v>8.84</v>
      </c>
      <c r="H2832" s="1" t="s">
        <v>774</v>
      </c>
      <c r="I2832" s="20">
        <v>1</v>
      </c>
      <c r="J2832" s="36">
        <v>0.06</v>
      </c>
    </row>
    <row r="2833" spans="2:10" x14ac:dyDescent="0.35">
      <c r="B2833" s="18" t="s">
        <v>3878</v>
      </c>
      <c r="C2833" s="19" t="s">
        <v>4220</v>
      </c>
      <c r="D2833" s="5" t="s">
        <v>8</v>
      </c>
      <c r="E2833" s="19" t="s">
        <v>5981</v>
      </c>
      <c r="F2833" s="34" t="s">
        <v>3574</v>
      </c>
      <c r="G2833" s="27">
        <v>10.069999999999999</v>
      </c>
      <c r="H2833" s="1" t="s">
        <v>774</v>
      </c>
      <c r="I2833" s="20">
        <v>1</v>
      </c>
      <c r="J2833" s="36">
        <v>0.06</v>
      </c>
    </row>
    <row r="2834" spans="2:10" x14ac:dyDescent="0.35">
      <c r="B2834" s="18">
        <v>4001655</v>
      </c>
      <c r="C2834" s="19" t="s">
        <v>4671</v>
      </c>
      <c r="D2834" s="5" t="s">
        <v>8</v>
      </c>
      <c r="E2834" s="19" t="s">
        <v>5982</v>
      </c>
      <c r="F2834" s="34" t="s">
        <v>3574</v>
      </c>
      <c r="G2834" s="27">
        <v>7.02</v>
      </c>
      <c r="H2834" s="1" t="s">
        <v>774</v>
      </c>
      <c r="I2834" s="20">
        <v>1</v>
      </c>
      <c r="J2834" s="36">
        <v>0.06</v>
      </c>
    </row>
    <row r="2835" spans="2:10" x14ac:dyDescent="0.35">
      <c r="B2835" s="18" t="s">
        <v>3879</v>
      </c>
      <c r="C2835" s="19" t="s">
        <v>4220</v>
      </c>
      <c r="D2835" s="5" t="s">
        <v>8</v>
      </c>
      <c r="E2835" s="19" t="s">
        <v>5983</v>
      </c>
      <c r="F2835" s="34" t="s">
        <v>3574</v>
      </c>
      <c r="G2835" s="27">
        <v>14.11</v>
      </c>
      <c r="H2835" s="1" t="s">
        <v>774</v>
      </c>
      <c r="I2835" s="20">
        <v>1</v>
      </c>
      <c r="J2835" s="36">
        <v>0.06</v>
      </c>
    </row>
    <row r="2836" spans="2:10" x14ac:dyDescent="0.35">
      <c r="B2836" s="18">
        <v>1586552</v>
      </c>
      <c r="C2836" s="19" t="s">
        <v>4672</v>
      </c>
      <c r="D2836" s="5" t="s">
        <v>8</v>
      </c>
      <c r="E2836" s="19" t="s">
        <v>5984</v>
      </c>
      <c r="F2836" s="34" t="s">
        <v>3574</v>
      </c>
      <c r="G2836" s="27">
        <v>4.75</v>
      </c>
      <c r="H2836" s="1" t="s">
        <v>774</v>
      </c>
      <c r="I2836" s="20">
        <v>1</v>
      </c>
      <c r="J2836" s="36">
        <v>0.06</v>
      </c>
    </row>
    <row r="2837" spans="2:10" x14ac:dyDescent="0.35">
      <c r="B2837" s="18">
        <v>3601329</v>
      </c>
      <c r="C2837" s="19" t="s">
        <v>4673</v>
      </c>
      <c r="D2837" s="5" t="s">
        <v>8</v>
      </c>
      <c r="E2837" s="19" t="s">
        <v>5985</v>
      </c>
      <c r="F2837" s="34" t="s">
        <v>3574</v>
      </c>
      <c r="G2837" s="27">
        <v>3.85</v>
      </c>
      <c r="H2837" s="1" t="s">
        <v>774</v>
      </c>
      <c r="I2837" s="20">
        <v>1</v>
      </c>
      <c r="J2837" s="36">
        <v>0.06</v>
      </c>
    </row>
    <row r="2838" spans="2:10" x14ac:dyDescent="0.35">
      <c r="B2838" s="18">
        <v>1305171</v>
      </c>
      <c r="C2838" s="19" t="s">
        <v>4674</v>
      </c>
      <c r="D2838" s="5" t="s">
        <v>8</v>
      </c>
      <c r="E2838" s="19" t="s">
        <v>5986</v>
      </c>
      <c r="F2838" s="34" t="s">
        <v>3574</v>
      </c>
      <c r="G2838" s="27">
        <v>2.86</v>
      </c>
      <c r="H2838" s="1" t="s">
        <v>774</v>
      </c>
      <c r="I2838" s="20">
        <v>1</v>
      </c>
      <c r="J2838" s="36">
        <v>0.06</v>
      </c>
    </row>
    <row r="2839" spans="2:10" x14ac:dyDescent="0.35">
      <c r="B2839" s="18" t="s">
        <v>3880</v>
      </c>
      <c r="C2839" s="19" t="s">
        <v>4675</v>
      </c>
      <c r="D2839" s="5" t="s">
        <v>8</v>
      </c>
      <c r="E2839" s="19" t="s">
        <v>5987</v>
      </c>
      <c r="F2839" s="34" t="s">
        <v>3574</v>
      </c>
      <c r="G2839" s="27">
        <v>2.21</v>
      </c>
      <c r="H2839" s="1" t="s">
        <v>774</v>
      </c>
      <c r="I2839" s="20">
        <v>1</v>
      </c>
      <c r="J2839" s="36">
        <v>0.06</v>
      </c>
    </row>
    <row r="2840" spans="2:10" x14ac:dyDescent="0.35">
      <c r="B2840" s="18">
        <v>3604343</v>
      </c>
      <c r="C2840" s="19" t="s">
        <v>4676</v>
      </c>
      <c r="D2840" s="5" t="s">
        <v>8</v>
      </c>
      <c r="E2840" s="19" t="s">
        <v>5988</v>
      </c>
      <c r="F2840" s="34" t="s">
        <v>3574</v>
      </c>
      <c r="G2840" s="27">
        <v>4.1399999999999997</v>
      </c>
      <c r="H2840" s="1" t="s">
        <v>774</v>
      </c>
      <c r="I2840" s="20">
        <v>1</v>
      </c>
      <c r="J2840" s="36">
        <v>0.06</v>
      </c>
    </row>
    <row r="2841" spans="2:10" x14ac:dyDescent="0.35">
      <c r="B2841" s="18" t="s">
        <v>3881</v>
      </c>
      <c r="C2841" s="19" t="s">
        <v>4220</v>
      </c>
      <c r="D2841" s="5" t="s">
        <v>8</v>
      </c>
      <c r="E2841" s="19" t="s">
        <v>5989</v>
      </c>
      <c r="F2841" s="34" t="s">
        <v>3574</v>
      </c>
      <c r="G2841" s="27">
        <v>3.2</v>
      </c>
      <c r="H2841" s="1" t="s">
        <v>774</v>
      </c>
      <c r="I2841" s="20">
        <v>1</v>
      </c>
      <c r="J2841" s="36">
        <v>0.06</v>
      </c>
    </row>
    <row r="2842" spans="2:10" x14ac:dyDescent="0.35">
      <c r="B2842" s="18" t="s">
        <v>3882</v>
      </c>
      <c r="C2842" s="19" t="s">
        <v>4677</v>
      </c>
      <c r="D2842" s="5" t="s">
        <v>8</v>
      </c>
      <c r="E2842" s="19" t="s">
        <v>5990</v>
      </c>
      <c r="F2842" s="34" t="s">
        <v>3574</v>
      </c>
      <c r="G2842" s="27">
        <v>1.98</v>
      </c>
      <c r="H2842" s="1" t="s">
        <v>774</v>
      </c>
      <c r="I2842" s="20">
        <v>1</v>
      </c>
      <c r="J2842" s="36">
        <v>0.06</v>
      </c>
    </row>
    <row r="2843" spans="2:10" x14ac:dyDescent="0.35">
      <c r="B2843" s="18" t="s">
        <v>3883</v>
      </c>
      <c r="C2843" s="19" t="s">
        <v>4678</v>
      </c>
      <c r="D2843" s="5" t="s">
        <v>8</v>
      </c>
      <c r="E2843" s="19" t="s">
        <v>5991</v>
      </c>
      <c r="F2843" s="34" t="s">
        <v>3574</v>
      </c>
      <c r="G2843" s="27">
        <v>3.01</v>
      </c>
      <c r="H2843" s="1" t="s">
        <v>774</v>
      </c>
      <c r="I2843" s="20">
        <v>1</v>
      </c>
      <c r="J2843" s="36">
        <v>0.06</v>
      </c>
    </row>
    <row r="2844" spans="2:10" x14ac:dyDescent="0.35">
      <c r="B2844" s="18">
        <v>1305204</v>
      </c>
      <c r="C2844" s="19" t="s">
        <v>4679</v>
      </c>
      <c r="D2844" s="5" t="s">
        <v>8</v>
      </c>
      <c r="E2844" s="19" t="s">
        <v>5992</v>
      </c>
      <c r="F2844" s="34" t="s">
        <v>3574</v>
      </c>
      <c r="G2844" s="27">
        <v>1.81</v>
      </c>
      <c r="H2844" s="1" t="s">
        <v>774</v>
      </c>
      <c r="I2844" s="20">
        <v>1</v>
      </c>
      <c r="J2844" s="36">
        <v>0.06</v>
      </c>
    </row>
    <row r="2845" spans="2:10" x14ac:dyDescent="0.35">
      <c r="B2845" s="18">
        <v>4000627</v>
      </c>
      <c r="C2845" s="19" t="s">
        <v>4680</v>
      </c>
      <c r="D2845" s="5" t="s">
        <v>8</v>
      </c>
      <c r="E2845" s="19" t="s">
        <v>5993</v>
      </c>
      <c r="F2845" s="34" t="s">
        <v>3574</v>
      </c>
      <c r="G2845" s="27">
        <v>2.56</v>
      </c>
      <c r="H2845" s="1" t="s">
        <v>774</v>
      </c>
      <c r="I2845" s="20">
        <v>1</v>
      </c>
      <c r="J2845" s="36">
        <v>0.06</v>
      </c>
    </row>
    <row r="2846" spans="2:10" x14ac:dyDescent="0.35">
      <c r="B2846" s="18" t="s">
        <v>3884</v>
      </c>
      <c r="C2846" s="19" t="s">
        <v>4677</v>
      </c>
      <c r="D2846" s="5" t="s">
        <v>8</v>
      </c>
      <c r="E2846" s="19" t="s">
        <v>5994</v>
      </c>
      <c r="F2846" s="34" t="s">
        <v>3574</v>
      </c>
      <c r="G2846" s="27">
        <v>3.75</v>
      </c>
      <c r="H2846" s="1" t="s">
        <v>774</v>
      </c>
      <c r="I2846" s="20">
        <v>1</v>
      </c>
      <c r="J2846" s="36">
        <v>0.06</v>
      </c>
    </row>
    <row r="2847" spans="2:10" x14ac:dyDescent="0.35">
      <c r="B2847" s="18" t="s">
        <v>3885</v>
      </c>
      <c r="C2847" s="19" t="s">
        <v>4677</v>
      </c>
      <c r="D2847" s="5" t="s">
        <v>8</v>
      </c>
      <c r="E2847" s="19" t="s">
        <v>5995</v>
      </c>
      <c r="F2847" s="34" t="s">
        <v>3574</v>
      </c>
      <c r="G2847" s="27">
        <v>3.53</v>
      </c>
      <c r="H2847" s="1" t="s">
        <v>774</v>
      </c>
      <c r="I2847" s="20">
        <v>1</v>
      </c>
      <c r="J2847" s="36">
        <v>0.06</v>
      </c>
    </row>
    <row r="2848" spans="2:10" x14ac:dyDescent="0.35">
      <c r="B2848" s="18" t="s">
        <v>3886</v>
      </c>
      <c r="C2848" s="19" t="s">
        <v>4681</v>
      </c>
      <c r="D2848" s="5" t="s">
        <v>8</v>
      </c>
      <c r="E2848" s="19" t="s">
        <v>5996</v>
      </c>
      <c r="F2848" s="34" t="s">
        <v>3574</v>
      </c>
      <c r="G2848" s="27">
        <v>2.76</v>
      </c>
      <c r="H2848" s="1" t="s">
        <v>774</v>
      </c>
      <c r="I2848" s="20">
        <v>1</v>
      </c>
      <c r="J2848" s="36">
        <v>0.06</v>
      </c>
    </row>
    <row r="2849" spans="2:10" x14ac:dyDescent="0.35">
      <c r="B2849" s="18">
        <v>4001332</v>
      </c>
      <c r="C2849" s="19" t="s">
        <v>4682</v>
      </c>
      <c r="D2849" s="5" t="s">
        <v>8</v>
      </c>
      <c r="E2849" s="19" t="s">
        <v>5997</v>
      </c>
      <c r="F2849" s="34" t="s">
        <v>3574</v>
      </c>
      <c r="G2849" s="27">
        <v>3.14</v>
      </c>
      <c r="H2849" s="1" t="s">
        <v>774</v>
      </c>
      <c r="I2849" s="20">
        <v>1</v>
      </c>
      <c r="J2849" s="36">
        <v>0.06</v>
      </c>
    </row>
    <row r="2850" spans="2:10" x14ac:dyDescent="0.35">
      <c r="B2850" s="18" t="s">
        <v>3887</v>
      </c>
      <c r="C2850" s="19" t="s">
        <v>4677</v>
      </c>
      <c r="D2850" s="5" t="s">
        <v>8</v>
      </c>
      <c r="E2850" s="19" t="s">
        <v>5997</v>
      </c>
      <c r="F2850" s="34" t="s">
        <v>3574</v>
      </c>
      <c r="G2850" s="27">
        <v>3.14</v>
      </c>
      <c r="H2850" s="1" t="s">
        <v>774</v>
      </c>
      <c r="I2850" s="20">
        <v>1</v>
      </c>
      <c r="J2850" s="36">
        <v>0.06</v>
      </c>
    </row>
    <row r="2851" spans="2:10" x14ac:dyDescent="0.35">
      <c r="B2851" s="18">
        <v>1305203</v>
      </c>
      <c r="C2851" s="19" t="s">
        <v>4683</v>
      </c>
      <c r="D2851" s="5" t="s">
        <v>8</v>
      </c>
      <c r="E2851" s="19" t="s">
        <v>5998</v>
      </c>
      <c r="F2851" s="34" t="s">
        <v>3574</v>
      </c>
      <c r="G2851" s="27">
        <v>2.76</v>
      </c>
      <c r="H2851" s="1" t="s">
        <v>774</v>
      </c>
      <c r="I2851" s="20">
        <v>1</v>
      </c>
      <c r="J2851" s="36">
        <v>0.06</v>
      </c>
    </row>
    <row r="2852" spans="2:10" x14ac:dyDescent="0.35">
      <c r="B2852" s="18" t="s">
        <v>3888</v>
      </c>
      <c r="C2852" s="19" t="s">
        <v>4220</v>
      </c>
      <c r="D2852" s="5" t="s">
        <v>8</v>
      </c>
      <c r="E2852" s="19" t="s">
        <v>5998</v>
      </c>
      <c r="F2852" s="34" t="s">
        <v>3574</v>
      </c>
      <c r="G2852" s="27">
        <v>2.76</v>
      </c>
      <c r="H2852" s="1" t="s">
        <v>774</v>
      </c>
      <c r="I2852" s="20">
        <v>1</v>
      </c>
      <c r="J2852" s="36">
        <v>0.06</v>
      </c>
    </row>
    <row r="2853" spans="2:10" x14ac:dyDescent="0.35">
      <c r="B2853" s="18">
        <v>800000253</v>
      </c>
      <c r="C2853" s="19" t="s">
        <v>4684</v>
      </c>
      <c r="D2853" s="5" t="s">
        <v>8</v>
      </c>
      <c r="E2853" s="19" t="s">
        <v>5999</v>
      </c>
      <c r="F2853" s="34" t="s">
        <v>3574</v>
      </c>
      <c r="G2853" s="27">
        <v>2.72</v>
      </c>
      <c r="H2853" s="1" t="s">
        <v>774</v>
      </c>
      <c r="I2853" s="20">
        <v>1</v>
      </c>
      <c r="J2853" s="36">
        <v>0.06</v>
      </c>
    </row>
    <row r="2854" spans="2:10" x14ac:dyDescent="0.35">
      <c r="B2854" s="18">
        <v>3601313</v>
      </c>
      <c r="C2854" s="19" t="s">
        <v>4685</v>
      </c>
      <c r="D2854" s="5" t="s">
        <v>8</v>
      </c>
      <c r="E2854" s="19" t="s">
        <v>6000</v>
      </c>
      <c r="F2854" s="34" t="s">
        <v>3574</v>
      </c>
      <c r="G2854" s="27">
        <v>5.23</v>
      </c>
      <c r="H2854" s="1" t="s">
        <v>774</v>
      </c>
      <c r="I2854" s="20">
        <v>1</v>
      </c>
      <c r="J2854" s="36">
        <v>0.06</v>
      </c>
    </row>
    <row r="2855" spans="2:10" x14ac:dyDescent="0.35">
      <c r="B2855" s="18">
        <v>3604307</v>
      </c>
      <c r="C2855" s="19" t="s">
        <v>4686</v>
      </c>
      <c r="D2855" s="5" t="s">
        <v>8</v>
      </c>
      <c r="E2855" s="19" t="s">
        <v>6001</v>
      </c>
      <c r="F2855" s="34" t="s">
        <v>3574</v>
      </c>
      <c r="G2855" s="27">
        <v>4.8899999999999997</v>
      </c>
      <c r="H2855" s="1" t="s">
        <v>774</v>
      </c>
      <c r="I2855" s="20">
        <v>1</v>
      </c>
      <c r="J2855" s="36">
        <v>0.06</v>
      </c>
    </row>
    <row r="2856" spans="2:10" x14ac:dyDescent="0.35">
      <c r="B2856" s="18" t="s">
        <v>3889</v>
      </c>
      <c r="C2856" s="19" t="s">
        <v>4687</v>
      </c>
      <c r="D2856" s="5" t="s">
        <v>8</v>
      </c>
      <c r="E2856" s="19" t="s">
        <v>6002</v>
      </c>
      <c r="F2856" s="34" t="s">
        <v>3574</v>
      </c>
      <c r="G2856" s="27">
        <v>2.0699999999999998</v>
      </c>
      <c r="H2856" s="1" t="s">
        <v>774</v>
      </c>
      <c r="I2856" s="20">
        <v>1</v>
      </c>
      <c r="J2856" s="36">
        <v>0.06</v>
      </c>
    </row>
    <row r="2857" spans="2:10" x14ac:dyDescent="0.35">
      <c r="B2857" s="18">
        <v>3601888</v>
      </c>
      <c r="C2857" s="19" t="s">
        <v>4688</v>
      </c>
      <c r="D2857" s="5" t="s">
        <v>8</v>
      </c>
      <c r="E2857" s="19" t="s">
        <v>6003</v>
      </c>
      <c r="F2857" s="34" t="s">
        <v>3574</v>
      </c>
      <c r="G2857" s="27">
        <v>3.75</v>
      </c>
      <c r="H2857" s="1" t="s">
        <v>774</v>
      </c>
      <c r="I2857" s="20">
        <v>1</v>
      </c>
      <c r="J2857" s="36">
        <v>0.06</v>
      </c>
    </row>
    <row r="2858" spans="2:10" x14ac:dyDescent="0.35">
      <c r="B2858" s="18">
        <v>3602210</v>
      </c>
      <c r="C2858" s="19" t="s">
        <v>4689</v>
      </c>
      <c r="D2858" s="5" t="s">
        <v>8</v>
      </c>
      <c r="E2858" s="19" t="s">
        <v>6004</v>
      </c>
      <c r="F2858" s="34" t="s">
        <v>3574</v>
      </c>
      <c r="G2858" s="27">
        <v>2.11</v>
      </c>
      <c r="H2858" s="1" t="s">
        <v>774</v>
      </c>
      <c r="I2858" s="20">
        <v>1</v>
      </c>
      <c r="J2858" s="36">
        <v>0.06</v>
      </c>
    </row>
    <row r="2859" spans="2:10" x14ac:dyDescent="0.35">
      <c r="B2859" s="18" t="s">
        <v>3890</v>
      </c>
      <c r="C2859" s="19" t="s">
        <v>4690</v>
      </c>
      <c r="D2859" s="5" t="s">
        <v>8</v>
      </c>
      <c r="E2859" s="19" t="s">
        <v>6005</v>
      </c>
      <c r="F2859" s="34" t="s">
        <v>3574</v>
      </c>
      <c r="G2859" s="27">
        <v>3.91</v>
      </c>
      <c r="H2859" s="1" t="s">
        <v>774</v>
      </c>
      <c r="I2859" s="20">
        <v>1</v>
      </c>
      <c r="J2859" s="36">
        <v>0.06</v>
      </c>
    </row>
    <row r="2860" spans="2:10" x14ac:dyDescent="0.35">
      <c r="B2860" s="18" t="s">
        <v>3891</v>
      </c>
      <c r="C2860" s="19" t="s">
        <v>4691</v>
      </c>
      <c r="D2860" s="5" t="s">
        <v>8</v>
      </c>
      <c r="E2860" s="19" t="s">
        <v>6006</v>
      </c>
      <c r="F2860" s="34" t="s">
        <v>3574</v>
      </c>
      <c r="G2860" s="27">
        <v>2.0099999999999998</v>
      </c>
      <c r="H2860" s="1" t="s">
        <v>774</v>
      </c>
      <c r="I2860" s="20">
        <v>1</v>
      </c>
      <c r="J2860" s="36">
        <v>0.06</v>
      </c>
    </row>
    <row r="2861" spans="2:10" x14ac:dyDescent="0.35">
      <c r="B2861" s="18" t="s">
        <v>3892</v>
      </c>
      <c r="C2861" s="19" t="s">
        <v>4692</v>
      </c>
      <c r="D2861" s="5" t="s">
        <v>8</v>
      </c>
      <c r="E2861" s="19" t="s">
        <v>6007</v>
      </c>
      <c r="F2861" s="34" t="s">
        <v>3574</v>
      </c>
      <c r="G2861" s="27">
        <v>2.39</v>
      </c>
      <c r="H2861" s="1" t="s">
        <v>774</v>
      </c>
      <c r="I2861" s="20">
        <v>1</v>
      </c>
      <c r="J2861" s="36">
        <v>0.06</v>
      </c>
    </row>
    <row r="2862" spans="2:10" x14ac:dyDescent="0.35">
      <c r="B2862" s="18">
        <v>1305190</v>
      </c>
      <c r="C2862" s="19" t="s">
        <v>4693</v>
      </c>
      <c r="D2862" s="5" t="s">
        <v>8</v>
      </c>
      <c r="E2862" s="19" t="s">
        <v>6008</v>
      </c>
      <c r="F2862" s="34" t="s">
        <v>3574</v>
      </c>
      <c r="G2862" s="27">
        <v>2.96</v>
      </c>
      <c r="H2862" s="1" t="s">
        <v>774</v>
      </c>
      <c r="I2862" s="20">
        <v>1</v>
      </c>
      <c r="J2862" s="36">
        <v>0.06</v>
      </c>
    </row>
    <row r="2863" spans="2:10" x14ac:dyDescent="0.35">
      <c r="B2863" s="18">
        <v>3604488</v>
      </c>
      <c r="C2863" s="19" t="s">
        <v>4694</v>
      </c>
      <c r="D2863" s="5" t="s">
        <v>8</v>
      </c>
      <c r="E2863" s="19" t="s">
        <v>6008</v>
      </c>
      <c r="F2863" s="34" t="s">
        <v>3574</v>
      </c>
      <c r="G2863" s="27">
        <v>2.96</v>
      </c>
      <c r="H2863" s="1" t="s">
        <v>774</v>
      </c>
      <c r="I2863" s="20">
        <v>1</v>
      </c>
      <c r="J2863" s="36">
        <v>0.06</v>
      </c>
    </row>
    <row r="2864" spans="2:10" x14ac:dyDescent="0.35">
      <c r="B2864" s="18" t="s">
        <v>3893</v>
      </c>
      <c r="C2864" s="19" t="s">
        <v>4695</v>
      </c>
      <c r="D2864" s="5" t="s">
        <v>8</v>
      </c>
      <c r="E2864" s="19" t="s">
        <v>6008</v>
      </c>
      <c r="F2864" s="34" t="s">
        <v>3574</v>
      </c>
      <c r="G2864" s="27">
        <v>2.96</v>
      </c>
      <c r="H2864" s="1" t="s">
        <v>774</v>
      </c>
      <c r="I2864" s="20">
        <v>1</v>
      </c>
      <c r="J2864" s="36">
        <v>0.06</v>
      </c>
    </row>
    <row r="2865" spans="2:10" x14ac:dyDescent="0.35">
      <c r="B2865" s="18" t="s">
        <v>3894</v>
      </c>
      <c r="C2865" s="19" t="s">
        <v>4677</v>
      </c>
      <c r="D2865" s="5" t="s">
        <v>8</v>
      </c>
      <c r="E2865" s="19" t="s">
        <v>6009</v>
      </c>
      <c r="F2865" s="34" t="s">
        <v>3574</v>
      </c>
      <c r="G2865" s="27">
        <v>4.2300000000000004</v>
      </c>
      <c r="H2865" s="1" t="s">
        <v>774</v>
      </c>
      <c r="I2865" s="20">
        <v>1</v>
      </c>
      <c r="J2865" s="36">
        <v>0.06</v>
      </c>
    </row>
    <row r="2866" spans="2:10" x14ac:dyDescent="0.35">
      <c r="B2866" s="18">
        <v>3604344</v>
      </c>
      <c r="C2866" s="19" t="s">
        <v>4696</v>
      </c>
      <c r="D2866" s="5" t="s">
        <v>8</v>
      </c>
      <c r="E2866" s="19" t="s">
        <v>6010</v>
      </c>
      <c r="F2866" s="34" t="s">
        <v>3574</v>
      </c>
      <c r="G2866" s="27">
        <v>2.2799999999999998</v>
      </c>
      <c r="H2866" s="1" t="s">
        <v>774</v>
      </c>
      <c r="I2866" s="20">
        <v>1</v>
      </c>
      <c r="J2866" s="36">
        <v>0.06</v>
      </c>
    </row>
    <row r="2867" spans="2:10" x14ac:dyDescent="0.35">
      <c r="B2867" s="18">
        <v>3604480</v>
      </c>
      <c r="C2867" s="19" t="s">
        <v>4697</v>
      </c>
      <c r="D2867" s="5" t="s">
        <v>8</v>
      </c>
      <c r="E2867" s="19" t="s">
        <v>6011</v>
      </c>
      <c r="F2867" s="34" t="s">
        <v>3574</v>
      </c>
      <c r="G2867" s="27">
        <v>5.87</v>
      </c>
      <c r="H2867" s="1" t="s">
        <v>774</v>
      </c>
      <c r="I2867" s="20">
        <v>1</v>
      </c>
      <c r="J2867" s="36">
        <v>0.06</v>
      </c>
    </row>
    <row r="2868" spans="2:10" x14ac:dyDescent="0.35">
      <c r="B2868" s="18">
        <v>3603300</v>
      </c>
      <c r="C2868" s="19" t="s">
        <v>4698</v>
      </c>
      <c r="D2868" s="5" t="s">
        <v>8</v>
      </c>
      <c r="E2868" s="19" t="s">
        <v>6012</v>
      </c>
      <c r="F2868" s="34" t="s">
        <v>3574</v>
      </c>
      <c r="G2868" s="27">
        <v>2.4500000000000002</v>
      </c>
      <c r="H2868" s="1" t="s">
        <v>774</v>
      </c>
      <c r="I2868" s="20">
        <v>1</v>
      </c>
      <c r="J2868" s="36">
        <v>0.06</v>
      </c>
    </row>
    <row r="2869" spans="2:10" x14ac:dyDescent="0.35">
      <c r="B2869" s="18">
        <v>1131347</v>
      </c>
      <c r="C2869" s="19" t="s">
        <v>4699</v>
      </c>
      <c r="D2869" s="5" t="s">
        <v>8</v>
      </c>
      <c r="E2869" s="19" t="s">
        <v>6013</v>
      </c>
      <c r="F2869" s="34" t="s">
        <v>3574</v>
      </c>
      <c r="G2869" s="27">
        <v>3.85</v>
      </c>
      <c r="H2869" s="1" t="s">
        <v>774</v>
      </c>
      <c r="I2869" s="20">
        <v>1</v>
      </c>
      <c r="J2869" s="36">
        <v>0.06</v>
      </c>
    </row>
    <row r="2870" spans="2:10" x14ac:dyDescent="0.35">
      <c r="B2870" s="18" t="s">
        <v>3895</v>
      </c>
      <c r="C2870" s="19" t="s">
        <v>4220</v>
      </c>
      <c r="D2870" s="5" t="s">
        <v>8</v>
      </c>
      <c r="E2870" s="19" t="s">
        <v>6014</v>
      </c>
      <c r="F2870" s="34" t="s">
        <v>3574</v>
      </c>
      <c r="G2870" s="27">
        <v>6.41</v>
      </c>
      <c r="H2870" s="1" t="s">
        <v>774</v>
      </c>
      <c r="I2870" s="20">
        <v>1</v>
      </c>
      <c r="J2870" s="36">
        <v>0.06</v>
      </c>
    </row>
    <row r="2871" spans="2:10" x14ac:dyDescent="0.35">
      <c r="B2871" s="18">
        <v>4001108</v>
      </c>
      <c r="C2871" s="19" t="s">
        <v>4700</v>
      </c>
      <c r="D2871" s="5" t="s">
        <v>8</v>
      </c>
      <c r="E2871" s="19" t="s">
        <v>6015</v>
      </c>
      <c r="F2871" s="34" t="s">
        <v>3574</v>
      </c>
      <c r="G2871" s="27">
        <v>3.51</v>
      </c>
      <c r="H2871" s="1" t="s">
        <v>774</v>
      </c>
      <c r="I2871" s="20">
        <v>1</v>
      </c>
      <c r="J2871" s="36">
        <v>0.06</v>
      </c>
    </row>
    <row r="2872" spans="2:10" x14ac:dyDescent="0.35">
      <c r="B2872" s="18">
        <v>3601364</v>
      </c>
      <c r="C2872" s="19" t="s">
        <v>4701</v>
      </c>
      <c r="D2872" s="5" t="s">
        <v>8</v>
      </c>
      <c r="E2872" s="19" t="s">
        <v>6016</v>
      </c>
      <c r="F2872" s="34" t="s">
        <v>3574</v>
      </c>
      <c r="G2872" s="27">
        <v>6.13</v>
      </c>
      <c r="H2872" s="1" t="s">
        <v>774</v>
      </c>
      <c r="I2872" s="20">
        <v>1</v>
      </c>
      <c r="J2872" s="36">
        <v>0.06</v>
      </c>
    </row>
    <row r="2873" spans="2:10" x14ac:dyDescent="0.35">
      <c r="B2873" s="18">
        <v>3604284</v>
      </c>
      <c r="C2873" s="19" t="s">
        <v>4702</v>
      </c>
      <c r="D2873" s="5" t="s">
        <v>8</v>
      </c>
      <c r="E2873" s="19" t="s">
        <v>6017</v>
      </c>
      <c r="F2873" s="34" t="s">
        <v>3574</v>
      </c>
      <c r="G2873" s="27">
        <v>5.74</v>
      </c>
      <c r="H2873" s="1" t="s">
        <v>774</v>
      </c>
      <c r="I2873" s="20">
        <v>1</v>
      </c>
      <c r="J2873" s="36">
        <v>0.06</v>
      </c>
    </row>
    <row r="2874" spans="2:10" x14ac:dyDescent="0.35">
      <c r="B2874" s="18">
        <v>3603600</v>
      </c>
      <c r="C2874" s="19" t="s">
        <v>4703</v>
      </c>
      <c r="D2874" s="5" t="s">
        <v>8</v>
      </c>
      <c r="E2874" s="19" t="s">
        <v>6018</v>
      </c>
      <c r="F2874" s="34" t="s">
        <v>3574</v>
      </c>
      <c r="G2874" s="27">
        <v>4.9800000000000004</v>
      </c>
      <c r="H2874" s="1" t="s">
        <v>774</v>
      </c>
      <c r="I2874" s="20">
        <v>1</v>
      </c>
      <c r="J2874" s="36">
        <v>0.06</v>
      </c>
    </row>
    <row r="2875" spans="2:10" x14ac:dyDescent="0.35">
      <c r="B2875" s="18">
        <v>800002708</v>
      </c>
      <c r="C2875" s="19" t="s">
        <v>4704</v>
      </c>
      <c r="D2875" s="5" t="s">
        <v>8</v>
      </c>
      <c r="E2875" s="19" t="s">
        <v>6019</v>
      </c>
      <c r="F2875" s="34" t="s">
        <v>3574</v>
      </c>
      <c r="G2875" s="27">
        <v>6.27</v>
      </c>
      <c r="H2875" s="1" t="s">
        <v>774</v>
      </c>
      <c r="I2875" s="20">
        <v>1</v>
      </c>
      <c r="J2875" s="36">
        <v>0.06</v>
      </c>
    </row>
    <row r="2876" spans="2:10" x14ac:dyDescent="0.35">
      <c r="B2876" s="18" t="s">
        <v>3896</v>
      </c>
      <c r="C2876" s="19" t="s">
        <v>4677</v>
      </c>
      <c r="D2876" s="5" t="s">
        <v>8</v>
      </c>
      <c r="E2876" s="19" t="s">
        <v>6020</v>
      </c>
      <c r="F2876" s="34" t="s">
        <v>3574</v>
      </c>
      <c r="G2876" s="27">
        <v>6.18</v>
      </c>
      <c r="H2876" s="1" t="s">
        <v>774</v>
      </c>
      <c r="I2876" s="20">
        <v>1</v>
      </c>
      <c r="J2876" s="36">
        <v>0.06</v>
      </c>
    </row>
    <row r="2877" spans="2:10" x14ac:dyDescent="0.35">
      <c r="B2877" s="18" t="s">
        <v>3897</v>
      </c>
      <c r="C2877" s="19" t="s">
        <v>4220</v>
      </c>
      <c r="D2877" s="5" t="s">
        <v>8</v>
      </c>
      <c r="E2877" s="19" t="s">
        <v>6021</v>
      </c>
      <c r="F2877" s="34" t="s">
        <v>3574</v>
      </c>
      <c r="G2877" s="27">
        <v>12.3</v>
      </c>
      <c r="H2877" s="1" t="s">
        <v>774</v>
      </c>
      <c r="I2877" s="20">
        <v>1</v>
      </c>
      <c r="J2877" s="36">
        <v>0.06</v>
      </c>
    </row>
    <row r="2878" spans="2:10" x14ac:dyDescent="0.35">
      <c r="B2878" s="18">
        <v>1361015</v>
      </c>
      <c r="C2878" s="19" t="s">
        <v>4705</v>
      </c>
      <c r="D2878" s="5" t="s">
        <v>8</v>
      </c>
      <c r="E2878" s="19" t="s">
        <v>6022</v>
      </c>
      <c r="F2878" s="34" t="s">
        <v>3574</v>
      </c>
      <c r="G2878" s="27">
        <v>9.5500000000000007</v>
      </c>
      <c r="H2878" s="1" t="s">
        <v>774</v>
      </c>
      <c r="I2878" s="20">
        <v>1</v>
      </c>
      <c r="J2878" s="36">
        <v>0.06</v>
      </c>
    </row>
    <row r="2879" spans="2:10" x14ac:dyDescent="0.35">
      <c r="B2879" s="18">
        <v>4001751</v>
      </c>
      <c r="C2879" s="19" t="s">
        <v>4706</v>
      </c>
      <c r="D2879" s="5" t="s">
        <v>8</v>
      </c>
      <c r="E2879" s="19" t="s">
        <v>6023</v>
      </c>
      <c r="F2879" s="34" t="s">
        <v>3574</v>
      </c>
      <c r="G2879" s="27">
        <v>9.68</v>
      </c>
      <c r="H2879" s="1" t="s">
        <v>774</v>
      </c>
      <c r="I2879" s="20">
        <v>1</v>
      </c>
      <c r="J2879" s="36">
        <v>0.06</v>
      </c>
    </row>
    <row r="2880" spans="2:10" x14ac:dyDescent="0.35">
      <c r="B2880" s="18" t="s">
        <v>3898</v>
      </c>
      <c r="C2880" s="19" t="s">
        <v>4220</v>
      </c>
      <c r="D2880" s="5" t="s">
        <v>8</v>
      </c>
      <c r="E2880" s="19" t="s">
        <v>6024</v>
      </c>
      <c r="F2880" s="34" t="s">
        <v>3574</v>
      </c>
      <c r="G2880" s="27">
        <v>13.92</v>
      </c>
      <c r="H2880" s="1" t="s">
        <v>774</v>
      </c>
      <c r="I2880" s="20">
        <v>1</v>
      </c>
      <c r="J2880" s="36">
        <v>0.06</v>
      </c>
    </row>
    <row r="2881" spans="2:10" x14ac:dyDescent="0.35">
      <c r="B2881" s="18" t="s">
        <v>3899</v>
      </c>
      <c r="C2881" s="19" t="s">
        <v>4707</v>
      </c>
      <c r="D2881" s="5" t="s">
        <v>8</v>
      </c>
      <c r="E2881" s="19" t="s">
        <v>6025</v>
      </c>
      <c r="F2881" s="34" t="s">
        <v>3574</v>
      </c>
      <c r="G2881" s="27">
        <v>3.65</v>
      </c>
      <c r="H2881" s="1" t="s">
        <v>774</v>
      </c>
      <c r="I2881" s="20">
        <v>1</v>
      </c>
      <c r="J2881" s="36">
        <v>0.06</v>
      </c>
    </row>
    <row r="2882" spans="2:10" x14ac:dyDescent="0.35">
      <c r="B2882" s="18">
        <v>1361153</v>
      </c>
      <c r="C2882" s="19" t="s">
        <v>4708</v>
      </c>
      <c r="D2882" s="5" t="s">
        <v>8</v>
      </c>
      <c r="E2882" s="19" t="s">
        <v>6026</v>
      </c>
      <c r="F2882" s="34" t="s">
        <v>3574</v>
      </c>
      <c r="G2882" s="27">
        <v>4.71</v>
      </c>
      <c r="H2882" s="1" t="s">
        <v>774</v>
      </c>
      <c r="I2882" s="20">
        <v>1</v>
      </c>
      <c r="J2882" s="36">
        <v>0.06</v>
      </c>
    </row>
    <row r="2883" spans="2:10" x14ac:dyDescent="0.35">
      <c r="B2883" s="18" t="s">
        <v>3900</v>
      </c>
      <c r="C2883" s="19" t="s">
        <v>4709</v>
      </c>
      <c r="D2883" s="5" t="s">
        <v>8</v>
      </c>
      <c r="E2883" s="19" t="s">
        <v>6027</v>
      </c>
      <c r="F2883" s="34" t="s">
        <v>3574</v>
      </c>
      <c r="G2883" s="27">
        <v>4.01</v>
      </c>
      <c r="H2883" s="1" t="s">
        <v>774</v>
      </c>
      <c r="I2883" s="20">
        <v>1</v>
      </c>
      <c r="J2883" s="36">
        <v>0.06</v>
      </c>
    </row>
    <row r="2884" spans="2:10" x14ac:dyDescent="0.35">
      <c r="B2884" s="18" t="s">
        <v>3901</v>
      </c>
      <c r="C2884" s="19" t="s">
        <v>4220</v>
      </c>
      <c r="D2884" s="5" t="s">
        <v>8</v>
      </c>
      <c r="E2884" s="19" t="s">
        <v>6028</v>
      </c>
      <c r="F2884" s="34" t="s">
        <v>3574</v>
      </c>
      <c r="G2884" s="27">
        <v>3.87</v>
      </c>
      <c r="H2884" s="1" t="s">
        <v>774</v>
      </c>
      <c r="I2884" s="20">
        <v>1</v>
      </c>
      <c r="J2884" s="36">
        <v>0.06</v>
      </c>
    </row>
    <row r="2885" spans="2:10" x14ac:dyDescent="0.35">
      <c r="B2885" s="18" t="s">
        <v>3902</v>
      </c>
      <c r="C2885" s="19" t="s">
        <v>4220</v>
      </c>
      <c r="D2885" s="5" t="s">
        <v>8</v>
      </c>
      <c r="E2885" s="19" t="s">
        <v>6029</v>
      </c>
      <c r="F2885" s="34" t="s">
        <v>3574</v>
      </c>
      <c r="G2885" s="27">
        <v>2.75</v>
      </c>
      <c r="H2885" s="1" t="s">
        <v>774</v>
      </c>
      <c r="I2885" s="20">
        <v>1</v>
      </c>
      <c r="J2885" s="36">
        <v>0.06</v>
      </c>
    </row>
    <row r="2886" spans="2:10" x14ac:dyDescent="0.35">
      <c r="B2886" s="18" t="s">
        <v>3903</v>
      </c>
      <c r="C2886" s="19" t="s">
        <v>4220</v>
      </c>
      <c r="D2886" s="5" t="s">
        <v>8</v>
      </c>
      <c r="E2886" s="19" t="s">
        <v>6030</v>
      </c>
      <c r="F2886" s="34" t="s">
        <v>3574</v>
      </c>
      <c r="G2886" s="27">
        <v>6.19</v>
      </c>
      <c r="H2886" s="1" t="s">
        <v>774</v>
      </c>
      <c r="I2886" s="20">
        <v>1</v>
      </c>
      <c r="J2886" s="36">
        <v>0.06</v>
      </c>
    </row>
    <row r="2887" spans="2:10" x14ac:dyDescent="0.35">
      <c r="B2887" s="18" t="s">
        <v>3904</v>
      </c>
      <c r="C2887" s="19" t="s">
        <v>4710</v>
      </c>
      <c r="D2887" s="5" t="s">
        <v>8</v>
      </c>
      <c r="E2887" s="19" t="s">
        <v>6030</v>
      </c>
      <c r="F2887" s="34" t="s">
        <v>3574</v>
      </c>
      <c r="G2887" s="27">
        <v>6.19</v>
      </c>
      <c r="H2887" s="1" t="s">
        <v>774</v>
      </c>
      <c r="I2887" s="20">
        <v>1</v>
      </c>
      <c r="J2887" s="36">
        <v>0.06</v>
      </c>
    </row>
    <row r="2888" spans="2:10" x14ac:dyDescent="0.35">
      <c r="B2888" s="18">
        <v>3604155</v>
      </c>
      <c r="C2888" s="19" t="s">
        <v>4711</v>
      </c>
      <c r="D2888" s="5" t="s">
        <v>8</v>
      </c>
      <c r="E2888" s="19" t="s">
        <v>6031</v>
      </c>
      <c r="F2888" s="34" t="s">
        <v>3574</v>
      </c>
      <c r="G2888" s="27">
        <v>6.37</v>
      </c>
      <c r="H2888" s="1" t="s">
        <v>774</v>
      </c>
      <c r="I2888" s="20">
        <v>1</v>
      </c>
      <c r="J2888" s="36">
        <v>0.06</v>
      </c>
    </row>
    <row r="2889" spans="2:10" x14ac:dyDescent="0.35">
      <c r="B2889" s="18" t="s">
        <v>3905</v>
      </c>
      <c r="C2889" s="19" t="s">
        <v>4220</v>
      </c>
      <c r="D2889" s="5" t="s">
        <v>8</v>
      </c>
      <c r="E2889" s="19" t="s">
        <v>6032</v>
      </c>
      <c r="F2889" s="34" t="s">
        <v>3574</v>
      </c>
      <c r="G2889" s="27">
        <v>6.51</v>
      </c>
      <c r="H2889" s="1" t="s">
        <v>774</v>
      </c>
      <c r="I2889" s="20">
        <v>1</v>
      </c>
      <c r="J2889" s="36">
        <v>0.06</v>
      </c>
    </row>
    <row r="2890" spans="2:10" x14ac:dyDescent="0.35">
      <c r="B2890" s="18">
        <v>800001868</v>
      </c>
      <c r="C2890" s="19" t="s">
        <v>4220</v>
      </c>
      <c r="D2890" s="5" t="s">
        <v>8</v>
      </c>
      <c r="E2890" s="19" t="s">
        <v>6033</v>
      </c>
      <c r="F2890" s="34" t="s">
        <v>3574</v>
      </c>
      <c r="G2890" s="27">
        <v>6.6499999999999995</v>
      </c>
      <c r="H2890" s="1" t="s">
        <v>774</v>
      </c>
      <c r="I2890" s="20">
        <v>1</v>
      </c>
      <c r="J2890" s="36">
        <v>0.06</v>
      </c>
    </row>
    <row r="2891" spans="2:10" x14ac:dyDescent="0.35">
      <c r="B2891" s="18">
        <v>3601877</v>
      </c>
      <c r="C2891" s="19" t="s">
        <v>4712</v>
      </c>
      <c r="D2891" s="5" t="s">
        <v>8</v>
      </c>
      <c r="E2891" s="19" t="s">
        <v>6034</v>
      </c>
      <c r="F2891" s="34" t="s">
        <v>3574</v>
      </c>
      <c r="G2891" s="27">
        <v>4.7</v>
      </c>
      <c r="H2891" s="1" t="s">
        <v>774</v>
      </c>
      <c r="I2891" s="20">
        <v>1</v>
      </c>
      <c r="J2891" s="36">
        <v>0.06</v>
      </c>
    </row>
    <row r="2892" spans="2:10" x14ac:dyDescent="0.35">
      <c r="B2892" s="18">
        <v>3602783</v>
      </c>
      <c r="C2892" s="19" t="s">
        <v>4713</v>
      </c>
      <c r="D2892" s="5" t="s">
        <v>8</v>
      </c>
      <c r="E2892" s="19" t="s">
        <v>6035</v>
      </c>
      <c r="F2892" s="34" t="s">
        <v>3574</v>
      </c>
      <c r="G2892" s="27">
        <v>4.7</v>
      </c>
      <c r="H2892" s="1" t="s">
        <v>774</v>
      </c>
      <c r="I2892" s="20">
        <v>1</v>
      </c>
      <c r="J2892" s="36">
        <v>0.06</v>
      </c>
    </row>
    <row r="2893" spans="2:10" x14ac:dyDescent="0.35">
      <c r="B2893" s="18">
        <v>4000964</v>
      </c>
      <c r="C2893" s="19" t="s">
        <v>4714</v>
      </c>
      <c r="D2893" s="5" t="s">
        <v>8</v>
      </c>
      <c r="E2893" s="19" t="s">
        <v>6036</v>
      </c>
      <c r="F2893" s="34" t="s">
        <v>3574</v>
      </c>
      <c r="G2893" s="27">
        <v>5.36</v>
      </c>
      <c r="H2893" s="1" t="s">
        <v>774</v>
      </c>
      <c r="I2893" s="20">
        <v>1</v>
      </c>
      <c r="J2893" s="36">
        <v>0.06</v>
      </c>
    </row>
    <row r="2894" spans="2:10" x14ac:dyDescent="0.35">
      <c r="B2894" s="18">
        <v>1361140</v>
      </c>
      <c r="C2894" s="19" t="s">
        <v>4715</v>
      </c>
      <c r="D2894" s="5" t="s">
        <v>8</v>
      </c>
      <c r="E2894" s="19" t="s">
        <v>6037</v>
      </c>
      <c r="F2894" s="34" t="s">
        <v>3574</v>
      </c>
      <c r="G2894" s="27">
        <v>3.94</v>
      </c>
      <c r="H2894" s="1" t="s">
        <v>774</v>
      </c>
      <c r="I2894" s="20">
        <v>1</v>
      </c>
      <c r="J2894" s="36">
        <v>0.06</v>
      </c>
    </row>
    <row r="2895" spans="2:10" x14ac:dyDescent="0.35">
      <c r="B2895" s="18">
        <v>3603794</v>
      </c>
      <c r="C2895" s="19" t="s">
        <v>4716</v>
      </c>
      <c r="D2895" s="5" t="s">
        <v>8</v>
      </c>
      <c r="E2895" s="19" t="s">
        <v>6038</v>
      </c>
      <c r="F2895" s="34" t="s">
        <v>3574</v>
      </c>
      <c r="G2895" s="27">
        <v>5.46</v>
      </c>
      <c r="H2895" s="1" t="s">
        <v>774</v>
      </c>
      <c r="I2895" s="20">
        <v>1</v>
      </c>
      <c r="J2895" s="36">
        <v>0.06</v>
      </c>
    </row>
    <row r="2896" spans="2:10" x14ac:dyDescent="0.35">
      <c r="B2896" s="18">
        <v>3601835</v>
      </c>
      <c r="C2896" s="19" t="s">
        <v>4717</v>
      </c>
      <c r="D2896" s="5" t="s">
        <v>8</v>
      </c>
      <c r="E2896" s="19" t="s">
        <v>6039</v>
      </c>
      <c r="F2896" s="34" t="s">
        <v>3574</v>
      </c>
      <c r="G2896" s="27">
        <v>4.8</v>
      </c>
      <c r="H2896" s="1" t="s">
        <v>774</v>
      </c>
      <c r="I2896" s="20">
        <v>1</v>
      </c>
      <c r="J2896" s="36">
        <v>0.06</v>
      </c>
    </row>
    <row r="2897" spans="2:10" x14ac:dyDescent="0.35">
      <c r="B2897" s="18">
        <v>3601240</v>
      </c>
      <c r="C2897" s="19" t="s">
        <v>4718</v>
      </c>
      <c r="D2897" s="5" t="s">
        <v>8</v>
      </c>
      <c r="E2897" s="19" t="s">
        <v>6040</v>
      </c>
      <c r="F2897" s="34" t="s">
        <v>3574</v>
      </c>
      <c r="G2897" s="27">
        <v>4.6100000000000003</v>
      </c>
      <c r="H2897" s="1" t="s">
        <v>774</v>
      </c>
      <c r="I2897" s="20">
        <v>1</v>
      </c>
      <c r="J2897" s="36">
        <v>0.06</v>
      </c>
    </row>
    <row r="2898" spans="2:10" x14ac:dyDescent="0.35">
      <c r="B2898" s="18">
        <v>800000276</v>
      </c>
      <c r="C2898" s="19" t="s">
        <v>4719</v>
      </c>
      <c r="D2898" s="5" t="s">
        <v>8</v>
      </c>
      <c r="E2898" s="19" t="s">
        <v>6041</v>
      </c>
      <c r="F2898" s="34" t="s">
        <v>3574</v>
      </c>
      <c r="G2898" s="27">
        <v>4.2699999999999996</v>
      </c>
      <c r="H2898" s="1" t="s">
        <v>774</v>
      </c>
      <c r="I2898" s="20">
        <v>1</v>
      </c>
      <c r="J2898" s="36">
        <v>0.06</v>
      </c>
    </row>
    <row r="2899" spans="2:10" x14ac:dyDescent="0.35">
      <c r="B2899" s="18">
        <v>3604350</v>
      </c>
      <c r="C2899" s="19" t="s">
        <v>4720</v>
      </c>
      <c r="D2899" s="5" t="s">
        <v>8</v>
      </c>
      <c r="E2899" s="19" t="s">
        <v>6042</v>
      </c>
      <c r="F2899" s="34" t="s">
        <v>3574</v>
      </c>
      <c r="G2899" s="27">
        <v>3.91</v>
      </c>
      <c r="H2899" s="1" t="s">
        <v>774</v>
      </c>
      <c r="I2899" s="20">
        <v>1</v>
      </c>
      <c r="J2899" s="36">
        <v>0.06</v>
      </c>
    </row>
    <row r="2900" spans="2:10" x14ac:dyDescent="0.35">
      <c r="B2900" s="18">
        <v>3601237</v>
      </c>
      <c r="C2900" s="19" t="s">
        <v>4721</v>
      </c>
      <c r="D2900" s="5" t="s">
        <v>8</v>
      </c>
      <c r="E2900" s="19" t="s">
        <v>6043</v>
      </c>
      <c r="F2900" s="34" t="s">
        <v>3574</v>
      </c>
      <c r="G2900" s="27">
        <v>3.91</v>
      </c>
      <c r="H2900" s="1" t="s">
        <v>774</v>
      </c>
      <c r="I2900" s="20">
        <v>1</v>
      </c>
      <c r="J2900" s="36">
        <v>0.06</v>
      </c>
    </row>
    <row r="2901" spans="2:10" x14ac:dyDescent="0.35">
      <c r="B2901" s="18">
        <v>3601520</v>
      </c>
      <c r="C2901" s="19" t="s">
        <v>4722</v>
      </c>
      <c r="D2901" s="5" t="s">
        <v>8</v>
      </c>
      <c r="E2901" s="19" t="s">
        <v>6044</v>
      </c>
      <c r="F2901" s="34" t="s">
        <v>3574</v>
      </c>
      <c r="G2901" s="27">
        <v>3.2</v>
      </c>
      <c r="H2901" s="1" t="s">
        <v>774</v>
      </c>
      <c r="I2901" s="20">
        <v>1</v>
      </c>
      <c r="J2901" s="36">
        <v>0.06</v>
      </c>
    </row>
    <row r="2902" spans="2:10" x14ac:dyDescent="0.35">
      <c r="B2902" s="18" t="s">
        <v>3906</v>
      </c>
      <c r="C2902" s="19" t="s">
        <v>4220</v>
      </c>
      <c r="D2902" s="5" t="s">
        <v>8</v>
      </c>
      <c r="E2902" s="19" t="s">
        <v>6044</v>
      </c>
      <c r="F2902" s="34" t="s">
        <v>3574</v>
      </c>
      <c r="G2902" s="27">
        <v>3.2</v>
      </c>
      <c r="H2902" s="1" t="s">
        <v>774</v>
      </c>
      <c r="I2902" s="20">
        <v>1</v>
      </c>
      <c r="J2902" s="36">
        <v>0.06</v>
      </c>
    </row>
    <row r="2903" spans="2:10" x14ac:dyDescent="0.35">
      <c r="B2903" s="18">
        <v>4020049</v>
      </c>
      <c r="C2903" s="19" t="s">
        <v>4723</v>
      </c>
      <c r="D2903" s="5" t="s">
        <v>8</v>
      </c>
      <c r="E2903" s="19" t="s">
        <v>6045</v>
      </c>
      <c r="F2903" s="34" t="s">
        <v>3574</v>
      </c>
      <c r="G2903" s="27">
        <v>2.2799999999999998</v>
      </c>
      <c r="H2903" s="1" t="s">
        <v>774</v>
      </c>
      <c r="I2903" s="20">
        <v>1</v>
      </c>
      <c r="J2903" s="36">
        <v>0.06</v>
      </c>
    </row>
    <row r="2904" spans="2:10" x14ac:dyDescent="0.35">
      <c r="B2904" s="18">
        <v>3603793</v>
      </c>
      <c r="C2904" s="19" t="s">
        <v>4724</v>
      </c>
      <c r="D2904" s="5" t="s">
        <v>8</v>
      </c>
      <c r="E2904" s="19" t="s">
        <v>6046</v>
      </c>
      <c r="F2904" s="34" t="s">
        <v>3574</v>
      </c>
      <c r="G2904" s="27">
        <v>2.94</v>
      </c>
      <c r="H2904" s="1" t="s">
        <v>774</v>
      </c>
      <c r="I2904" s="20">
        <v>1</v>
      </c>
      <c r="J2904" s="36">
        <v>0.06</v>
      </c>
    </row>
    <row r="2905" spans="2:10" x14ac:dyDescent="0.35">
      <c r="B2905" s="18" t="s">
        <v>3907</v>
      </c>
      <c r="C2905" s="19" t="s">
        <v>4725</v>
      </c>
      <c r="D2905" s="5" t="s">
        <v>8</v>
      </c>
      <c r="E2905" s="19" t="s">
        <v>6046</v>
      </c>
      <c r="F2905" s="34" t="s">
        <v>3574</v>
      </c>
      <c r="G2905" s="27">
        <v>2.88</v>
      </c>
      <c r="H2905" s="1" t="s">
        <v>774</v>
      </c>
      <c r="I2905" s="20">
        <v>1</v>
      </c>
      <c r="J2905" s="36">
        <v>0.06</v>
      </c>
    </row>
    <row r="2906" spans="2:10" x14ac:dyDescent="0.35">
      <c r="B2906" s="18" t="s">
        <v>3908</v>
      </c>
      <c r="C2906" s="19" t="s">
        <v>4220</v>
      </c>
      <c r="D2906" s="5" t="s">
        <v>8</v>
      </c>
      <c r="E2906" s="19" t="s">
        <v>6047</v>
      </c>
      <c r="F2906" s="34" t="s">
        <v>3574</v>
      </c>
      <c r="G2906" s="27">
        <v>3.57</v>
      </c>
      <c r="H2906" s="1" t="s">
        <v>774</v>
      </c>
      <c r="I2906" s="20">
        <v>1</v>
      </c>
      <c r="J2906" s="36">
        <v>0.06</v>
      </c>
    </row>
    <row r="2907" spans="2:10" x14ac:dyDescent="0.35">
      <c r="B2907" s="18" t="s">
        <v>3909</v>
      </c>
      <c r="C2907" s="19" t="s">
        <v>4726</v>
      </c>
      <c r="D2907" s="5" t="s">
        <v>8</v>
      </c>
      <c r="E2907" s="19" t="s">
        <v>6047</v>
      </c>
      <c r="F2907" s="34" t="s">
        <v>3574</v>
      </c>
      <c r="G2907" s="27">
        <v>3.57</v>
      </c>
      <c r="H2907" s="1" t="s">
        <v>774</v>
      </c>
      <c r="I2907" s="20">
        <v>1</v>
      </c>
      <c r="J2907" s="36">
        <v>0.06</v>
      </c>
    </row>
    <row r="2908" spans="2:10" x14ac:dyDescent="0.35">
      <c r="B2908" s="18" t="s">
        <v>3910</v>
      </c>
      <c r="C2908" s="19" t="s">
        <v>4727</v>
      </c>
      <c r="D2908" s="5" t="s">
        <v>8</v>
      </c>
      <c r="E2908" s="19" t="s">
        <v>6048</v>
      </c>
      <c r="F2908" s="34" t="s">
        <v>3574</v>
      </c>
      <c r="G2908" s="27">
        <v>5.22</v>
      </c>
      <c r="H2908" s="1" t="s">
        <v>774</v>
      </c>
      <c r="I2908" s="20">
        <v>1</v>
      </c>
      <c r="J2908" s="36">
        <v>0.06</v>
      </c>
    </row>
    <row r="2909" spans="2:10" x14ac:dyDescent="0.35">
      <c r="B2909" s="18" t="s">
        <v>3911</v>
      </c>
      <c r="C2909" s="19" t="s">
        <v>4727</v>
      </c>
      <c r="D2909" s="5" t="s">
        <v>8</v>
      </c>
      <c r="E2909" s="19" t="s">
        <v>6049</v>
      </c>
      <c r="F2909" s="34" t="s">
        <v>3574</v>
      </c>
      <c r="G2909" s="27">
        <v>2.82</v>
      </c>
      <c r="H2909" s="1" t="s">
        <v>774</v>
      </c>
      <c r="I2909" s="20">
        <v>1</v>
      </c>
      <c r="J2909" s="36">
        <v>0.06</v>
      </c>
    </row>
    <row r="2910" spans="2:10" x14ac:dyDescent="0.35">
      <c r="B2910" s="18" t="s">
        <v>3912</v>
      </c>
      <c r="C2910" s="19" t="s">
        <v>4728</v>
      </c>
      <c r="D2910" s="5" t="s">
        <v>8</v>
      </c>
      <c r="E2910" s="19" t="s">
        <v>6050</v>
      </c>
      <c r="F2910" s="34" t="s">
        <v>3574</v>
      </c>
      <c r="G2910" s="27">
        <v>2.95</v>
      </c>
      <c r="H2910" s="1" t="s">
        <v>774</v>
      </c>
      <c r="I2910" s="20">
        <v>1</v>
      </c>
      <c r="J2910" s="36">
        <v>0.06</v>
      </c>
    </row>
    <row r="2911" spans="2:10" x14ac:dyDescent="0.35">
      <c r="B2911" s="18" t="s">
        <v>3913</v>
      </c>
      <c r="C2911" s="19" t="s">
        <v>4729</v>
      </c>
      <c r="D2911" s="5" t="s">
        <v>8</v>
      </c>
      <c r="E2911" s="19" t="s">
        <v>6050</v>
      </c>
      <c r="F2911" s="34" t="s">
        <v>3574</v>
      </c>
      <c r="G2911" s="27">
        <v>2.95</v>
      </c>
      <c r="H2911" s="1" t="s">
        <v>774</v>
      </c>
      <c r="I2911" s="20">
        <v>1</v>
      </c>
      <c r="J2911" s="36">
        <v>0.06</v>
      </c>
    </row>
    <row r="2912" spans="2:10" x14ac:dyDescent="0.35">
      <c r="B2912" s="18">
        <v>1305208</v>
      </c>
      <c r="C2912" s="19" t="s">
        <v>4730</v>
      </c>
      <c r="D2912" s="5" t="s">
        <v>8</v>
      </c>
      <c r="E2912" s="19" t="s">
        <v>6051</v>
      </c>
      <c r="F2912" s="34" t="s">
        <v>3574</v>
      </c>
      <c r="G2912" s="27">
        <v>2.38</v>
      </c>
      <c r="H2912" s="1" t="s">
        <v>774</v>
      </c>
      <c r="I2912" s="20">
        <v>1</v>
      </c>
      <c r="J2912" s="36">
        <v>0.06</v>
      </c>
    </row>
    <row r="2913" spans="2:10" x14ac:dyDescent="0.35">
      <c r="B2913" s="18" t="s">
        <v>3914</v>
      </c>
      <c r="C2913" s="19" t="s">
        <v>4220</v>
      </c>
      <c r="D2913" s="5" t="s">
        <v>8</v>
      </c>
      <c r="E2913" s="19" t="s">
        <v>6052</v>
      </c>
      <c r="F2913" s="34" t="s">
        <v>3574</v>
      </c>
      <c r="G2913" s="27">
        <v>3.21</v>
      </c>
      <c r="H2913" s="1" t="s">
        <v>774</v>
      </c>
      <c r="I2913" s="20">
        <v>1</v>
      </c>
      <c r="J2913" s="36">
        <v>0.06</v>
      </c>
    </row>
    <row r="2914" spans="2:10" x14ac:dyDescent="0.35">
      <c r="B2914" s="18" t="s">
        <v>3915</v>
      </c>
      <c r="C2914" s="19" t="s">
        <v>4731</v>
      </c>
      <c r="D2914" s="5" t="s">
        <v>8</v>
      </c>
      <c r="E2914" s="19" t="s">
        <v>6053</v>
      </c>
      <c r="F2914" s="34" t="s">
        <v>3574</v>
      </c>
      <c r="G2914" s="27">
        <v>5.37</v>
      </c>
      <c r="H2914" s="1" t="s">
        <v>774</v>
      </c>
      <c r="I2914" s="20">
        <v>1</v>
      </c>
      <c r="J2914" s="36">
        <v>0.06</v>
      </c>
    </row>
    <row r="2915" spans="2:10" x14ac:dyDescent="0.35">
      <c r="B2915" s="18" t="s">
        <v>3916</v>
      </c>
      <c r="C2915" s="19" t="s">
        <v>4732</v>
      </c>
      <c r="D2915" s="5" t="s">
        <v>8</v>
      </c>
      <c r="E2915" s="19" t="s">
        <v>6054</v>
      </c>
      <c r="F2915" s="34" t="s">
        <v>3574</v>
      </c>
      <c r="G2915" s="27">
        <v>2.2799999999999998</v>
      </c>
      <c r="H2915" s="1" t="s">
        <v>774</v>
      </c>
      <c r="I2915" s="20">
        <v>1</v>
      </c>
      <c r="J2915" s="36">
        <v>0.06</v>
      </c>
    </row>
    <row r="2916" spans="2:10" x14ac:dyDescent="0.35">
      <c r="B2916" s="18">
        <v>800003268</v>
      </c>
      <c r="C2916" s="19" t="s">
        <v>4733</v>
      </c>
      <c r="D2916" s="5" t="s">
        <v>8</v>
      </c>
      <c r="E2916" s="19" t="s">
        <v>6055</v>
      </c>
      <c r="F2916" s="34" t="s">
        <v>3574</v>
      </c>
      <c r="G2916" s="27">
        <v>5.75</v>
      </c>
      <c r="H2916" s="1" t="s">
        <v>774</v>
      </c>
      <c r="I2916" s="20">
        <v>1</v>
      </c>
      <c r="J2916" s="36">
        <v>0.06</v>
      </c>
    </row>
    <row r="2917" spans="2:10" x14ac:dyDescent="0.35">
      <c r="B2917" s="18" t="s">
        <v>3917</v>
      </c>
      <c r="C2917" s="19" t="s">
        <v>4727</v>
      </c>
      <c r="D2917" s="5" t="s">
        <v>8</v>
      </c>
      <c r="E2917" s="19" t="s">
        <v>6055</v>
      </c>
      <c r="F2917" s="34" t="s">
        <v>3574</v>
      </c>
      <c r="G2917" s="27">
        <v>5.75</v>
      </c>
      <c r="H2917" s="1" t="s">
        <v>774</v>
      </c>
      <c r="I2917" s="20">
        <v>1</v>
      </c>
      <c r="J2917" s="36">
        <v>0.06</v>
      </c>
    </row>
    <row r="2918" spans="2:10" x14ac:dyDescent="0.35">
      <c r="B2918" s="18" t="s">
        <v>3918</v>
      </c>
      <c r="C2918" s="19" t="s">
        <v>4617</v>
      </c>
      <c r="D2918" s="5" t="s">
        <v>8</v>
      </c>
      <c r="E2918" s="19" t="s">
        <v>6056</v>
      </c>
      <c r="F2918" s="34" t="s">
        <v>3574</v>
      </c>
      <c r="G2918" s="27">
        <v>4.99</v>
      </c>
      <c r="H2918" s="1" t="s">
        <v>774</v>
      </c>
      <c r="I2918" s="20">
        <v>1</v>
      </c>
      <c r="J2918" s="36">
        <v>0.06</v>
      </c>
    </row>
    <row r="2919" spans="2:10" x14ac:dyDescent="0.35">
      <c r="B2919" s="18" t="s">
        <v>3919</v>
      </c>
      <c r="C2919" s="19" t="s">
        <v>4727</v>
      </c>
      <c r="D2919" s="5" t="s">
        <v>8</v>
      </c>
      <c r="E2919" s="19" t="s">
        <v>6057</v>
      </c>
      <c r="F2919" s="34" t="s">
        <v>3574</v>
      </c>
      <c r="G2919" s="27">
        <v>4.3600000000000003</v>
      </c>
      <c r="H2919" s="1" t="s">
        <v>774</v>
      </c>
      <c r="I2919" s="20">
        <v>1</v>
      </c>
      <c r="J2919" s="36">
        <v>0.06</v>
      </c>
    </row>
    <row r="2920" spans="2:10" x14ac:dyDescent="0.35">
      <c r="B2920" s="18">
        <v>1305207</v>
      </c>
      <c r="C2920" s="19" t="s">
        <v>4734</v>
      </c>
      <c r="D2920" s="5" t="s">
        <v>8</v>
      </c>
      <c r="E2920" s="19" t="s">
        <v>6058</v>
      </c>
      <c r="F2920" s="34" t="s">
        <v>3574</v>
      </c>
      <c r="G2920" s="27">
        <v>3.01</v>
      </c>
      <c r="H2920" s="1" t="s">
        <v>774</v>
      </c>
      <c r="I2920" s="20">
        <v>1</v>
      </c>
      <c r="J2920" s="36">
        <v>0.06</v>
      </c>
    </row>
    <row r="2921" spans="2:10" x14ac:dyDescent="0.35">
      <c r="B2921" s="18" t="s">
        <v>3920</v>
      </c>
      <c r="C2921" s="19" t="s">
        <v>4627</v>
      </c>
      <c r="D2921" s="5" t="s">
        <v>8</v>
      </c>
      <c r="E2921" s="19" t="s">
        <v>6058</v>
      </c>
      <c r="F2921" s="34" t="s">
        <v>3574</v>
      </c>
      <c r="G2921" s="27">
        <v>3.01</v>
      </c>
      <c r="H2921" s="1" t="s">
        <v>774</v>
      </c>
      <c r="I2921" s="20">
        <v>1</v>
      </c>
      <c r="J2921" s="36">
        <v>0.06</v>
      </c>
    </row>
    <row r="2922" spans="2:10" x14ac:dyDescent="0.35">
      <c r="B2922" s="18">
        <v>800003313</v>
      </c>
      <c r="C2922" s="19" t="s">
        <v>4735</v>
      </c>
      <c r="D2922" s="5" t="s">
        <v>8</v>
      </c>
      <c r="E2922" s="19" t="s">
        <v>6059</v>
      </c>
      <c r="F2922" s="34" t="s">
        <v>3574</v>
      </c>
      <c r="G2922" s="27">
        <v>5.27</v>
      </c>
      <c r="H2922" s="1" t="s">
        <v>774</v>
      </c>
      <c r="I2922" s="20">
        <v>1</v>
      </c>
      <c r="J2922" s="36">
        <v>0.06</v>
      </c>
    </row>
    <row r="2923" spans="2:10" x14ac:dyDescent="0.35">
      <c r="B2923" s="18">
        <v>3604486</v>
      </c>
      <c r="C2923" s="19" t="s">
        <v>4736</v>
      </c>
      <c r="D2923" s="5" t="s">
        <v>8</v>
      </c>
      <c r="E2923" s="19" t="s">
        <v>6060</v>
      </c>
      <c r="F2923" s="34" t="s">
        <v>3574</v>
      </c>
      <c r="G2923" s="27">
        <v>4.33</v>
      </c>
      <c r="H2923" s="1" t="s">
        <v>774</v>
      </c>
      <c r="I2923" s="20">
        <v>1</v>
      </c>
      <c r="J2923" s="36">
        <v>0.06</v>
      </c>
    </row>
    <row r="2924" spans="2:10" x14ac:dyDescent="0.35">
      <c r="B2924" s="18">
        <v>3602664</v>
      </c>
      <c r="C2924" s="19" t="s">
        <v>4737</v>
      </c>
      <c r="D2924" s="5" t="s">
        <v>8</v>
      </c>
      <c r="E2924" s="19" t="s">
        <v>6061</v>
      </c>
      <c r="F2924" s="34" t="s">
        <v>3574</v>
      </c>
      <c r="G2924" s="27">
        <v>5.46</v>
      </c>
      <c r="H2924" s="1" t="s">
        <v>774</v>
      </c>
      <c r="I2924" s="20">
        <v>1</v>
      </c>
      <c r="J2924" s="36">
        <v>0.06</v>
      </c>
    </row>
    <row r="2925" spans="2:10" x14ac:dyDescent="0.35">
      <c r="B2925" s="18">
        <v>3601971</v>
      </c>
      <c r="C2925" s="19" t="s">
        <v>4738</v>
      </c>
      <c r="D2925" s="5" t="s">
        <v>8</v>
      </c>
      <c r="E2925" s="19" t="s">
        <v>6062</v>
      </c>
      <c r="F2925" s="34" t="s">
        <v>3574</v>
      </c>
      <c r="G2925" s="27">
        <v>5.04</v>
      </c>
      <c r="H2925" s="1" t="s">
        <v>774</v>
      </c>
      <c r="I2925" s="20">
        <v>1</v>
      </c>
      <c r="J2925" s="36">
        <v>0.06</v>
      </c>
    </row>
    <row r="2926" spans="2:10" x14ac:dyDescent="0.35">
      <c r="B2926" s="18">
        <v>3601397</v>
      </c>
      <c r="C2926" s="19" t="s">
        <v>4739</v>
      </c>
      <c r="D2926" s="5" t="s">
        <v>8</v>
      </c>
      <c r="E2926" s="19" t="s">
        <v>6063</v>
      </c>
      <c r="F2926" s="34" t="s">
        <v>3574</v>
      </c>
      <c r="G2926" s="27">
        <v>4.8</v>
      </c>
      <c r="H2926" s="1" t="s">
        <v>774</v>
      </c>
      <c r="I2926" s="20">
        <v>1</v>
      </c>
      <c r="J2926" s="36">
        <v>0.06</v>
      </c>
    </row>
    <row r="2927" spans="2:10" x14ac:dyDescent="0.35">
      <c r="B2927" s="18" t="s">
        <v>3921</v>
      </c>
      <c r="C2927" s="19" t="s">
        <v>4220</v>
      </c>
      <c r="D2927" s="5" t="s">
        <v>8</v>
      </c>
      <c r="E2927" s="19" t="s">
        <v>6064</v>
      </c>
      <c r="F2927" s="34" t="s">
        <v>3574</v>
      </c>
      <c r="G2927" s="27">
        <v>3.17</v>
      </c>
      <c r="H2927" s="1" t="s">
        <v>774</v>
      </c>
      <c r="I2927" s="20">
        <v>1</v>
      </c>
      <c r="J2927" s="36">
        <v>0.06</v>
      </c>
    </row>
    <row r="2928" spans="2:10" x14ac:dyDescent="0.35">
      <c r="B2928" s="18">
        <v>1305223</v>
      </c>
      <c r="C2928" s="19" t="s">
        <v>4740</v>
      </c>
      <c r="D2928" s="5" t="s">
        <v>8</v>
      </c>
      <c r="E2928" s="19" t="s">
        <v>6065</v>
      </c>
      <c r="F2928" s="34" t="s">
        <v>3574</v>
      </c>
      <c r="G2928" s="27">
        <v>3.65</v>
      </c>
      <c r="H2928" s="1" t="s">
        <v>774</v>
      </c>
      <c r="I2928" s="20">
        <v>1</v>
      </c>
      <c r="J2928" s="36">
        <v>0.06</v>
      </c>
    </row>
    <row r="2929" spans="2:10" x14ac:dyDescent="0.35">
      <c r="B2929" s="18" t="s">
        <v>3922</v>
      </c>
      <c r="C2929" s="19" t="s">
        <v>4220</v>
      </c>
      <c r="D2929" s="5" t="s">
        <v>8</v>
      </c>
      <c r="E2929" s="19" t="s">
        <v>6066</v>
      </c>
      <c r="F2929" s="34" t="s">
        <v>3574</v>
      </c>
      <c r="G2929" s="27">
        <v>4.8099999999999996</v>
      </c>
      <c r="H2929" s="1" t="s">
        <v>774</v>
      </c>
      <c r="I2929" s="20">
        <v>1</v>
      </c>
      <c r="J2929" s="36">
        <v>0.06</v>
      </c>
    </row>
    <row r="2930" spans="2:10" x14ac:dyDescent="0.35">
      <c r="B2930" s="18" t="s">
        <v>3923</v>
      </c>
      <c r="C2930" s="19" t="s">
        <v>4741</v>
      </c>
      <c r="D2930" s="5" t="s">
        <v>8</v>
      </c>
      <c r="E2930" s="19" t="s">
        <v>6067</v>
      </c>
      <c r="F2930" s="34" t="s">
        <v>3574</v>
      </c>
      <c r="G2930" s="27">
        <v>3.1</v>
      </c>
      <c r="H2930" s="1" t="s">
        <v>774</v>
      </c>
      <c r="I2930" s="20">
        <v>1</v>
      </c>
      <c r="J2930" s="36">
        <v>0.06</v>
      </c>
    </row>
    <row r="2931" spans="2:10" x14ac:dyDescent="0.35">
      <c r="B2931" s="18" t="s">
        <v>3924</v>
      </c>
      <c r="C2931" s="19" t="s">
        <v>4727</v>
      </c>
      <c r="D2931" s="5" t="s">
        <v>8</v>
      </c>
      <c r="E2931" s="19" t="s">
        <v>6068</v>
      </c>
      <c r="F2931" s="34" t="s">
        <v>3574</v>
      </c>
      <c r="G2931" s="27">
        <v>6.41</v>
      </c>
      <c r="H2931" s="1" t="s">
        <v>774</v>
      </c>
      <c r="I2931" s="20">
        <v>1</v>
      </c>
      <c r="J2931" s="36">
        <v>0.06</v>
      </c>
    </row>
    <row r="2932" spans="2:10" x14ac:dyDescent="0.35">
      <c r="B2932" s="18">
        <v>800000984</v>
      </c>
      <c r="C2932" s="19" t="s">
        <v>4742</v>
      </c>
      <c r="D2932" s="5" t="s">
        <v>8</v>
      </c>
      <c r="E2932" s="19" t="s">
        <v>6069</v>
      </c>
      <c r="F2932" s="34" t="s">
        <v>3574</v>
      </c>
      <c r="G2932" s="27">
        <v>5.27</v>
      </c>
      <c r="H2932" s="1" t="s">
        <v>774</v>
      </c>
      <c r="I2932" s="20">
        <v>1</v>
      </c>
      <c r="J2932" s="36">
        <v>0.06</v>
      </c>
    </row>
    <row r="2933" spans="2:10" x14ac:dyDescent="0.35">
      <c r="B2933" s="18">
        <v>3603852</v>
      </c>
      <c r="C2933" s="19" t="s">
        <v>4743</v>
      </c>
      <c r="D2933" s="5" t="s">
        <v>8</v>
      </c>
      <c r="E2933" s="19" t="s">
        <v>6070</v>
      </c>
      <c r="F2933" s="34" t="s">
        <v>3574</v>
      </c>
      <c r="G2933" s="27">
        <v>5.3199999999999994</v>
      </c>
      <c r="H2933" s="1" t="s">
        <v>774</v>
      </c>
      <c r="I2933" s="20">
        <v>1</v>
      </c>
      <c r="J2933" s="36">
        <v>0.06</v>
      </c>
    </row>
    <row r="2934" spans="2:10" x14ac:dyDescent="0.35">
      <c r="B2934" s="18">
        <v>800000985</v>
      </c>
      <c r="C2934" s="19" t="s">
        <v>4744</v>
      </c>
      <c r="D2934" s="5" t="s">
        <v>8</v>
      </c>
      <c r="E2934" s="19" t="s">
        <v>6071</v>
      </c>
      <c r="F2934" s="34" t="s">
        <v>3574</v>
      </c>
      <c r="G2934" s="27">
        <v>5.89</v>
      </c>
      <c r="H2934" s="1" t="s">
        <v>774</v>
      </c>
      <c r="I2934" s="20">
        <v>1</v>
      </c>
      <c r="J2934" s="36">
        <v>0.06</v>
      </c>
    </row>
    <row r="2935" spans="2:10" x14ac:dyDescent="0.35">
      <c r="B2935" s="18">
        <v>3602031</v>
      </c>
      <c r="C2935" s="19" t="s">
        <v>4745</v>
      </c>
      <c r="D2935" s="5" t="s">
        <v>8</v>
      </c>
      <c r="E2935" s="19" t="s">
        <v>6072</v>
      </c>
      <c r="F2935" s="34" t="s">
        <v>3574</v>
      </c>
      <c r="G2935" s="27">
        <v>2.96</v>
      </c>
      <c r="H2935" s="1" t="s">
        <v>774</v>
      </c>
      <c r="I2935" s="20">
        <v>1</v>
      </c>
      <c r="J2935" s="36">
        <v>0.06</v>
      </c>
    </row>
    <row r="2936" spans="2:10" x14ac:dyDescent="0.35">
      <c r="B2936" s="18">
        <v>3603812</v>
      </c>
      <c r="C2936" s="19" t="s">
        <v>4746</v>
      </c>
      <c r="D2936" s="5" t="s">
        <v>8</v>
      </c>
      <c r="E2936" s="19" t="s">
        <v>6073</v>
      </c>
      <c r="F2936" s="34" t="s">
        <v>3574</v>
      </c>
      <c r="G2936" s="27">
        <v>5.88</v>
      </c>
      <c r="H2936" s="1" t="s">
        <v>774</v>
      </c>
      <c r="I2936" s="20">
        <v>1</v>
      </c>
      <c r="J2936" s="36">
        <v>0.06</v>
      </c>
    </row>
    <row r="2937" spans="2:10" x14ac:dyDescent="0.35">
      <c r="B2937" s="18">
        <v>3603395</v>
      </c>
      <c r="C2937" s="19" t="s">
        <v>4747</v>
      </c>
      <c r="D2937" s="5" t="s">
        <v>8</v>
      </c>
      <c r="E2937" s="19" t="s">
        <v>6074</v>
      </c>
      <c r="F2937" s="34" t="s">
        <v>3574</v>
      </c>
      <c r="G2937" s="27">
        <v>5.89</v>
      </c>
      <c r="H2937" s="1" t="s">
        <v>774</v>
      </c>
      <c r="I2937" s="20">
        <v>1</v>
      </c>
      <c r="J2937" s="36">
        <v>0.06</v>
      </c>
    </row>
    <row r="2938" spans="2:10" x14ac:dyDescent="0.35">
      <c r="B2938" s="18" t="s">
        <v>3925</v>
      </c>
      <c r="C2938" s="19" t="s">
        <v>4220</v>
      </c>
      <c r="D2938" s="5" t="s">
        <v>8</v>
      </c>
      <c r="E2938" s="19" t="s">
        <v>6075</v>
      </c>
      <c r="F2938" s="34" t="s">
        <v>3574</v>
      </c>
      <c r="G2938" s="27">
        <v>5.95</v>
      </c>
      <c r="H2938" s="1" t="s">
        <v>774</v>
      </c>
      <c r="I2938" s="20">
        <v>1</v>
      </c>
      <c r="J2938" s="36">
        <v>0.06</v>
      </c>
    </row>
    <row r="2939" spans="2:10" x14ac:dyDescent="0.35">
      <c r="B2939" s="18" t="s">
        <v>3926</v>
      </c>
      <c r="C2939" s="19" t="s">
        <v>4748</v>
      </c>
      <c r="D2939" s="5" t="s">
        <v>8</v>
      </c>
      <c r="E2939" s="19" t="s">
        <v>6076</v>
      </c>
      <c r="F2939" s="34" t="s">
        <v>3574</v>
      </c>
      <c r="G2939" s="27">
        <v>6.84</v>
      </c>
      <c r="H2939" s="1" t="s">
        <v>774</v>
      </c>
      <c r="I2939" s="20">
        <v>1</v>
      </c>
      <c r="J2939" s="36">
        <v>0.06</v>
      </c>
    </row>
    <row r="2940" spans="2:10" x14ac:dyDescent="0.35">
      <c r="B2940" s="18">
        <v>4000816</v>
      </c>
      <c r="C2940" s="19" t="s">
        <v>4749</v>
      </c>
      <c r="D2940" s="5" t="s">
        <v>8</v>
      </c>
      <c r="E2940" s="19" t="s">
        <v>6077</v>
      </c>
      <c r="F2940" s="34" t="s">
        <v>3574</v>
      </c>
      <c r="G2940" s="27">
        <v>6.62</v>
      </c>
      <c r="H2940" s="1" t="s">
        <v>774</v>
      </c>
      <c r="I2940" s="20">
        <v>1</v>
      </c>
      <c r="J2940" s="36">
        <v>0.06</v>
      </c>
    </row>
    <row r="2941" spans="2:10" x14ac:dyDescent="0.35">
      <c r="B2941" s="18" t="s">
        <v>3927</v>
      </c>
      <c r="C2941" s="19" t="s">
        <v>4750</v>
      </c>
      <c r="D2941" s="5" t="s">
        <v>8</v>
      </c>
      <c r="E2941" s="19" t="s">
        <v>6078</v>
      </c>
      <c r="F2941" s="34" t="s">
        <v>3574</v>
      </c>
      <c r="G2941" s="27">
        <v>7.51</v>
      </c>
      <c r="H2941" s="1" t="s">
        <v>774</v>
      </c>
      <c r="I2941" s="20">
        <v>1</v>
      </c>
      <c r="J2941" s="36">
        <v>0.06</v>
      </c>
    </row>
    <row r="2942" spans="2:10" x14ac:dyDescent="0.35">
      <c r="B2942" s="18">
        <v>3603396</v>
      </c>
      <c r="C2942" s="19" t="s">
        <v>4751</v>
      </c>
      <c r="D2942" s="5" t="s">
        <v>8</v>
      </c>
      <c r="E2942" s="19" t="s">
        <v>6079</v>
      </c>
      <c r="F2942" s="34" t="s">
        <v>3574</v>
      </c>
      <c r="G2942" s="27">
        <v>5.65</v>
      </c>
      <c r="H2942" s="1" t="s">
        <v>774</v>
      </c>
      <c r="I2942" s="20">
        <v>1</v>
      </c>
      <c r="J2942" s="36">
        <v>0.06</v>
      </c>
    </row>
    <row r="2943" spans="2:10" x14ac:dyDescent="0.35">
      <c r="B2943" s="18" t="s">
        <v>3928</v>
      </c>
      <c r="C2943" s="19" t="s">
        <v>4617</v>
      </c>
      <c r="D2943" s="5" t="s">
        <v>8</v>
      </c>
      <c r="E2943" s="19" t="s">
        <v>6080</v>
      </c>
      <c r="F2943" s="34" t="s">
        <v>3574</v>
      </c>
      <c r="G2943" s="27">
        <v>7.65</v>
      </c>
      <c r="H2943" s="1" t="s">
        <v>774</v>
      </c>
      <c r="I2943" s="20">
        <v>1</v>
      </c>
      <c r="J2943" s="36">
        <v>0.06</v>
      </c>
    </row>
    <row r="2944" spans="2:10" x14ac:dyDescent="0.35">
      <c r="B2944" s="18">
        <v>3604485</v>
      </c>
      <c r="C2944" s="19" t="s">
        <v>4752</v>
      </c>
      <c r="D2944" s="5" t="s">
        <v>8</v>
      </c>
      <c r="E2944" s="19" t="s">
        <v>6081</v>
      </c>
      <c r="F2944" s="34" t="s">
        <v>3574</v>
      </c>
      <c r="G2944" s="27">
        <v>7.22</v>
      </c>
      <c r="H2944" s="1" t="s">
        <v>774</v>
      </c>
      <c r="I2944" s="20">
        <v>1</v>
      </c>
      <c r="J2944" s="36">
        <v>0.06</v>
      </c>
    </row>
    <row r="2945" spans="2:10" x14ac:dyDescent="0.35">
      <c r="B2945" s="18" t="s">
        <v>3929</v>
      </c>
      <c r="C2945" s="19" t="s">
        <v>4753</v>
      </c>
      <c r="D2945" s="5" t="s">
        <v>8</v>
      </c>
      <c r="E2945" s="19" t="s">
        <v>6082</v>
      </c>
      <c r="F2945" s="34" t="s">
        <v>3574</v>
      </c>
      <c r="G2945" s="27">
        <v>6.89</v>
      </c>
      <c r="H2945" s="1" t="s">
        <v>774</v>
      </c>
      <c r="I2945" s="20">
        <v>1</v>
      </c>
      <c r="J2945" s="36">
        <v>0.06</v>
      </c>
    </row>
    <row r="2946" spans="2:10" x14ac:dyDescent="0.35">
      <c r="B2946" s="18">
        <v>3604481</v>
      </c>
      <c r="C2946" s="19" t="s">
        <v>4754</v>
      </c>
      <c r="D2946" s="5" t="s">
        <v>8</v>
      </c>
      <c r="E2946" s="19" t="s">
        <v>6083</v>
      </c>
      <c r="F2946" s="34" t="s">
        <v>3574</v>
      </c>
      <c r="G2946" s="27">
        <v>5.13</v>
      </c>
      <c r="H2946" s="1" t="s">
        <v>774</v>
      </c>
      <c r="I2946" s="20">
        <v>1</v>
      </c>
      <c r="J2946" s="36">
        <v>0.06</v>
      </c>
    </row>
    <row r="2947" spans="2:10" x14ac:dyDescent="0.35">
      <c r="B2947" s="18">
        <v>3601500</v>
      </c>
      <c r="C2947" s="19" t="s">
        <v>4755</v>
      </c>
      <c r="D2947" s="5" t="s">
        <v>8</v>
      </c>
      <c r="E2947" s="19" t="s">
        <v>6084</v>
      </c>
      <c r="F2947" s="34" t="s">
        <v>3574</v>
      </c>
      <c r="G2947" s="27">
        <v>6.94</v>
      </c>
      <c r="H2947" s="1" t="s">
        <v>774</v>
      </c>
      <c r="I2947" s="20">
        <v>1</v>
      </c>
      <c r="J2947" s="36">
        <v>0.06</v>
      </c>
    </row>
    <row r="2948" spans="2:10" x14ac:dyDescent="0.35">
      <c r="B2948" s="18" t="s">
        <v>3930</v>
      </c>
      <c r="C2948" s="19" t="s">
        <v>4729</v>
      </c>
      <c r="D2948" s="5" t="s">
        <v>8</v>
      </c>
      <c r="E2948" s="19" t="s">
        <v>6085</v>
      </c>
      <c r="F2948" s="34" t="s">
        <v>3574</v>
      </c>
      <c r="G2948" s="27">
        <v>6.24</v>
      </c>
      <c r="H2948" s="1" t="s">
        <v>774</v>
      </c>
      <c r="I2948" s="20">
        <v>1</v>
      </c>
      <c r="J2948" s="36">
        <v>0.06</v>
      </c>
    </row>
    <row r="2949" spans="2:10" x14ac:dyDescent="0.35">
      <c r="B2949" s="18" t="s">
        <v>3931</v>
      </c>
      <c r="C2949" s="19" t="s">
        <v>4220</v>
      </c>
      <c r="D2949" s="5" t="s">
        <v>8</v>
      </c>
      <c r="E2949" s="19" t="s">
        <v>6086</v>
      </c>
      <c r="F2949" s="34" t="s">
        <v>3574</v>
      </c>
      <c r="G2949" s="27">
        <v>11.12</v>
      </c>
      <c r="H2949" s="1" t="s">
        <v>774</v>
      </c>
      <c r="I2949" s="20">
        <v>1</v>
      </c>
      <c r="J2949" s="36">
        <v>0.06</v>
      </c>
    </row>
    <row r="2950" spans="2:10" x14ac:dyDescent="0.35">
      <c r="B2950" s="18">
        <v>3604317</v>
      </c>
      <c r="C2950" s="19" t="s">
        <v>4756</v>
      </c>
      <c r="D2950" s="5" t="s">
        <v>8</v>
      </c>
      <c r="E2950" s="19" t="s">
        <v>6087</v>
      </c>
      <c r="F2950" s="34" t="s">
        <v>3574</v>
      </c>
      <c r="G2950" s="27">
        <v>6.56</v>
      </c>
      <c r="H2950" s="1" t="s">
        <v>774</v>
      </c>
      <c r="I2950" s="20">
        <v>1</v>
      </c>
      <c r="J2950" s="36">
        <v>0.06</v>
      </c>
    </row>
    <row r="2951" spans="2:10" x14ac:dyDescent="0.35">
      <c r="B2951" s="18">
        <v>3602209</v>
      </c>
      <c r="C2951" s="19" t="s">
        <v>4757</v>
      </c>
      <c r="D2951" s="5" t="s">
        <v>8</v>
      </c>
      <c r="E2951" s="19" t="s">
        <v>6088</v>
      </c>
      <c r="F2951" s="34" t="s">
        <v>3574</v>
      </c>
      <c r="G2951" s="27">
        <v>11.31</v>
      </c>
      <c r="H2951" s="1" t="s">
        <v>774</v>
      </c>
      <c r="I2951" s="20">
        <v>1</v>
      </c>
      <c r="J2951" s="36">
        <v>0.06</v>
      </c>
    </row>
    <row r="2952" spans="2:10" x14ac:dyDescent="0.35">
      <c r="B2952" s="18" t="s">
        <v>3932</v>
      </c>
      <c r="C2952" s="19" t="s">
        <v>4220</v>
      </c>
      <c r="D2952" s="5" t="s">
        <v>8</v>
      </c>
      <c r="E2952" s="19" t="s">
        <v>6089</v>
      </c>
      <c r="F2952" s="34" t="s">
        <v>3574</v>
      </c>
      <c r="G2952" s="27">
        <v>16.86</v>
      </c>
      <c r="H2952" s="1" t="s">
        <v>774</v>
      </c>
      <c r="I2952" s="20">
        <v>1</v>
      </c>
      <c r="J2952" s="36">
        <v>0.06</v>
      </c>
    </row>
    <row r="2953" spans="2:10" x14ac:dyDescent="0.35">
      <c r="B2953" s="18">
        <v>4002459</v>
      </c>
      <c r="C2953" s="19" t="s">
        <v>4758</v>
      </c>
      <c r="D2953" s="5" t="s">
        <v>8</v>
      </c>
      <c r="E2953" s="19" t="s">
        <v>6090</v>
      </c>
      <c r="F2953" s="34" t="s">
        <v>3574</v>
      </c>
      <c r="G2953" s="27">
        <v>3.86</v>
      </c>
      <c r="H2953" s="1" t="s">
        <v>774</v>
      </c>
      <c r="I2953" s="20">
        <v>1</v>
      </c>
      <c r="J2953" s="36">
        <v>0.06</v>
      </c>
    </row>
    <row r="2954" spans="2:10" x14ac:dyDescent="0.35">
      <c r="B2954" s="18" t="s">
        <v>3933</v>
      </c>
      <c r="C2954" s="19" t="s">
        <v>4220</v>
      </c>
      <c r="D2954" s="5" t="s">
        <v>8</v>
      </c>
      <c r="E2954" s="19" t="s">
        <v>6091</v>
      </c>
      <c r="F2954" s="34" t="s">
        <v>3574</v>
      </c>
      <c r="G2954" s="27">
        <v>3.75</v>
      </c>
      <c r="H2954" s="1" t="s">
        <v>774</v>
      </c>
      <c r="I2954" s="20">
        <v>1</v>
      </c>
      <c r="J2954" s="36">
        <v>0.06</v>
      </c>
    </row>
    <row r="2955" spans="2:10" x14ac:dyDescent="0.35">
      <c r="B2955" s="18" t="s">
        <v>3934</v>
      </c>
      <c r="C2955" s="19" t="s">
        <v>4759</v>
      </c>
      <c r="D2955" s="5" t="s">
        <v>8</v>
      </c>
      <c r="E2955" s="19" t="s">
        <v>6092</v>
      </c>
      <c r="F2955" s="34" t="s">
        <v>3574</v>
      </c>
      <c r="G2955" s="27">
        <v>3.75</v>
      </c>
      <c r="H2955" s="1" t="s">
        <v>774</v>
      </c>
      <c r="I2955" s="20">
        <v>1</v>
      </c>
      <c r="J2955" s="36">
        <v>0.06</v>
      </c>
    </row>
    <row r="2956" spans="2:10" x14ac:dyDescent="0.35">
      <c r="B2956" s="18" t="s">
        <v>3935</v>
      </c>
      <c r="C2956" s="19" t="s">
        <v>4220</v>
      </c>
      <c r="D2956" s="5" t="s">
        <v>8</v>
      </c>
      <c r="E2956" s="19" t="s">
        <v>6093</v>
      </c>
      <c r="F2956" s="34" t="s">
        <v>3574</v>
      </c>
      <c r="G2956" s="27">
        <v>4.75</v>
      </c>
      <c r="H2956" s="1" t="s">
        <v>774</v>
      </c>
      <c r="I2956" s="20">
        <v>1</v>
      </c>
      <c r="J2956" s="36">
        <v>0.06</v>
      </c>
    </row>
    <row r="2957" spans="2:10" x14ac:dyDescent="0.35">
      <c r="B2957" s="18">
        <v>3603232</v>
      </c>
      <c r="C2957" s="19" t="s">
        <v>4760</v>
      </c>
      <c r="D2957" s="5" t="s">
        <v>8</v>
      </c>
      <c r="E2957" s="19" t="s">
        <v>6094</v>
      </c>
      <c r="F2957" s="34" t="s">
        <v>3574</v>
      </c>
      <c r="G2957" s="27">
        <v>2.64</v>
      </c>
      <c r="H2957" s="1" t="s">
        <v>774</v>
      </c>
      <c r="I2957" s="20">
        <v>1</v>
      </c>
      <c r="J2957" s="36">
        <v>0.06</v>
      </c>
    </row>
    <row r="2958" spans="2:10" x14ac:dyDescent="0.35">
      <c r="B2958" s="18" t="s">
        <v>3936</v>
      </c>
      <c r="C2958" s="19" t="s">
        <v>4220</v>
      </c>
      <c r="D2958" s="5" t="s">
        <v>8</v>
      </c>
      <c r="E2958" s="19" t="s">
        <v>6095</v>
      </c>
      <c r="F2958" s="34" t="s">
        <v>3574</v>
      </c>
      <c r="G2958" s="27">
        <v>11.16</v>
      </c>
      <c r="H2958" s="1" t="s">
        <v>774</v>
      </c>
      <c r="I2958" s="20">
        <v>1</v>
      </c>
      <c r="J2958" s="36">
        <v>0.06</v>
      </c>
    </row>
    <row r="2959" spans="2:10" x14ac:dyDescent="0.35">
      <c r="B2959" s="18">
        <v>3603469</v>
      </c>
      <c r="C2959" s="19" t="s">
        <v>4761</v>
      </c>
      <c r="D2959" s="5" t="s">
        <v>8</v>
      </c>
      <c r="E2959" s="19" t="s">
        <v>6096</v>
      </c>
      <c r="F2959" s="34" t="s">
        <v>3574</v>
      </c>
      <c r="G2959" s="27">
        <v>9.06</v>
      </c>
      <c r="H2959" s="1" t="s">
        <v>774</v>
      </c>
      <c r="I2959" s="20">
        <v>1</v>
      </c>
      <c r="J2959" s="36">
        <v>0.06</v>
      </c>
    </row>
    <row r="2960" spans="2:10" x14ac:dyDescent="0.35">
      <c r="B2960" s="18" t="s">
        <v>3937</v>
      </c>
      <c r="C2960" s="19" t="s">
        <v>4762</v>
      </c>
      <c r="D2960" s="5" t="s">
        <v>8</v>
      </c>
      <c r="E2960" s="19" t="s">
        <v>6097</v>
      </c>
      <c r="F2960" s="34" t="s">
        <v>3574</v>
      </c>
      <c r="G2960" s="27">
        <v>16.82</v>
      </c>
      <c r="H2960" s="1" t="s">
        <v>774</v>
      </c>
      <c r="I2960" s="20">
        <v>1</v>
      </c>
      <c r="J2960" s="36">
        <v>0.06</v>
      </c>
    </row>
    <row r="2961" spans="2:10" x14ac:dyDescent="0.35">
      <c r="B2961" s="18" t="s">
        <v>3938</v>
      </c>
      <c r="C2961" s="19" t="s">
        <v>4220</v>
      </c>
      <c r="D2961" s="5" t="s">
        <v>8</v>
      </c>
      <c r="E2961" s="19" t="s">
        <v>6098</v>
      </c>
      <c r="F2961" s="34" t="s">
        <v>3574</v>
      </c>
      <c r="G2961" s="27">
        <v>4.38</v>
      </c>
      <c r="H2961" s="1" t="s">
        <v>774</v>
      </c>
      <c r="I2961" s="20">
        <v>1</v>
      </c>
      <c r="J2961" s="36">
        <v>0.06</v>
      </c>
    </row>
    <row r="2962" spans="2:10" x14ac:dyDescent="0.35">
      <c r="B2962" s="18">
        <v>1361123</v>
      </c>
      <c r="C2962" s="19" t="s">
        <v>4763</v>
      </c>
      <c r="D2962" s="5" t="s">
        <v>8</v>
      </c>
      <c r="E2962" s="19" t="s">
        <v>6099</v>
      </c>
      <c r="F2962" s="34" t="s">
        <v>3574</v>
      </c>
      <c r="G2962" s="27">
        <v>5.36</v>
      </c>
      <c r="H2962" s="1" t="s">
        <v>774</v>
      </c>
      <c r="I2962" s="20">
        <v>1</v>
      </c>
      <c r="J2962" s="36">
        <v>0.06</v>
      </c>
    </row>
    <row r="2963" spans="2:10" x14ac:dyDescent="0.35">
      <c r="B2963" s="18">
        <v>1305237</v>
      </c>
      <c r="C2963" s="19" t="s">
        <v>4764</v>
      </c>
      <c r="D2963" s="5" t="s">
        <v>8</v>
      </c>
      <c r="E2963" s="19" t="s">
        <v>6100</v>
      </c>
      <c r="F2963" s="34" t="s">
        <v>3574</v>
      </c>
      <c r="G2963" s="27">
        <v>4.5199999999999996</v>
      </c>
      <c r="H2963" s="1" t="s">
        <v>774</v>
      </c>
      <c r="I2963" s="20">
        <v>1</v>
      </c>
      <c r="J2963" s="36">
        <v>0.06</v>
      </c>
    </row>
    <row r="2964" spans="2:10" x14ac:dyDescent="0.35">
      <c r="B2964" s="18">
        <v>800001623</v>
      </c>
      <c r="C2964" s="19" t="s">
        <v>4765</v>
      </c>
      <c r="D2964" s="5" t="s">
        <v>8</v>
      </c>
      <c r="E2964" s="19" t="s">
        <v>6101</v>
      </c>
      <c r="F2964" s="34" t="s">
        <v>3574</v>
      </c>
      <c r="G2964" s="27">
        <v>6.79</v>
      </c>
      <c r="H2964" s="1" t="s">
        <v>774</v>
      </c>
      <c r="I2964" s="20">
        <v>1</v>
      </c>
      <c r="J2964" s="36">
        <v>0.06</v>
      </c>
    </row>
    <row r="2965" spans="2:10" x14ac:dyDescent="0.35">
      <c r="B2965" s="18" t="s">
        <v>3939</v>
      </c>
      <c r="C2965" s="19" t="s">
        <v>4766</v>
      </c>
      <c r="D2965" s="5" t="s">
        <v>8</v>
      </c>
      <c r="E2965" s="19" t="s">
        <v>6102</v>
      </c>
      <c r="F2965" s="34" t="s">
        <v>3574</v>
      </c>
      <c r="G2965" s="27">
        <v>8.8699999999999992</v>
      </c>
      <c r="H2965" s="1" t="s">
        <v>774</v>
      </c>
      <c r="I2965" s="20">
        <v>1</v>
      </c>
      <c r="J2965" s="36">
        <v>0.06</v>
      </c>
    </row>
    <row r="2966" spans="2:10" x14ac:dyDescent="0.35">
      <c r="B2966" s="18">
        <v>1360133</v>
      </c>
      <c r="C2966" s="19" t="s">
        <v>4767</v>
      </c>
      <c r="D2966" s="5" t="s">
        <v>8</v>
      </c>
      <c r="E2966" s="19" t="s">
        <v>6103</v>
      </c>
      <c r="F2966" s="34" t="s">
        <v>3574</v>
      </c>
      <c r="G2966" s="27">
        <v>1.58</v>
      </c>
      <c r="H2966" s="1" t="s">
        <v>774</v>
      </c>
      <c r="I2966" s="20">
        <v>1</v>
      </c>
      <c r="J2966" s="36">
        <v>0.06</v>
      </c>
    </row>
    <row r="2967" spans="2:10" x14ac:dyDescent="0.35">
      <c r="B2967" s="18">
        <v>3603927</v>
      </c>
      <c r="C2967" s="19" t="s">
        <v>4768</v>
      </c>
      <c r="D2967" s="5" t="s">
        <v>8</v>
      </c>
      <c r="E2967" s="19" t="s">
        <v>6104</v>
      </c>
      <c r="F2967" s="34" t="s">
        <v>3574</v>
      </c>
      <c r="G2967" s="27">
        <v>1.62</v>
      </c>
      <c r="H2967" s="1" t="s">
        <v>774</v>
      </c>
      <c r="I2967" s="20">
        <v>1</v>
      </c>
      <c r="J2967" s="36">
        <v>0.06</v>
      </c>
    </row>
    <row r="2968" spans="2:10" x14ac:dyDescent="0.35">
      <c r="B2968" s="18" t="s">
        <v>3940</v>
      </c>
      <c r="C2968" s="19" t="s">
        <v>4220</v>
      </c>
      <c r="D2968" s="5" t="s">
        <v>8</v>
      </c>
      <c r="E2968" s="19" t="s">
        <v>6105</v>
      </c>
      <c r="F2968" s="34" t="s">
        <v>3574</v>
      </c>
      <c r="G2968" s="27">
        <v>3.1</v>
      </c>
      <c r="H2968" s="1" t="s">
        <v>774</v>
      </c>
      <c r="I2968" s="20">
        <v>1</v>
      </c>
      <c r="J2968" s="36">
        <v>0.06</v>
      </c>
    </row>
    <row r="2969" spans="2:10" x14ac:dyDescent="0.35">
      <c r="B2969" s="18" t="s">
        <v>3941</v>
      </c>
      <c r="C2969" s="19" t="s">
        <v>4769</v>
      </c>
      <c r="D2969" s="5" t="s">
        <v>8</v>
      </c>
      <c r="E2969" s="19" t="s">
        <v>6106</v>
      </c>
      <c r="F2969" s="34" t="s">
        <v>3574</v>
      </c>
      <c r="G2969" s="27">
        <v>1.86</v>
      </c>
      <c r="H2969" s="1" t="s">
        <v>774</v>
      </c>
      <c r="I2969" s="20">
        <v>1</v>
      </c>
      <c r="J2969" s="36">
        <v>0.06</v>
      </c>
    </row>
    <row r="2970" spans="2:10" x14ac:dyDescent="0.35">
      <c r="B2970" s="18" t="s">
        <v>3942</v>
      </c>
      <c r="C2970" s="19" t="s">
        <v>4220</v>
      </c>
      <c r="D2970" s="5" t="s">
        <v>8</v>
      </c>
      <c r="E2970" s="19" t="s">
        <v>6107</v>
      </c>
      <c r="F2970" s="34" t="s">
        <v>3574</v>
      </c>
      <c r="G2970" s="27">
        <v>1.98</v>
      </c>
      <c r="H2970" s="1" t="s">
        <v>774</v>
      </c>
      <c r="I2970" s="20">
        <v>1</v>
      </c>
      <c r="J2970" s="36">
        <v>0.06</v>
      </c>
    </row>
    <row r="2971" spans="2:10" x14ac:dyDescent="0.35">
      <c r="B2971" s="18" t="s">
        <v>3943</v>
      </c>
      <c r="C2971" s="19" t="s">
        <v>4770</v>
      </c>
      <c r="D2971" s="5" t="s">
        <v>8</v>
      </c>
      <c r="E2971" s="19" t="s">
        <v>6108</v>
      </c>
      <c r="F2971" s="34" t="s">
        <v>3574</v>
      </c>
      <c r="G2971" s="27">
        <v>2.65</v>
      </c>
      <c r="H2971" s="1" t="s">
        <v>774</v>
      </c>
      <c r="I2971" s="20">
        <v>1</v>
      </c>
      <c r="J2971" s="36">
        <v>0.06</v>
      </c>
    </row>
    <row r="2972" spans="2:10" x14ac:dyDescent="0.35">
      <c r="B2972" s="18">
        <v>3602032</v>
      </c>
      <c r="C2972" s="19" t="s">
        <v>4771</v>
      </c>
      <c r="D2972" s="5" t="s">
        <v>8</v>
      </c>
      <c r="E2972" s="19" t="s">
        <v>6109</v>
      </c>
      <c r="F2972" s="34" t="s">
        <v>3574</v>
      </c>
      <c r="G2972" s="27">
        <v>4.47</v>
      </c>
      <c r="H2972" s="1" t="s">
        <v>774</v>
      </c>
      <c r="I2972" s="20">
        <v>1</v>
      </c>
      <c r="J2972" s="36">
        <v>0.06</v>
      </c>
    </row>
    <row r="2973" spans="2:10" x14ac:dyDescent="0.35">
      <c r="B2973" s="18" t="s">
        <v>3944</v>
      </c>
      <c r="C2973" s="19" t="s">
        <v>4773</v>
      </c>
      <c r="D2973" s="5" t="s">
        <v>8</v>
      </c>
      <c r="E2973" s="19" t="s">
        <v>6110</v>
      </c>
      <c r="F2973" s="34" t="s">
        <v>3574</v>
      </c>
      <c r="G2973" s="27">
        <v>3.35</v>
      </c>
      <c r="H2973" s="1" t="s">
        <v>774</v>
      </c>
      <c r="I2973" s="20">
        <v>1</v>
      </c>
      <c r="J2973" s="36">
        <v>0.06</v>
      </c>
    </row>
    <row r="2974" spans="2:10" x14ac:dyDescent="0.35">
      <c r="B2974" s="18" t="s">
        <v>3945</v>
      </c>
      <c r="C2974" s="19" t="s">
        <v>4772</v>
      </c>
      <c r="D2974" s="5" t="s">
        <v>8</v>
      </c>
      <c r="E2974" s="19" t="s">
        <v>6111</v>
      </c>
      <c r="F2974" s="34" t="s">
        <v>3574</v>
      </c>
      <c r="G2974" s="27">
        <v>1.51</v>
      </c>
      <c r="H2974" s="1" t="s">
        <v>774</v>
      </c>
      <c r="I2974" s="20">
        <v>1</v>
      </c>
      <c r="J2974" s="36">
        <v>0.06</v>
      </c>
    </row>
    <row r="2975" spans="2:10" x14ac:dyDescent="0.35">
      <c r="B2975" s="18">
        <v>7025554</v>
      </c>
      <c r="C2975" s="19" t="s">
        <v>4774</v>
      </c>
      <c r="D2975" s="5" t="s">
        <v>8</v>
      </c>
      <c r="E2975" s="19" t="s">
        <v>6112</v>
      </c>
      <c r="F2975" s="34" t="s">
        <v>3574</v>
      </c>
      <c r="G2975" s="27">
        <v>2.2200000000000002</v>
      </c>
      <c r="H2975" s="1" t="s">
        <v>774</v>
      </c>
      <c r="I2975" s="20">
        <v>1</v>
      </c>
      <c r="J2975" s="36">
        <v>0.06</v>
      </c>
    </row>
    <row r="2976" spans="2:10" x14ac:dyDescent="0.35">
      <c r="B2976" s="18" t="s">
        <v>3946</v>
      </c>
      <c r="C2976" s="19" t="s">
        <v>4775</v>
      </c>
      <c r="D2976" s="5" t="s">
        <v>8</v>
      </c>
      <c r="E2976" s="19" t="s">
        <v>6113</v>
      </c>
      <c r="F2976" s="34" t="s">
        <v>3574</v>
      </c>
      <c r="G2976" s="27">
        <v>2.02</v>
      </c>
      <c r="H2976" s="1" t="s">
        <v>774</v>
      </c>
      <c r="I2976" s="20">
        <v>1</v>
      </c>
      <c r="J2976" s="36">
        <v>0.06</v>
      </c>
    </row>
    <row r="2977" spans="2:10" x14ac:dyDescent="0.35">
      <c r="B2977" s="18">
        <v>3604363</v>
      </c>
      <c r="C2977" s="19" t="s">
        <v>4629</v>
      </c>
      <c r="D2977" s="5" t="s">
        <v>8</v>
      </c>
      <c r="E2977" s="19" t="s">
        <v>6114</v>
      </c>
      <c r="F2977" s="34" t="s">
        <v>3574</v>
      </c>
      <c r="G2977" s="27">
        <v>3.53</v>
      </c>
      <c r="H2977" s="1" t="s">
        <v>774</v>
      </c>
      <c r="I2977" s="20">
        <v>1</v>
      </c>
      <c r="J2977" s="36">
        <v>0.06</v>
      </c>
    </row>
    <row r="2978" spans="2:10" x14ac:dyDescent="0.35">
      <c r="B2978" s="18">
        <v>1360702</v>
      </c>
      <c r="C2978" s="19" t="s">
        <v>4776</v>
      </c>
      <c r="D2978" s="5" t="s">
        <v>8</v>
      </c>
      <c r="E2978" s="19" t="s">
        <v>6115</v>
      </c>
      <c r="F2978" s="34" t="s">
        <v>3574</v>
      </c>
      <c r="G2978" s="27">
        <v>2.5</v>
      </c>
      <c r="H2978" s="1" t="s">
        <v>774</v>
      </c>
      <c r="I2978" s="20">
        <v>1</v>
      </c>
      <c r="J2978" s="36">
        <v>0.06</v>
      </c>
    </row>
    <row r="2979" spans="2:10" x14ac:dyDescent="0.35">
      <c r="B2979" s="18" t="s">
        <v>3947</v>
      </c>
      <c r="C2979" s="19" t="s">
        <v>4778</v>
      </c>
      <c r="D2979" s="5" t="s">
        <v>8</v>
      </c>
      <c r="E2979" s="19" t="s">
        <v>6116</v>
      </c>
      <c r="F2979" s="34" t="s">
        <v>3574</v>
      </c>
      <c r="G2979" s="27">
        <v>3.01</v>
      </c>
      <c r="H2979" s="1" t="s">
        <v>774</v>
      </c>
      <c r="I2979" s="20">
        <v>1</v>
      </c>
      <c r="J2979" s="36">
        <v>0.06</v>
      </c>
    </row>
    <row r="2980" spans="2:10" x14ac:dyDescent="0.35">
      <c r="B2980" s="18" t="s">
        <v>3948</v>
      </c>
      <c r="C2980" s="19" t="s">
        <v>4779</v>
      </c>
      <c r="D2980" s="5" t="s">
        <v>8</v>
      </c>
      <c r="E2980" s="19" t="s">
        <v>6117</v>
      </c>
      <c r="F2980" s="34" t="s">
        <v>3574</v>
      </c>
      <c r="G2980" s="27">
        <v>5.51</v>
      </c>
      <c r="H2980" s="1" t="s">
        <v>774</v>
      </c>
      <c r="I2980" s="20">
        <v>1</v>
      </c>
      <c r="J2980" s="36">
        <v>0.06</v>
      </c>
    </row>
    <row r="2981" spans="2:10" x14ac:dyDescent="0.35">
      <c r="B2981" s="18" t="s">
        <v>3949</v>
      </c>
      <c r="C2981" s="19" t="s">
        <v>4780</v>
      </c>
      <c r="D2981" s="5" t="s">
        <v>8</v>
      </c>
      <c r="E2981" s="19" t="s">
        <v>6118</v>
      </c>
      <c r="F2981" s="34" t="s">
        <v>3574</v>
      </c>
      <c r="G2981" s="27">
        <v>5.17</v>
      </c>
      <c r="H2981" s="1" t="s">
        <v>774</v>
      </c>
      <c r="I2981" s="20">
        <v>1</v>
      </c>
      <c r="J2981" s="36">
        <v>0.06</v>
      </c>
    </row>
    <row r="2982" spans="2:10" x14ac:dyDescent="0.35">
      <c r="B2982" s="18">
        <v>3601346</v>
      </c>
      <c r="C2982" s="19" t="s">
        <v>4781</v>
      </c>
      <c r="D2982" s="5" t="s">
        <v>8</v>
      </c>
      <c r="E2982" s="19" t="s">
        <v>6119</v>
      </c>
      <c r="F2982" s="34" t="s">
        <v>3574</v>
      </c>
      <c r="G2982" s="27">
        <v>5.56</v>
      </c>
      <c r="H2982" s="1" t="s">
        <v>774</v>
      </c>
      <c r="I2982" s="20">
        <v>1</v>
      </c>
      <c r="J2982" s="36">
        <v>0.06</v>
      </c>
    </row>
    <row r="2983" spans="2:10" x14ac:dyDescent="0.35">
      <c r="B2983" s="18" t="s">
        <v>3950</v>
      </c>
      <c r="C2983" s="19" t="s">
        <v>4782</v>
      </c>
      <c r="D2983" s="5" t="s">
        <v>8</v>
      </c>
      <c r="E2983" s="19" t="s">
        <v>6120</v>
      </c>
      <c r="F2983" s="34" t="s">
        <v>3574</v>
      </c>
      <c r="G2983" s="27">
        <v>3.57</v>
      </c>
      <c r="H2983" s="1" t="s">
        <v>774</v>
      </c>
      <c r="I2983" s="20">
        <v>1</v>
      </c>
      <c r="J2983" s="36">
        <v>0.06</v>
      </c>
    </row>
    <row r="2984" spans="2:10" x14ac:dyDescent="0.35">
      <c r="B2984" s="18" t="s">
        <v>3951</v>
      </c>
      <c r="C2984" s="19" t="s">
        <v>4783</v>
      </c>
      <c r="D2984" s="5" t="s">
        <v>8</v>
      </c>
      <c r="E2984" s="19" t="s">
        <v>6121</v>
      </c>
      <c r="F2984" s="34" t="s">
        <v>3574</v>
      </c>
      <c r="G2984" s="27">
        <v>4.92</v>
      </c>
      <c r="H2984" s="1" t="s">
        <v>774</v>
      </c>
      <c r="I2984" s="20">
        <v>1</v>
      </c>
      <c r="J2984" s="36">
        <v>0.06</v>
      </c>
    </row>
    <row r="2985" spans="2:10" x14ac:dyDescent="0.35">
      <c r="B2985" s="18" t="s">
        <v>3952</v>
      </c>
      <c r="C2985" s="19" t="s">
        <v>4784</v>
      </c>
      <c r="D2985" s="5" t="s">
        <v>8</v>
      </c>
      <c r="E2985" s="19" t="s">
        <v>6122</v>
      </c>
      <c r="F2985" s="34" t="s">
        <v>3574</v>
      </c>
      <c r="G2985" s="27">
        <v>6.15</v>
      </c>
      <c r="H2985" s="1" t="s">
        <v>774</v>
      </c>
      <c r="I2985" s="20">
        <v>1</v>
      </c>
      <c r="J2985" s="36">
        <v>0.06</v>
      </c>
    </row>
    <row r="2986" spans="2:10" x14ac:dyDescent="0.35">
      <c r="B2986" s="18" t="s">
        <v>3953</v>
      </c>
      <c r="C2986" s="19" t="s">
        <v>4785</v>
      </c>
      <c r="D2986" s="5" t="s">
        <v>8</v>
      </c>
      <c r="E2986" s="19" t="s">
        <v>6123</v>
      </c>
      <c r="F2986" s="34" t="s">
        <v>3574</v>
      </c>
      <c r="G2986" s="27">
        <v>2.79</v>
      </c>
      <c r="H2986" s="1" t="s">
        <v>774</v>
      </c>
      <c r="I2986" s="20">
        <v>1</v>
      </c>
      <c r="J2986" s="36">
        <v>0.06</v>
      </c>
    </row>
    <row r="2987" spans="2:10" x14ac:dyDescent="0.35">
      <c r="B2987" s="18">
        <v>1305165</v>
      </c>
      <c r="C2987" s="19" t="s">
        <v>4786</v>
      </c>
      <c r="D2987" s="5" t="s">
        <v>8</v>
      </c>
      <c r="E2987" s="19" t="s">
        <v>6124</v>
      </c>
      <c r="F2987" s="34" t="s">
        <v>3574</v>
      </c>
      <c r="G2987" s="27">
        <v>3.44</v>
      </c>
      <c r="H2987" s="1" t="s">
        <v>774</v>
      </c>
      <c r="I2987" s="20">
        <v>1</v>
      </c>
      <c r="J2987" s="36">
        <v>0.06</v>
      </c>
    </row>
    <row r="2988" spans="2:10" x14ac:dyDescent="0.35">
      <c r="B2988" s="18">
        <v>1305184</v>
      </c>
      <c r="C2988" s="19" t="s">
        <v>4787</v>
      </c>
      <c r="D2988" s="5" t="s">
        <v>8</v>
      </c>
      <c r="E2988" s="19" t="s">
        <v>6125</v>
      </c>
      <c r="F2988" s="34" t="s">
        <v>3574</v>
      </c>
      <c r="G2988" s="27">
        <v>4.05</v>
      </c>
      <c r="H2988" s="1" t="s">
        <v>774</v>
      </c>
      <c r="I2988" s="20">
        <v>1</v>
      </c>
      <c r="J2988" s="36">
        <v>0.06</v>
      </c>
    </row>
    <row r="2989" spans="2:10" x14ac:dyDescent="0.35">
      <c r="B2989" s="18" t="s">
        <v>3954</v>
      </c>
      <c r="C2989" s="19" t="s">
        <v>4677</v>
      </c>
      <c r="D2989" s="5" t="s">
        <v>8</v>
      </c>
      <c r="E2989" s="19" t="s">
        <v>6125</v>
      </c>
      <c r="F2989" s="34" t="s">
        <v>3574</v>
      </c>
      <c r="G2989" s="27">
        <v>4.05</v>
      </c>
      <c r="H2989" s="1" t="s">
        <v>774</v>
      </c>
      <c r="I2989" s="20">
        <v>1</v>
      </c>
      <c r="J2989" s="36">
        <v>0.06</v>
      </c>
    </row>
    <row r="2990" spans="2:10" x14ac:dyDescent="0.35">
      <c r="B2990" s="18">
        <v>1360319</v>
      </c>
      <c r="C2990" s="19" t="s">
        <v>4788</v>
      </c>
      <c r="D2990" s="5" t="s">
        <v>8</v>
      </c>
      <c r="E2990" s="19" t="s">
        <v>6126</v>
      </c>
      <c r="F2990" s="34" t="s">
        <v>3574</v>
      </c>
      <c r="G2990" s="27">
        <v>2.4500000000000002</v>
      </c>
      <c r="H2990" s="1" t="s">
        <v>774</v>
      </c>
      <c r="I2990" s="20">
        <v>1</v>
      </c>
      <c r="J2990" s="36">
        <v>0.06</v>
      </c>
    </row>
    <row r="2991" spans="2:10" x14ac:dyDescent="0.35">
      <c r="B2991" s="18">
        <v>1120204</v>
      </c>
      <c r="C2991" s="19" t="s">
        <v>4789</v>
      </c>
      <c r="D2991" s="5" t="s">
        <v>8</v>
      </c>
      <c r="E2991" s="19" t="s">
        <v>6127</v>
      </c>
      <c r="F2991" s="34" t="s">
        <v>3574</v>
      </c>
      <c r="G2991" s="27">
        <v>2.0699999999999998</v>
      </c>
      <c r="H2991" s="1" t="s">
        <v>774</v>
      </c>
      <c r="I2991" s="20">
        <v>1</v>
      </c>
      <c r="J2991" s="36">
        <v>0.06</v>
      </c>
    </row>
    <row r="2992" spans="2:10" x14ac:dyDescent="0.35">
      <c r="B2992" s="18">
        <v>1305157</v>
      </c>
      <c r="C2992" s="19" t="s">
        <v>4617</v>
      </c>
      <c r="D2992" s="5" t="s">
        <v>8</v>
      </c>
      <c r="E2992" s="19" t="s">
        <v>6127</v>
      </c>
      <c r="F2992" s="34" t="s">
        <v>3574</v>
      </c>
      <c r="G2992" s="27">
        <v>2.0699999999999998</v>
      </c>
      <c r="H2992" s="1" t="s">
        <v>774</v>
      </c>
      <c r="I2992" s="20">
        <v>1</v>
      </c>
      <c r="J2992" s="36">
        <v>0.06</v>
      </c>
    </row>
    <row r="2993" spans="2:10" x14ac:dyDescent="0.35">
      <c r="B2993" s="18">
        <v>1504497</v>
      </c>
      <c r="C2993" s="19" t="s">
        <v>4790</v>
      </c>
      <c r="D2993" s="5" t="s">
        <v>8</v>
      </c>
      <c r="E2993" s="19" t="s">
        <v>6128</v>
      </c>
      <c r="F2993" s="34" t="s">
        <v>3574</v>
      </c>
      <c r="G2993" s="27">
        <v>4.5599999999999996</v>
      </c>
      <c r="H2993" s="1" t="s">
        <v>774</v>
      </c>
      <c r="I2993" s="20">
        <v>1</v>
      </c>
      <c r="J2993" s="36">
        <v>0.06</v>
      </c>
    </row>
    <row r="2994" spans="2:10" x14ac:dyDescent="0.35">
      <c r="B2994" s="18">
        <v>1305138</v>
      </c>
      <c r="C2994" s="19" t="s">
        <v>4679</v>
      </c>
      <c r="D2994" s="5" t="s">
        <v>8</v>
      </c>
      <c r="E2994" s="19" t="s">
        <v>6129</v>
      </c>
      <c r="F2994" s="34" t="s">
        <v>3574</v>
      </c>
      <c r="G2994" s="27">
        <v>2.31</v>
      </c>
      <c r="H2994" s="1" t="s">
        <v>774</v>
      </c>
      <c r="I2994" s="20">
        <v>1</v>
      </c>
      <c r="J2994" s="36">
        <v>0.06</v>
      </c>
    </row>
    <row r="2995" spans="2:10" x14ac:dyDescent="0.35">
      <c r="B2995" s="18">
        <v>3603606</v>
      </c>
      <c r="C2995" s="19" t="s">
        <v>4791</v>
      </c>
      <c r="D2995" s="5" t="s">
        <v>8</v>
      </c>
      <c r="E2995" s="19" t="s">
        <v>6130</v>
      </c>
      <c r="F2995" s="34" t="s">
        <v>3574</v>
      </c>
      <c r="G2995" s="27">
        <v>2.73</v>
      </c>
      <c r="H2995" s="1" t="s">
        <v>774</v>
      </c>
      <c r="I2995" s="20">
        <v>1</v>
      </c>
      <c r="J2995" s="36">
        <v>0.06</v>
      </c>
    </row>
    <row r="2996" spans="2:10" x14ac:dyDescent="0.35">
      <c r="B2996" s="18">
        <v>1360320</v>
      </c>
      <c r="C2996" s="19" t="s">
        <v>4792</v>
      </c>
      <c r="D2996" s="5" t="s">
        <v>8</v>
      </c>
      <c r="E2996" s="19" t="s">
        <v>6131</v>
      </c>
      <c r="F2996" s="34" t="s">
        <v>3574</v>
      </c>
      <c r="G2996" s="27">
        <v>2.4500000000000002</v>
      </c>
      <c r="H2996" s="1" t="s">
        <v>774</v>
      </c>
      <c r="I2996" s="20">
        <v>1</v>
      </c>
      <c r="J2996" s="36">
        <v>0.06</v>
      </c>
    </row>
    <row r="2997" spans="2:10" x14ac:dyDescent="0.35">
      <c r="B2997" s="18" t="s">
        <v>3955</v>
      </c>
      <c r="C2997" s="19" t="s">
        <v>4793</v>
      </c>
      <c r="D2997" s="5" t="s">
        <v>8</v>
      </c>
      <c r="E2997" s="19" t="s">
        <v>6131</v>
      </c>
      <c r="F2997" s="34" t="s">
        <v>3574</v>
      </c>
      <c r="G2997" s="27">
        <v>2.4500000000000002</v>
      </c>
      <c r="H2997" s="1" t="s">
        <v>774</v>
      </c>
      <c r="I2997" s="20">
        <v>1</v>
      </c>
      <c r="J2997" s="36">
        <v>0.06</v>
      </c>
    </row>
    <row r="2998" spans="2:10" x14ac:dyDescent="0.35">
      <c r="B2998" s="18">
        <v>3604172</v>
      </c>
      <c r="C2998" s="19" t="s">
        <v>4794</v>
      </c>
      <c r="D2998" s="5" t="s">
        <v>8</v>
      </c>
      <c r="E2998" s="19" t="s">
        <v>6132</v>
      </c>
      <c r="F2998" s="34" t="s">
        <v>3574</v>
      </c>
      <c r="G2998" s="27">
        <v>4.6100000000000003</v>
      </c>
      <c r="H2998" s="1" t="s">
        <v>774</v>
      </c>
      <c r="I2998" s="20">
        <v>1</v>
      </c>
      <c r="J2998" s="36">
        <v>0.06</v>
      </c>
    </row>
    <row r="2999" spans="2:10" x14ac:dyDescent="0.35">
      <c r="B2999" s="18">
        <v>1305166</v>
      </c>
      <c r="C2999" s="19" t="s">
        <v>4795</v>
      </c>
      <c r="D2999" s="5" t="s">
        <v>8</v>
      </c>
      <c r="E2999" s="19" t="s">
        <v>6133</v>
      </c>
      <c r="F2999" s="34" t="s">
        <v>3574</v>
      </c>
      <c r="G2999" s="27">
        <v>4.05</v>
      </c>
      <c r="H2999" s="1" t="s">
        <v>774</v>
      </c>
      <c r="I2999" s="20">
        <v>1</v>
      </c>
      <c r="J2999" s="36">
        <v>0.06</v>
      </c>
    </row>
    <row r="3000" spans="2:10" x14ac:dyDescent="0.35">
      <c r="B3000" s="18">
        <v>2001770</v>
      </c>
      <c r="C3000" s="19" t="s">
        <v>4796</v>
      </c>
      <c r="D3000" s="5" t="s">
        <v>8</v>
      </c>
      <c r="E3000" s="19" t="s">
        <v>6134</v>
      </c>
      <c r="F3000" s="34" t="s">
        <v>3574</v>
      </c>
      <c r="G3000" s="27">
        <v>4.05</v>
      </c>
      <c r="H3000" s="1" t="s">
        <v>774</v>
      </c>
      <c r="I3000" s="20">
        <v>1</v>
      </c>
      <c r="J3000" s="36">
        <v>0.06</v>
      </c>
    </row>
    <row r="3001" spans="2:10" x14ac:dyDescent="0.35">
      <c r="B3001" s="18">
        <v>1305219</v>
      </c>
      <c r="C3001" s="19" t="s">
        <v>4797</v>
      </c>
      <c r="D3001" s="5" t="s">
        <v>8</v>
      </c>
      <c r="E3001" s="19" t="s">
        <v>6135</v>
      </c>
      <c r="F3001" s="34" t="s">
        <v>3574</v>
      </c>
      <c r="G3001" s="27">
        <v>5.24</v>
      </c>
      <c r="H3001" s="1" t="s">
        <v>774</v>
      </c>
      <c r="I3001" s="20">
        <v>1</v>
      </c>
      <c r="J3001" s="36">
        <v>0.06</v>
      </c>
    </row>
    <row r="3002" spans="2:10" x14ac:dyDescent="0.35">
      <c r="B3002" s="18" t="s">
        <v>3956</v>
      </c>
      <c r="C3002" s="19" t="s">
        <v>4220</v>
      </c>
      <c r="D3002" s="5" t="s">
        <v>8</v>
      </c>
      <c r="E3002" s="19" t="s">
        <v>6136</v>
      </c>
      <c r="F3002" s="34" t="s">
        <v>3574</v>
      </c>
      <c r="G3002" s="27">
        <v>5.24</v>
      </c>
      <c r="H3002" s="1" t="s">
        <v>774</v>
      </c>
      <c r="I3002" s="20">
        <v>1</v>
      </c>
      <c r="J3002" s="36">
        <v>0.06</v>
      </c>
    </row>
    <row r="3003" spans="2:10" x14ac:dyDescent="0.35">
      <c r="B3003" s="18">
        <v>1305159</v>
      </c>
      <c r="C3003" s="19" t="s">
        <v>4798</v>
      </c>
      <c r="D3003" s="5" t="s">
        <v>8</v>
      </c>
      <c r="E3003" s="19" t="s">
        <v>6137</v>
      </c>
      <c r="F3003" s="34" t="s">
        <v>3574</v>
      </c>
      <c r="G3003" s="27">
        <v>6.79</v>
      </c>
      <c r="H3003" s="1" t="s">
        <v>774</v>
      </c>
      <c r="I3003" s="20">
        <v>1</v>
      </c>
      <c r="J3003" s="36">
        <v>0.06</v>
      </c>
    </row>
    <row r="3004" spans="2:10" x14ac:dyDescent="0.35">
      <c r="B3004" s="18">
        <v>800001168</v>
      </c>
      <c r="C3004" s="19" t="s">
        <v>4799</v>
      </c>
      <c r="D3004" s="5" t="s">
        <v>8</v>
      </c>
      <c r="E3004" s="19" t="s">
        <v>6138</v>
      </c>
      <c r="F3004" s="34" t="s">
        <v>3574</v>
      </c>
      <c r="G3004" s="27">
        <v>8.0299999999999994</v>
      </c>
      <c r="H3004" s="1" t="s">
        <v>774</v>
      </c>
      <c r="I3004" s="20">
        <v>1</v>
      </c>
      <c r="J3004" s="36">
        <v>0.06</v>
      </c>
    </row>
    <row r="3005" spans="2:10" x14ac:dyDescent="0.35">
      <c r="B3005" s="18">
        <v>800001169</v>
      </c>
      <c r="C3005" s="19" t="s">
        <v>4800</v>
      </c>
      <c r="D3005" s="5" t="s">
        <v>8</v>
      </c>
      <c r="E3005" s="19" t="s">
        <v>6139</v>
      </c>
      <c r="F3005" s="34" t="s">
        <v>3574</v>
      </c>
      <c r="G3005" s="27">
        <v>8.2200000000000006</v>
      </c>
      <c r="H3005" s="1" t="s">
        <v>774</v>
      </c>
      <c r="I3005" s="20">
        <v>1</v>
      </c>
      <c r="J3005" s="36">
        <v>0.06</v>
      </c>
    </row>
    <row r="3006" spans="2:10" x14ac:dyDescent="0.35">
      <c r="B3006" s="18">
        <v>3603988</v>
      </c>
      <c r="C3006" s="19" t="s">
        <v>4801</v>
      </c>
      <c r="D3006" s="5" t="s">
        <v>8</v>
      </c>
      <c r="E3006" s="19" t="s">
        <v>6140</v>
      </c>
      <c r="F3006" s="34" t="s">
        <v>3574</v>
      </c>
      <c r="G3006" s="27">
        <v>4.2300000000000004</v>
      </c>
      <c r="H3006" s="1" t="s">
        <v>774</v>
      </c>
      <c r="I3006" s="20">
        <v>1</v>
      </c>
      <c r="J3006" s="36">
        <v>0.06</v>
      </c>
    </row>
    <row r="3007" spans="2:10" x14ac:dyDescent="0.35">
      <c r="B3007" s="18">
        <v>1361144</v>
      </c>
      <c r="C3007" s="19" t="s">
        <v>4802</v>
      </c>
      <c r="D3007" s="5" t="s">
        <v>8</v>
      </c>
      <c r="E3007" s="19" t="s">
        <v>6141</v>
      </c>
      <c r="F3007" s="34" t="s">
        <v>3574</v>
      </c>
      <c r="G3007" s="27">
        <v>2.85</v>
      </c>
      <c r="H3007" s="1" t="s">
        <v>774</v>
      </c>
      <c r="I3007" s="20">
        <v>1</v>
      </c>
      <c r="J3007" s="36">
        <v>0.06</v>
      </c>
    </row>
    <row r="3008" spans="2:10" x14ac:dyDescent="0.35">
      <c r="B3008" s="18">
        <v>3604622</v>
      </c>
      <c r="C3008" s="19" t="s">
        <v>4803</v>
      </c>
      <c r="D3008" s="5" t="s">
        <v>8</v>
      </c>
      <c r="E3008" s="19" t="s">
        <v>6142</v>
      </c>
      <c r="F3008" s="34" t="s">
        <v>3574</v>
      </c>
      <c r="G3008" s="27">
        <v>3.8</v>
      </c>
      <c r="H3008" s="1" t="s">
        <v>774</v>
      </c>
      <c r="I3008" s="20">
        <v>1</v>
      </c>
      <c r="J3008" s="36">
        <v>0.06</v>
      </c>
    </row>
    <row r="3009" spans="2:10" x14ac:dyDescent="0.35">
      <c r="B3009" s="18">
        <v>4000570</v>
      </c>
      <c r="C3009" s="19" t="s">
        <v>4804</v>
      </c>
      <c r="D3009" s="5" t="s">
        <v>8</v>
      </c>
      <c r="E3009" s="19" t="s">
        <v>6142</v>
      </c>
      <c r="F3009" s="34" t="s">
        <v>3574</v>
      </c>
      <c r="G3009" s="27">
        <v>3.8</v>
      </c>
      <c r="H3009" s="1" t="s">
        <v>774</v>
      </c>
      <c r="I3009" s="20">
        <v>1</v>
      </c>
      <c r="J3009" s="36">
        <v>0.06</v>
      </c>
    </row>
    <row r="3010" spans="2:10" x14ac:dyDescent="0.35">
      <c r="B3010" s="18" t="s">
        <v>3957</v>
      </c>
      <c r="C3010" s="19" t="s">
        <v>4803</v>
      </c>
      <c r="D3010" s="5" t="s">
        <v>8</v>
      </c>
      <c r="E3010" s="19" t="s">
        <v>6142</v>
      </c>
      <c r="F3010" s="34" t="s">
        <v>3574</v>
      </c>
      <c r="G3010" s="27">
        <v>3.8</v>
      </c>
      <c r="H3010" s="1" t="s">
        <v>774</v>
      </c>
      <c r="I3010" s="20">
        <v>1</v>
      </c>
      <c r="J3010" s="36">
        <v>0.06</v>
      </c>
    </row>
    <row r="3011" spans="2:10" x14ac:dyDescent="0.35">
      <c r="B3011" s="18" t="s">
        <v>3958</v>
      </c>
      <c r="C3011" s="19" t="s">
        <v>4805</v>
      </c>
      <c r="D3011" s="5" t="s">
        <v>8</v>
      </c>
      <c r="E3011" s="19" t="s">
        <v>6142</v>
      </c>
      <c r="F3011" s="34" t="s">
        <v>3574</v>
      </c>
      <c r="G3011" s="27">
        <v>3.8</v>
      </c>
      <c r="H3011" s="1" t="s">
        <v>774</v>
      </c>
      <c r="I3011" s="20">
        <v>1</v>
      </c>
      <c r="J3011" s="36">
        <v>0.06</v>
      </c>
    </row>
    <row r="3012" spans="2:10" x14ac:dyDescent="0.35">
      <c r="B3012" s="18">
        <v>3603607</v>
      </c>
      <c r="C3012" s="19" t="s">
        <v>4806</v>
      </c>
      <c r="D3012" s="5" t="s">
        <v>8</v>
      </c>
      <c r="E3012" s="19" t="s">
        <v>6143</v>
      </c>
      <c r="F3012" s="34" t="s">
        <v>3574</v>
      </c>
      <c r="G3012" s="27">
        <v>7.4099999999999993</v>
      </c>
      <c r="H3012" s="1" t="s">
        <v>774</v>
      </c>
      <c r="I3012" s="20">
        <v>1</v>
      </c>
      <c r="J3012" s="36">
        <v>0.06</v>
      </c>
    </row>
    <row r="3013" spans="2:10" x14ac:dyDescent="0.35">
      <c r="B3013" s="18" t="s">
        <v>3959</v>
      </c>
      <c r="C3013" s="19" t="s">
        <v>4807</v>
      </c>
      <c r="D3013" s="5" t="s">
        <v>8</v>
      </c>
      <c r="E3013" s="19" t="s">
        <v>6144</v>
      </c>
      <c r="F3013" s="34" t="s">
        <v>3574</v>
      </c>
      <c r="G3013" s="27">
        <v>4.76</v>
      </c>
      <c r="H3013" s="1" t="s">
        <v>774</v>
      </c>
      <c r="I3013" s="20">
        <v>1</v>
      </c>
      <c r="J3013" s="36">
        <v>0.06</v>
      </c>
    </row>
    <row r="3014" spans="2:10" x14ac:dyDescent="0.35">
      <c r="B3014" s="18" t="s">
        <v>3960</v>
      </c>
      <c r="C3014" s="19" t="s">
        <v>4808</v>
      </c>
      <c r="D3014" s="5" t="s">
        <v>8</v>
      </c>
      <c r="E3014" s="19" t="s">
        <v>6145</v>
      </c>
      <c r="F3014" s="34" t="s">
        <v>3574</v>
      </c>
      <c r="G3014" s="27">
        <v>4.2699999999999996</v>
      </c>
      <c r="H3014" s="1" t="s">
        <v>774</v>
      </c>
      <c r="I3014" s="20">
        <v>1</v>
      </c>
      <c r="J3014" s="36">
        <v>0.06</v>
      </c>
    </row>
    <row r="3015" spans="2:10" x14ac:dyDescent="0.35">
      <c r="B3015" s="18" t="s">
        <v>3961</v>
      </c>
      <c r="C3015" s="19" t="s">
        <v>4807</v>
      </c>
      <c r="D3015" s="5" t="s">
        <v>8</v>
      </c>
      <c r="E3015" s="19" t="s">
        <v>6146</v>
      </c>
      <c r="F3015" s="34" t="s">
        <v>3574</v>
      </c>
      <c r="G3015" s="27">
        <v>4.99</v>
      </c>
      <c r="H3015" s="1" t="s">
        <v>774</v>
      </c>
      <c r="I3015" s="20">
        <v>1</v>
      </c>
      <c r="J3015" s="36">
        <v>0.06</v>
      </c>
    </row>
    <row r="3016" spans="2:10" x14ac:dyDescent="0.35">
      <c r="B3016" s="18">
        <v>3603939</v>
      </c>
      <c r="C3016" s="19" t="s">
        <v>4809</v>
      </c>
      <c r="D3016" s="5" t="s">
        <v>8</v>
      </c>
      <c r="E3016" s="19" t="s">
        <v>6147</v>
      </c>
      <c r="F3016" s="34" t="s">
        <v>3574</v>
      </c>
      <c r="G3016" s="27">
        <v>7.54</v>
      </c>
      <c r="H3016" s="1" t="s">
        <v>774</v>
      </c>
      <c r="I3016" s="20">
        <v>1</v>
      </c>
      <c r="J3016" s="36">
        <v>0.06</v>
      </c>
    </row>
    <row r="3017" spans="2:10" x14ac:dyDescent="0.35">
      <c r="B3017" s="18">
        <v>3603520</v>
      </c>
      <c r="C3017" s="19" t="s">
        <v>4810</v>
      </c>
      <c r="D3017" s="5" t="s">
        <v>8</v>
      </c>
      <c r="E3017" s="19" t="s">
        <v>6148</v>
      </c>
      <c r="F3017" s="34" t="s">
        <v>3574</v>
      </c>
      <c r="G3017" s="27">
        <v>8.6</v>
      </c>
      <c r="H3017" s="1" t="s">
        <v>774</v>
      </c>
      <c r="I3017" s="20">
        <v>1</v>
      </c>
      <c r="J3017" s="36">
        <v>0.06</v>
      </c>
    </row>
    <row r="3018" spans="2:10" x14ac:dyDescent="0.35">
      <c r="B3018" s="18">
        <v>3601243</v>
      </c>
      <c r="C3018" s="19" t="s">
        <v>4811</v>
      </c>
      <c r="D3018" s="5" t="s">
        <v>8</v>
      </c>
      <c r="E3018" s="19" t="s">
        <v>6149</v>
      </c>
      <c r="F3018" s="34" t="s">
        <v>3574</v>
      </c>
      <c r="G3018" s="27">
        <v>6.79</v>
      </c>
      <c r="H3018" s="1" t="s">
        <v>774</v>
      </c>
      <c r="I3018" s="20">
        <v>1</v>
      </c>
      <c r="J3018" s="36">
        <v>0.06</v>
      </c>
    </row>
    <row r="3019" spans="2:10" x14ac:dyDescent="0.35">
      <c r="B3019" s="18">
        <v>3602768</v>
      </c>
      <c r="C3019" s="19" t="s">
        <v>4812</v>
      </c>
      <c r="D3019" s="5" t="s">
        <v>8</v>
      </c>
      <c r="E3019" s="19" t="s">
        <v>6150</v>
      </c>
      <c r="F3019" s="34" t="s">
        <v>3574</v>
      </c>
      <c r="G3019" s="27">
        <v>8.6</v>
      </c>
      <c r="H3019" s="1" t="s">
        <v>774</v>
      </c>
      <c r="I3019" s="20">
        <v>1</v>
      </c>
      <c r="J3019" s="36">
        <v>0.06</v>
      </c>
    </row>
    <row r="3020" spans="2:10" x14ac:dyDescent="0.35">
      <c r="B3020" s="18">
        <v>3602194</v>
      </c>
      <c r="C3020" s="19" t="s">
        <v>4813</v>
      </c>
      <c r="D3020" s="5" t="s">
        <v>8</v>
      </c>
      <c r="E3020" s="19" t="s">
        <v>6151</v>
      </c>
      <c r="F3020" s="34" t="s">
        <v>3574</v>
      </c>
      <c r="G3020" s="27">
        <v>8.31</v>
      </c>
      <c r="H3020" s="1" t="s">
        <v>774</v>
      </c>
      <c r="I3020" s="20">
        <v>1</v>
      </c>
      <c r="J3020" s="36">
        <v>0.06</v>
      </c>
    </row>
    <row r="3021" spans="2:10" x14ac:dyDescent="0.35">
      <c r="B3021" s="18">
        <v>1135624</v>
      </c>
      <c r="C3021" s="19" t="s">
        <v>4814</v>
      </c>
      <c r="D3021" s="5" t="s">
        <v>8</v>
      </c>
      <c r="E3021" s="19" t="s">
        <v>6152</v>
      </c>
      <c r="F3021" s="34" t="s">
        <v>3574</v>
      </c>
      <c r="G3021" s="27">
        <v>6.95</v>
      </c>
      <c r="H3021" s="1" t="s">
        <v>774</v>
      </c>
      <c r="I3021" s="20">
        <v>1</v>
      </c>
      <c r="J3021" s="36">
        <v>0.06</v>
      </c>
    </row>
    <row r="3022" spans="2:10" x14ac:dyDescent="0.35">
      <c r="B3022" s="18">
        <v>3603531</v>
      </c>
      <c r="C3022" s="19" t="s">
        <v>4815</v>
      </c>
      <c r="D3022" s="5" t="s">
        <v>8</v>
      </c>
      <c r="E3022" s="19" t="s">
        <v>6153</v>
      </c>
      <c r="F3022" s="34" t="s">
        <v>3574</v>
      </c>
      <c r="G3022" s="27">
        <v>6.68</v>
      </c>
      <c r="H3022" s="1" t="s">
        <v>774</v>
      </c>
      <c r="I3022" s="20">
        <v>1</v>
      </c>
      <c r="J3022" s="36">
        <v>0.06</v>
      </c>
    </row>
    <row r="3023" spans="2:10" x14ac:dyDescent="0.35">
      <c r="B3023" s="18">
        <v>3604455</v>
      </c>
      <c r="C3023" s="19" t="s">
        <v>4816</v>
      </c>
      <c r="D3023" s="5" t="s">
        <v>8</v>
      </c>
      <c r="E3023" s="19" t="s">
        <v>6154</v>
      </c>
      <c r="F3023" s="34" t="s">
        <v>3574</v>
      </c>
      <c r="G3023" s="27">
        <v>7.24</v>
      </c>
      <c r="H3023" s="1" t="s">
        <v>774</v>
      </c>
      <c r="I3023" s="20">
        <v>1</v>
      </c>
      <c r="J3023" s="36">
        <v>0.06</v>
      </c>
    </row>
    <row r="3024" spans="2:10" x14ac:dyDescent="0.35">
      <c r="B3024" s="18">
        <v>1585950</v>
      </c>
      <c r="C3024" s="19" t="s">
        <v>4817</v>
      </c>
      <c r="D3024" s="5" t="s">
        <v>8</v>
      </c>
      <c r="E3024" s="19" t="s">
        <v>6155</v>
      </c>
      <c r="F3024" s="34" t="s">
        <v>3574</v>
      </c>
      <c r="G3024" s="27">
        <v>8.3800000000000008</v>
      </c>
      <c r="H3024" s="1" t="s">
        <v>774</v>
      </c>
      <c r="I3024" s="20">
        <v>1</v>
      </c>
      <c r="J3024" s="36">
        <v>0.06</v>
      </c>
    </row>
    <row r="3025" spans="2:10" x14ac:dyDescent="0.35">
      <c r="B3025" s="18">
        <v>3601345</v>
      </c>
      <c r="C3025" s="19" t="s">
        <v>4818</v>
      </c>
      <c r="D3025" s="5" t="s">
        <v>8</v>
      </c>
      <c r="E3025" s="19" t="s">
        <v>6156</v>
      </c>
      <c r="F3025" s="34" t="s">
        <v>3574</v>
      </c>
      <c r="G3025" s="27">
        <v>9.26</v>
      </c>
      <c r="H3025" s="1" t="s">
        <v>774</v>
      </c>
      <c r="I3025" s="20">
        <v>1</v>
      </c>
      <c r="J3025" s="36">
        <v>0.06</v>
      </c>
    </row>
    <row r="3026" spans="2:10" x14ac:dyDescent="0.35">
      <c r="B3026" s="18" t="s">
        <v>3962</v>
      </c>
      <c r="C3026" s="19" t="s">
        <v>4819</v>
      </c>
      <c r="D3026" s="5" t="s">
        <v>8</v>
      </c>
      <c r="E3026" s="19" t="s">
        <v>6157</v>
      </c>
      <c r="F3026" s="34" t="s">
        <v>3574</v>
      </c>
      <c r="G3026" s="27">
        <v>8.59</v>
      </c>
      <c r="H3026" s="1" t="s">
        <v>774</v>
      </c>
      <c r="I3026" s="20">
        <v>1</v>
      </c>
      <c r="J3026" s="36">
        <v>0.06</v>
      </c>
    </row>
    <row r="3027" spans="2:10" x14ac:dyDescent="0.35">
      <c r="B3027" s="18">
        <v>4001216</v>
      </c>
      <c r="C3027" s="19" t="s">
        <v>4820</v>
      </c>
      <c r="D3027" s="5" t="s">
        <v>8</v>
      </c>
      <c r="E3027" s="19" t="s">
        <v>6158</v>
      </c>
      <c r="F3027" s="34" t="s">
        <v>3574</v>
      </c>
      <c r="G3027" s="27">
        <v>10.220000000000001</v>
      </c>
      <c r="H3027" s="1" t="s">
        <v>774</v>
      </c>
      <c r="I3027" s="20">
        <v>1</v>
      </c>
      <c r="J3027" s="36">
        <v>0.06</v>
      </c>
    </row>
    <row r="3028" spans="2:10" x14ac:dyDescent="0.35">
      <c r="B3028" s="18" t="s">
        <v>3963</v>
      </c>
      <c r="C3028" s="19" t="s">
        <v>4821</v>
      </c>
      <c r="D3028" s="5" t="s">
        <v>8</v>
      </c>
      <c r="E3028" s="19" t="s">
        <v>6159</v>
      </c>
      <c r="F3028" s="34" t="s">
        <v>3574</v>
      </c>
      <c r="G3028" s="27">
        <v>16.72</v>
      </c>
      <c r="H3028" s="1" t="s">
        <v>774</v>
      </c>
      <c r="I3028" s="20">
        <v>1</v>
      </c>
      <c r="J3028" s="36">
        <v>0.06</v>
      </c>
    </row>
    <row r="3029" spans="2:10" x14ac:dyDescent="0.35">
      <c r="B3029" s="18" t="s">
        <v>3964</v>
      </c>
      <c r="C3029" s="19" t="s">
        <v>4822</v>
      </c>
      <c r="D3029" s="5" t="s">
        <v>8</v>
      </c>
      <c r="E3029" s="19" t="s">
        <v>6160</v>
      </c>
      <c r="F3029" s="34" t="s">
        <v>3574</v>
      </c>
      <c r="G3029" s="27">
        <v>21.09</v>
      </c>
      <c r="H3029" s="1" t="s">
        <v>774</v>
      </c>
      <c r="I3029" s="20">
        <v>1</v>
      </c>
      <c r="J3029" s="36">
        <v>0.06</v>
      </c>
    </row>
    <row r="3030" spans="2:10" x14ac:dyDescent="0.35">
      <c r="B3030" s="18" t="s">
        <v>3965</v>
      </c>
      <c r="C3030" s="19" t="s">
        <v>4823</v>
      </c>
      <c r="D3030" s="5" t="s">
        <v>8</v>
      </c>
      <c r="E3030" s="19" t="s">
        <v>6161</v>
      </c>
      <c r="F3030" s="34" t="s">
        <v>3574</v>
      </c>
      <c r="G3030" s="27">
        <v>9.06</v>
      </c>
      <c r="H3030" s="1" t="s">
        <v>774</v>
      </c>
      <c r="I3030" s="20">
        <v>1</v>
      </c>
      <c r="J3030" s="36">
        <v>0.06</v>
      </c>
    </row>
    <row r="3031" spans="2:10" x14ac:dyDescent="0.35">
      <c r="B3031" s="18" t="s">
        <v>3966</v>
      </c>
      <c r="C3031" s="19" t="s">
        <v>4617</v>
      </c>
      <c r="D3031" s="5" t="s">
        <v>8</v>
      </c>
      <c r="E3031" s="19" t="s">
        <v>6162</v>
      </c>
      <c r="F3031" s="34" t="s">
        <v>3574</v>
      </c>
      <c r="G3031" s="27">
        <v>14.09</v>
      </c>
      <c r="H3031" s="1" t="s">
        <v>774</v>
      </c>
      <c r="I3031" s="20">
        <v>1</v>
      </c>
      <c r="J3031" s="36">
        <v>0.06</v>
      </c>
    </row>
    <row r="3032" spans="2:10" x14ac:dyDescent="0.35">
      <c r="B3032" s="18" t="s">
        <v>3967</v>
      </c>
      <c r="C3032" s="19" t="s">
        <v>4220</v>
      </c>
      <c r="D3032" s="5" t="s">
        <v>8</v>
      </c>
      <c r="E3032" s="19" t="s">
        <v>6163</v>
      </c>
      <c r="F3032" s="34" t="s">
        <v>3574</v>
      </c>
      <c r="G3032" s="27">
        <v>12.59</v>
      </c>
      <c r="H3032" s="1" t="s">
        <v>774</v>
      </c>
      <c r="I3032" s="20">
        <v>1</v>
      </c>
      <c r="J3032" s="36">
        <v>0.06</v>
      </c>
    </row>
    <row r="3033" spans="2:10" x14ac:dyDescent="0.35">
      <c r="B3033" s="18">
        <v>4002652</v>
      </c>
      <c r="C3033" s="19" t="s">
        <v>4824</v>
      </c>
      <c r="D3033" s="5" t="s">
        <v>8</v>
      </c>
      <c r="E3033" s="19" t="s">
        <v>6164</v>
      </c>
      <c r="F3033" s="34" t="s">
        <v>3574</v>
      </c>
      <c r="G3033" s="27">
        <v>9.17</v>
      </c>
      <c r="H3033" s="1" t="s">
        <v>774</v>
      </c>
      <c r="I3033" s="20">
        <v>1</v>
      </c>
      <c r="J3033" s="36">
        <v>0.06</v>
      </c>
    </row>
    <row r="3034" spans="2:10" x14ac:dyDescent="0.35">
      <c r="B3034" s="18">
        <v>3601572</v>
      </c>
      <c r="C3034" s="19" t="s">
        <v>4825</v>
      </c>
      <c r="D3034" s="5" t="s">
        <v>8</v>
      </c>
      <c r="E3034" s="19" t="s">
        <v>6165</v>
      </c>
      <c r="F3034" s="34" t="s">
        <v>3574</v>
      </c>
      <c r="G3034" s="27">
        <v>7.27</v>
      </c>
      <c r="H3034" s="1" t="s">
        <v>774</v>
      </c>
      <c r="I3034" s="20">
        <v>1</v>
      </c>
      <c r="J3034" s="36">
        <v>0.06</v>
      </c>
    </row>
    <row r="3035" spans="2:10" x14ac:dyDescent="0.35">
      <c r="B3035" s="18" t="s">
        <v>3968</v>
      </c>
      <c r="C3035" s="19" t="s">
        <v>4826</v>
      </c>
      <c r="D3035" s="5" t="s">
        <v>8</v>
      </c>
      <c r="E3035" s="19" t="s">
        <v>6166</v>
      </c>
      <c r="F3035" s="34" t="s">
        <v>3574</v>
      </c>
      <c r="G3035" s="27">
        <v>4.2300000000000004</v>
      </c>
      <c r="H3035" s="1" t="s">
        <v>774</v>
      </c>
      <c r="I3035" s="20">
        <v>1</v>
      </c>
      <c r="J3035" s="36">
        <v>0.06</v>
      </c>
    </row>
    <row r="3036" spans="2:10" x14ac:dyDescent="0.35">
      <c r="B3036" s="18">
        <v>3603142</v>
      </c>
      <c r="C3036" s="19" t="s">
        <v>4827</v>
      </c>
      <c r="D3036" s="5" t="s">
        <v>8</v>
      </c>
      <c r="E3036" s="19" t="s">
        <v>6167</v>
      </c>
      <c r="F3036" s="34" t="s">
        <v>3574</v>
      </c>
      <c r="G3036" s="27">
        <v>4.75</v>
      </c>
      <c r="H3036" s="1" t="s">
        <v>774</v>
      </c>
      <c r="I3036" s="20">
        <v>1</v>
      </c>
      <c r="J3036" s="36">
        <v>0.06</v>
      </c>
    </row>
    <row r="3037" spans="2:10" x14ac:dyDescent="0.35">
      <c r="B3037" s="18">
        <v>1410826</v>
      </c>
      <c r="C3037" s="19" t="s">
        <v>4828</v>
      </c>
      <c r="D3037" s="5" t="s">
        <v>8</v>
      </c>
      <c r="E3037" s="19" t="s">
        <v>6168</v>
      </c>
      <c r="F3037" s="34" t="s">
        <v>3574</v>
      </c>
      <c r="G3037" s="27">
        <v>5.3</v>
      </c>
      <c r="H3037" s="1" t="s">
        <v>774</v>
      </c>
      <c r="I3037" s="20">
        <v>1</v>
      </c>
      <c r="J3037" s="36">
        <v>0.06</v>
      </c>
    </row>
    <row r="3038" spans="2:10" x14ac:dyDescent="0.35">
      <c r="B3038" s="18">
        <v>800003630</v>
      </c>
      <c r="C3038" s="19" t="s">
        <v>4829</v>
      </c>
      <c r="D3038" s="5" t="s">
        <v>8</v>
      </c>
      <c r="E3038" s="19" t="s">
        <v>6169</v>
      </c>
      <c r="F3038" s="34" t="s">
        <v>3574</v>
      </c>
      <c r="G3038" s="27">
        <v>8.27</v>
      </c>
      <c r="H3038" s="1" t="s">
        <v>774</v>
      </c>
      <c r="I3038" s="20">
        <v>1</v>
      </c>
      <c r="J3038" s="36">
        <v>0.06</v>
      </c>
    </row>
    <row r="3039" spans="2:10" x14ac:dyDescent="0.35">
      <c r="B3039" s="18">
        <v>1305215</v>
      </c>
      <c r="C3039" s="19" t="s">
        <v>4830</v>
      </c>
      <c r="D3039" s="5" t="s">
        <v>8</v>
      </c>
      <c r="E3039" s="19" t="s">
        <v>6170</v>
      </c>
      <c r="F3039" s="34" t="s">
        <v>3574</v>
      </c>
      <c r="G3039" s="27">
        <v>4.33</v>
      </c>
      <c r="H3039" s="1" t="s">
        <v>774</v>
      </c>
      <c r="I3039" s="20">
        <v>1</v>
      </c>
      <c r="J3039" s="36">
        <v>0.06</v>
      </c>
    </row>
    <row r="3040" spans="2:10" x14ac:dyDescent="0.35">
      <c r="B3040" s="18" t="s">
        <v>3969</v>
      </c>
      <c r="C3040" s="19" t="s">
        <v>4831</v>
      </c>
      <c r="D3040" s="5" t="s">
        <v>8</v>
      </c>
      <c r="E3040" s="19" t="s">
        <v>6170</v>
      </c>
      <c r="F3040" s="34" t="s">
        <v>3574</v>
      </c>
      <c r="G3040" s="27">
        <v>4.33</v>
      </c>
      <c r="H3040" s="1" t="s">
        <v>774</v>
      </c>
      <c r="I3040" s="20">
        <v>1</v>
      </c>
      <c r="J3040" s="36">
        <v>0.06</v>
      </c>
    </row>
    <row r="3041" spans="2:10" x14ac:dyDescent="0.35">
      <c r="B3041" s="18">
        <v>3603749</v>
      </c>
      <c r="C3041" s="19" t="s">
        <v>4832</v>
      </c>
      <c r="D3041" s="5" t="s">
        <v>8</v>
      </c>
      <c r="E3041" s="19" t="s">
        <v>6171</v>
      </c>
      <c r="F3041" s="34" t="s">
        <v>3574</v>
      </c>
      <c r="G3041" s="27">
        <v>8.08</v>
      </c>
      <c r="H3041" s="1" t="s">
        <v>774</v>
      </c>
      <c r="I3041" s="20">
        <v>1</v>
      </c>
      <c r="J3041" s="36">
        <v>0.06</v>
      </c>
    </row>
    <row r="3042" spans="2:10" x14ac:dyDescent="0.35">
      <c r="B3042" s="18">
        <v>3603465</v>
      </c>
      <c r="C3042" s="19" t="s">
        <v>4833</v>
      </c>
      <c r="D3042" s="5" t="s">
        <v>8</v>
      </c>
      <c r="E3042" s="19" t="s">
        <v>6172</v>
      </c>
      <c r="F3042" s="34" t="s">
        <v>3574</v>
      </c>
      <c r="G3042" s="27">
        <v>9.7899999999999991</v>
      </c>
      <c r="H3042" s="1" t="s">
        <v>774</v>
      </c>
      <c r="I3042" s="20">
        <v>1</v>
      </c>
      <c r="J3042" s="36">
        <v>0.06</v>
      </c>
    </row>
    <row r="3043" spans="2:10" x14ac:dyDescent="0.35">
      <c r="B3043" s="18">
        <v>3601514</v>
      </c>
      <c r="C3043" s="19" t="s">
        <v>4834</v>
      </c>
      <c r="D3043" s="5" t="s">
        <v>8</v>
      </c>
      <c r="E3043" s="19" t="s">
        <v>6173</v>
      </c>
      <c r="F3043" s="34" t="s">
        <v>3574</v>
      </c>
      <c r="G3043" s="27">
        <v>7.89</v>
      </c>
      <c r="H3043" s="1" t="s">
        <v>774</v>
      </c>
      <c r="I3043" s="20">
        <v>1</v>
      </c>
      <c r="J3043" s="36">
        <v>0.06</v>
      </c>
    </row>
    <row r="3044" spans="2:10" x14ac:dyDescent="0.35">
      <c r="B3044" s="18">
        <v>3602843</v>
      </c>
      <c r="C3044" s="19" t="s">
        <v>4835</v>
      </c>
      <c r="D3044" s="5" t="s">
        <v>8</v>
      </c>
      <c r="E3044" s="19" t="s">
        <v>6174</v>
      </c>
      <c r="F3044" s="34" t="s">
        <v>3574</v>
      </c>
      <c r="G3044" s="27">
        <v>8.94</v>
      </c>
      <c r="H3044" s="1" t="s">
        <v>774</v>
      </c>
      <c r="I3044" s="20">
        <v>1</v>
      </c>
      <c r="J3044" s="36">
        <v>0.06</v>
      </c>
    </row>
    <row r="3045" spans="2:10" x14ac:dyDescent="0.35">
      <c r="B3045" s="18">
        <v>3602748</v>
      </c>
      <c r="C3045" s="19" t="s">
        <v>4836</v>
      </c>
      <c r="D3045" s="5" t="s">
        <v>8</v>
      </c>
      <c r="E3045" s="19" t="s">
        <v>6175</v>
      </c>
      <c r="F3045" s="34" t="s">
        <v>3574</v>
      </c>
      <c r="G3045" s="27">
        <v>12.73</v>
      </c>
      <c r="H3045" s="1" t="s">
        <v>774</v>
      </c>
      <c r="I3045" s="20">
        <v>1</v>
      </c>
      <c r="J3045" s="36">
        <v>0.06</v>
      </c>
    </row>
    <row r="3046" spans="2:10" x14ac:dyDescent="0.35">
      <c r="B3046" s="18">
        <v>1305123</v>
      </c>
      <c r="C3046" s="19" t="s">
        <v>4837</v>
      </c>
      <c r="D3046" s="5" t="s">
        <v>8</v>
      </c>
      <c r="E3046" s="19" t="s">
        <v>6176</v>
      </c>
      <c r="F3046" s="34" t="s">
        <v>3574</v>
      </c>
      <c r="G3046" s="27">
        <v>11.48</v>
      </c>
      <c r="H3046" s="1" t="s">
        <v>774</v>
      </c>
      <c r="I3046" s="20">
        <v>1</v>
      </c>
      <c r="J3046" s="36">
        <v>0.06</v>
      </c>
    </row>
    <row r="3047" spans="2:10" x14ac:dyDescent="0.35">
      <c r="B3047" s="18">
        <v>3603853</v>
      </c>
      <c r="C3047" s="19" t="s">
        <v>4838</v>
      </c>
      <c r="D3047" s="5" t="s">
        <v>8</v>
      </c>
      <c r="E3047" s="19" t="s">
        <v>6177</v>
      </c>
      <c r="F3047" s="34" t="s">
        <v>3574</v>
      </c>
      <c r="G3047" s="27">
        <v>11.88</v>
      </c>
      <c r="H3047" s="1" t="s">
        <v>774</v>
      </c>
      <c r="I3047" s="20">
        <v>1</v>
      </c>
      <c r="J3047" s="36">
        <v>0.06</v>
      </c>
    </row>
    <row r="3048" spans="2:10" x14ac:dyDescent="0.35">
      <c r="B3048" s="18">
        <v>3604612</v>
      </c>
      <c r="C3048" s="19" t="s">
        <v>4839</v>
      </c>
      <c r="D3048" s="5" t="s">
        <v>8</v>
      </c>
      <c r="E3048" s="19" t="s">
        <v>6178</v>
      </c>
      <c r="F3048" s="34" t="s">
        <v>3574</v>
      </c>
      <c r="G3048" s="27">
        <v>13.54</v>
      </c>
      <c r="H3048" s="1" t="s">
        <v>774</v>
      </c>
      <c r="I3048" s="20">
        <v>1</v>
      </c>
      <c r="J3048" s="36">
        <v>0.06</v>
      </c>
    </row>
    <row r="3049" spans="2:10" x14ac:dyDescent="0.35">
      <c r="B3049" s="18">
        <v>3604489</v>
      </c>
      <c r="C3049" s="19" t="s">
        <v>4840</v>
      </c>
      <c r="D3049" s="5" t="s">
        <v>8</v>
      </c>
      <c r="E3049" s="19" t="s">
        <v>6179</v>
      </c>
      <c r="F3049" s="34" t="s">
        <v>3574</v>
      </c>
      <c r="G3049" s="27">
        <v>12.1</v>
      </c>
      <c r="H3049" s="1" t="s">
        <v>774</v>
      </c>
      <c r="I3049" s="20">
        <v>1</v>
      </c>
      <c r="J3049" s="36">
        <v>0.06</v>
      </c>
    </row>
    <row r="3050" spans="2:10" x14ac:dyDescent="0.35">
      <c r="B3050" s="18">
        <v>3604195</v>
      </c>
      <c r="C3050" s="19" t="s">
        <v>4841</v>
      </c>
      <c r="D3050" s="5" t="s">
        <v>8</v>
      </c>
      <c r="E3050" s="19" t="s">
        <v>6180</v>
      </c>
      <c r="F3050" s="34" t="s">
        <v>3574</v>
      </c>
      <c r="G3050" s="27">
        <v>14.26</v>
      </c>
      <c r="H3050" s="1" t="s">
        <v>774</v>
      </c>
      <c r="I3050" s="20">
        <v>1</v>
      </c>
      <c r="J3050" s="36">
        <v>0.06</v>
      </c>
    </row>
    <row r="3051" spans="2:10" x14ac:dyDescent="0.35">
      <c r="B3051" s="18">
        <v>3603989</v>
      </c>
      <c r="C3051" s="19" t="s">
        <v>4842</v>
      </c>
      <c r="D3051" s="5" t="s">
        <v>8</v>
      </c>
      <c r="E3051" s="19" t="s">
        <v>6181</v>
      </c>
      <c r="F3051" s="34" t="s">
        <v>3574</v>
      </c>
      <c r="G3051" s="27">
        <v>4.78</v>
      </c>
      <c r="H3051" s="1" t="s">
        <v>774</v>
      </c>
      <c r="I3051" s="20">
        <v>1</v>
      </c>
      <c r="J3051" s="36">
        <v>0.06</v>
      </c>
    </row>
    <row r="3052" spans="2:10" x14ac:dyDescent="0.35">
      <c r="B3052" s="18" t="s">
        <v>3970</v>
      </c>
      <c r="C3052" s="19" t="s">
        <v>4709</v>
      </c>
      <c r="D3052" s="5" t="s">
        <v>8</v>
      </c>
      <c r="E3052" s="19" t="s">
        <v>6182</v>
      </c>
      <c r="F3052" s="34" t="s">
        <v>3574</v>
      </c>
      <c r="G3052" s="27">
        <v>4.78</v>
      </c>
      <c r="H3052" s="1" t="s">
        <v>774</v>
      </c>
      <c r="I3052" s="20">
        <v>1</v>
      </c>
      <c r="J3052" s="36">
        <v>0.06</v>
      </c>
    </row>
    <row r="3053" spans="2:10" x14ac:dyDescent="0.35">
      <c r="B3053" s="18" t="s">
        <v>3971</v>
      </c>
      <c r="C3053" s="19" t="s">
        <v>4709</v>
      </c>
      <c r="D3053" s="5" t="s">
        <v>8</v>
      </c>
      <c r="E3053" s="19" t="s">
        <v>6182</v>
      </c>
      <c r="F3053" s="34" t="s">
        <v>3574</v>
      </c>
      <c r="G3053" s="27">
        <v>4.78</v>
      </c>
      <c r="H3053" s="1" t="s">
        <v>774</v>
      </c>
      <c r="I3053" s="20">
        <v>1</v>
      </c>
      <c r="J3053" s="36">
        <v>0.06</v>
      </c>
    </row>
    <row r="3054" spans="2:10" x14ac:dyDescent="0.35">
      <c r="B3054" s="18" t="s">
        <v>3972</v>
      </c>
      <c r="C3054" s="19" t="s">
        <v>4617</v>
      </c>
      <c r="D3054" s="5" t="s">
        <v>8</v>
      </c>
      <c r="E3054" s="19" t="s">
        <v>6183</v>
      </c>
      <c r="F3054" s="34" t="s">
        <v>3574</v>
      </c>
      <c r="G3054" s="27">
        <v>6.23</v>
      </c>
      <c r="H3054" s="1" t="s">
        <v>774</v>
      </c>
      <c r="I3054" s="20">
        <v>1</v>
      </c>
      <c r="J3054" s="36">
        <v>0.06</v>
      </c>
    </row>
    <row r="3055" spans="2:10" x14ac:dyDescent="0.35">
      <c r="B3055" s="18" t="s">
        <v>3973</v>
      </c>
      <c r="C3055" s="19" t="s">
        <v>4843</v>
      </c>
      <c r="D3055" s="5" t="s">
        <v>8</v>
      </c>
      <c r="E3055" s="19" t="s">
        <v>6184</v>
      </c>
      <c r="F3055" s="34" t="s">
        <v>3574</v>
      </c>
      <c r="G3055" s="27">
        <v>8.59</v>
      </c>
      <c r="H3055" s="1" t="s">
        <v>774</v>
      </c>
      <c r="I3055" s="20">
        <v>1</v>
      </c>
      <c r="J3055" s="36">
        <v>0.06</v>
      </c>
    </row>
    <row r="3056" spans="2:10" x14ac:dyDescent="0.35">
      <c r="B3056" s="18">
        <v>800003301</v>
      </c>
      <c r="C3056" s="19" t="s">
        <v>4844</v>
      </c>
      <c r="D3056" s="5" t="s">
        <v>8</v>
      </c>
      <c r="E3056" s="19" t="s">
        <v>6185</v>
      </c>
      <c r="F3056" s="34" t="s">
        <v>3574</v>
      </c>
      <c r="G3056" s="27">
        <v>11.99</v>
      </c>
      <c r="H3056" s="1" t="s">
        <v>774</v>
      </c>
      <c r="I3056" s="20">
        <v>1</v>
      </c>
      <c r="J3056" s="36">
        <v>0.06</v>
      </c>
    </row>
    <row r="3057" spans="2:10" x14ac:dyDescent="0.35">
      <c r="B3057" s="18">
        <v>1305133</v>
      </c>
      <c r="C3057" s="19" t="s">
        <v>4734</v>
      </c>
      <c r="D3057" s="5" t="s">
        <v>8</v>
      </c>
      <c r="E3057" s="19" t="s">
        <v>6186</v>
      </c>
      <c r="F3057" s="34" t="s">
        <v>3574</v>
      </c>
      <c r="G3057" s="27">
        <v>4.59</v>
      </c>
      <c r="H3057" s="1" t="s">
        <v>774</v>
      </c>
      <c r="I3057" s="20">
        <v>1</v>
      </c>
      <c r="J3057" s="36">
        <v>0.06</v>
      </c>
    </row>
    <row r="3058" spans="2:10" x14ac:dyDescent="0.35">
      <c r="B3058" s="18" t="s">
        <v>3974</v>
      </c>
      <c r="C3058" s="19" t="s">
        <v>4220</v>
      </c>
      <c r="D3058" s="5" t="s">
        <v>8</v>
      </c>
      <c r="E3058" s="19" t="s">
        <v>6187</v>
      </c>
      <c r="F3058" s="34" t="s">
        <v>3574</v>
      </c>
      <c r="G3058" s="27">
        <v>6.49</v>
      </c>
      <c r="H3058" s="1" t="s">
        <v>774</v>
      </c>
      <c r="I3058" s="20">
        <v>1</v>
      </c>
      <c r="J3058" s="36">
        <v>0.06</v>
      </c>
    </row>
    <row r="3059" spans="2:10" x14ac:dyDescent="0.35">
      <c r="B3059" s="18" t="s">
        <v>3975</v>
      </c>
      <c r="C3059" s="19" t="s">
        <v>4220</v>
      </c>
      <c r="D3059" s="5" t="s">
        <v>8</v>
      </c>
      <c r="E3059" s="19" t="s">
        <v>6188</v>
      </c>
      <c r="F3059" s="34" t="s">
        <v>3574</v>
      </c>
      <c r="G3059" s="27">
        <v>9.18</v>
      </c>
      <c r="H3059" s="1" t="s">
        <v>774</v>
      </c>
      <c r="I3059" s="20">
        <v>1</v>
      </c>
      <c r="J3059" s="36">
        <v>0.06</v>
      </c>
    </row>
    <row r="3060" spans="2:10" x14ac:dyDescent="0.35">
      <c r="B3060" s="18" t="s">
        <v>3976</v>
      </c>
      <c r="C3060" s="19" t="s">
        <v>4220</v>
      </c>
      <c r="D3060" s="5" t="s">
        <v>8</v>
      </c>
      <c r="E3060" s="19" t="s">
        <v>6189</v>
      </c>
      <c r="F3060" s="34" t="s">
        <v>3574</v>
      </c>
      <c r="G3060" s="27">
        <v>12.86</v>
      </c>
      <c r="H3060" s="1" t="s">
        <v>774</v>
      </c>
      <c r="I3060" s="20">
        <v>1</v>
      </c>
      <c r="J3060" s="36">
        <v>0.06</v>
      </c>
    </row>
    <row r="3061" spans="2:10" x14ac:dyDescent="0.35">
      <c r="B3061" s="18" t="s">
        <v>3977</v>
      </c>
      <c r="C3061" s="19" t="s">
        <v>4220</v>
      </c>
      <c r="D3061" s="5" t="s">
        <v>8</v>
      </c>
      <c r="E3061" s="19" t="s">
        <v>6190</v>
      </c>
      <c r="F3061" s="34" t="s">
        <v>3574</v>
      </c>
      <c r="G3061" s="27">
        <v>14.1</v>
      </c>
      <c r="H3061" s="1" t="s">
        <v>774</v>
      </c>
      <c r="I3061" s="20">
        <v>1</v>
      </c>
      <c r="J3061" s="36">
        <v>0.06</v>
      </c>
    </row>
    <row r="3062" spans="2:10" x14ac:dyDescent="0.35">
      <c r="B3062" s="18" t="s">
        <v>3978</v>
      </c>
      <c r="C3062" s="19" t="s">
        <v>4220</v>
      </c>
      <c r="D3062" s="5" t="s">
        <v>8</v>
      </c>
      <c r="E3062" s="19" t="s">
        <v>6191</v>
      </c>
      <c r="F3062" s="34" t="s">
        <v>3574</v>
      </c>
      <c r="G3062" s="27">
        <v>7.51</v>
      </c>
      <c r="H3062" s="1" t="s">
        <v>774</v>
      </c>
      <c r="I3062" s="20">
        <v>1</v>
      </c>
      <c r="J3062" s="36">
        <v>0.06</v>
      </c>
    </row>
    <row r="3063" spans="2:10" x14ac:dyDescent="0.35">
      <c r="B3063" s="18">
        <v>3603675</v>
      </c>
      <c r="C3063" s="19" t="s">
        <v>4845</v>
      </c>
      <c r="D3063" s="5" t="s">
        <v>8</v>
      </c>
      <c r="E3063" s="19" t="s">
        <v>6192</v>
      </c>
      <c r="F3063" s="34" t="s">
        <v>3574</v>
      </c>
      <c r="G3063" s="27">
        <v>28.689999999999998</v>
      </c>
      <c r="H3063" s="1" t="s">
        <v>774</v>
      </c>
      <c r="I3063" s="20">
        <v>1</v>
      </c>
      <c r="J3063" s="36">
        <v>0.06</v>
      </c>
    </row>
    <row r="3064" spans="2:10" x14ac:dyDescent="0.35">
      <c r="B3064" s="18">
        <v>3604301</v>
      </c>
      <c r="C3064" s="19" t="s">
        <v>4846</v>
      </c>
      <c r="D3064" s="5" t="s">
        <v>8</v>
      </c>
      <c r="E3064" s="19" t="s">
        <v>6193</v>
      </c>
      <c r="F3064" s="34" t="s">
        <v>3574</v>
      </c>
      <c r="G3064" s="27">
        <v>20.58</v>
      </c>
      <c r="H3064" s="1" t="s">
        <v>774</v>
      </c>
      <c r="I3064" s="20">
        <v>1</v>
      </c>
      <c r="J3064" s="36">
        <v>0.06</v>
      </c>
    </row>
    <row r="3065" spans="2:10" x14ac:dyDescent="0.35">
      <c r="B3065" s="18" t="s">
        <v>3979</v>
      </c>
      <c r="C3065" s="19" t="s">
        <v>4617</v>
      </c>
      <c r="D3065" s="5" t="s">
        <v>8</v>
      </c>
      <c r="E3065" s="19" t="s">
        <v>6194</v>
      </c>
      <c r="F3065" s="34" t="s">
        <v>3574</v>
      </c>
      <c r="G3065" s="27">
        <v>19.559999999999999</v>
      </c>
      <c r="H3065" s="1" t="s">
        <v>774</v>
      </c>
      <c r="I3065" s="20">
        <v>1</v>
      </c>
      <c r="J3065" s="36">
        <v>0.06</v>
      </c>
    </row>
    <row r="3066" spans="2:10" x14ac:dyDescent="0.35">
      <c r="B3066" s="18" t="s">
        <v>3980</v>
      </c>
      <c r="C3066" s="19" t="s">
        <v>4220</v>
      </c>
      <c r="D3066" s="5" t="s">
        <v>8</v>
      </c>
      <c r="E3066" s="19" t="s">
        <v>6195</v>
      </c>
      <c r="F3066" s="34" t="s">
        <v>3574</v>
      </c>
      <c r="G3066" s="27">
        <v>24.52</v>
      </c>
      <c r="H3066" s="1" t="s">
        <v>774</v>
      </c>
      <c r="I3066" s="20">
        <v>1</v>
      </c>
      <c r="J3066" s="36">
        <v>0.06</v>
      </c>
    </row>
    <row r="3067" spans="2:10" x14ac:dyDescent="0.35">
      <c r="B3067" s="18">
        <v>3603877</v>
      </c>
      <c r="C3067" s="19" t="s">
        <v>4847</v>
      </c>
      <c r="D3067" s="5" t="s">
        <v>8</v>
      </c>
      <c r="E3067" s="19" t="s">
        <v>6196</v>
      </c>
      <c r="F3067" s="34" t="s">
        <v>3574</v>
      </c>
      <c r="G3067" s="27">
        <v>32.450000000000003</v>
      </c>
      <c r="H3067" s="1" t="s">
        <v>774</v>
      </c>
      <c r="I3067" s="20">
        <v>1</v>
      </c>
      <c r="J3067" s="36">
        <v>0.06</v>
      </c>
    </row>
    <row r="3068" spans="2:10" x14ac:dyDescent="0.35">
      <c r="B3068" s="18" t="s">
        <v>3981</v>
      </c>
      <c r="C3068" s="19" t="s">
        <v>4220</v>
      </c>
      <c r="D3068" s="5" t="s">
        <v>8</v>
      </c>
      <c r="E3068" s="19" t="s">
        <v>6197</v>
      </c>
      <c r="F3068" s="34" t="s">
        <v>3574</v>
      </c>
      <c r="G3068" s="27">
        <v>5.25</v>
      </c>
      <c r="H3068" s="1" t="s">
        <v>774</v>
      </c>
      <c r="I3068" s="20">
        <v>1</v>
      </c>
      <c r="J3068" s="36">
        <v>0.06</v>
      </c>
    </row>
    <row r="3069" spans="2:10" x14ac:dyDescent="0.35">
      <c r="B3069" s="18">
        <v>4001224</v>
      </c>
      <c r="C3069" s="19" t="s">
        <v>4848</v>
      </c>
      <c r="D3069" s="5" t="s">
        <v>8</v>
      </c>
      <c r="E3069" s="19" t="s">
        <v>6198</v>
      </c>
      <c r="F3069" s="34" t="s">
        <v>3574</v>
      </c>
      <c r="G3069" s="27">
        <v>9.2200000000000006</v>
      </c>
      <c r="H3069" s="1" t="s">
        <v>774</v>
      </c>
      <c r="I3069" s="20">
        <v>1</v>
      </c>
      <c r="J3069" s="36">
        <v>0.06</v>
      </c>
    </row>
    <row r="3070" spans="2:10" x14ac:dyDescent="0.35">
      <c r="B3070" s="18">
        <v>1305211</v>
      </c>
      <c r="C3070" s="19" t="s">
        <v>4849</v>
      </c>
      <c r="D3070" s="5" t="s">
        <v>8</v>
      </c>
      <c r="E3070" s="19" t="s">
        <v>6199</v>
      </c>
      <c r="F3070" s="34" t="s">
        <v>3574</v>
      </c>
      <c r="G3070" s="27">
        <v>4.22</v>
      </c>
      <c r="H3070" s="1" t="s">
        <v>774</v>
      </c>
      <c r="I3070" s="20">
        <v>1</v>
      </c>
      <c r="J3070" s="36">
        <v>0.06</v>
      </c>
    </row>
    <row r="3071" spans="2:10" x14ac:dyDescent="0.35">
      <c r="B3071" s="18" t="s">
        <v>3982</v>
      </c>
      <c r="C3071" s="19" t="s">
        <v>4850</v>
      </c>
      <c r="D3071" s="5" t="s">
        <v>8</v>
      </c>
      <c r="E3071" s="19" t="s">
        <v>6200</v>
      </c>
      <c r="F3071" s="34" t="s">
        <v>3574</v>
      </c>
      <c r="G3071" s="27">
        <v>4.22</v>
      </c>
      <c r="H3071" s="1" t="s">
        <v>774</v>
      </c>
      <c r="I3071" s="20">
        <v>1</v>
      </c>
      <c r="J3071" s="36">
        <v>0.06</v>
      </c>
    </row>
    <row r="3072" spans="2:10" x14ac:dyDescent="0.35">
      <c r="B3072" s="18">
        <v>3603666</v>
      </c>
      <c r="C3072" s="19" t="s">
        <v>4851</v>
      </c>
      <c r="D3072" s="5" t="s">
        <v>8</v>
      </c>
      <c r="E3072" s="19" t="s">
        <v>6201</v>
      </c>
      <c r="F3072" s="34" t="s">
        <v>3574</v>
      </c>
      <c r="G3072" s="27">
        <v>6.98</v>
      </c>
      <c r="H3072" s="1" t="s">
        <v>774</v>
      </c>
      <c r="I3072" s="20">
        <v>1</v>
      </c>
      <c r="J3072" s="36">
        <v>0.06</v>
      </c>
    </row>
    <row r="3073" spans="2:10" x14ac:dyDescent="0.35">
      <c r="B3073" s="18">
        <v>800001846</v>
      </c>
      <c r="C3073" s="19" t="s">
        <v>4852</v>
      </c>
      <c r="D3073" s="5" t="s">
        <v>8</v>
      </c>
      <c r="E3073" s="19" t="s">
        <v>6202</v>
      </c>
      <c r="F3073" s="34" t="s">
        <v>3574</v>
      </c>
      <c r="G3073" s="27">
        <v>6.2</v>
      </c>
      <c r="H3073" s="1" t="s">
        <v>774</v>
      </c>
      <c r="I3073" s="20">
        <v>1</v>
      </c>
      <c r="J3073" s="36">
        <v>0.06</v>
      </c>
    </row>
    <row r="3074" spans="2:10" x14ac:dyDescent="0.35">
      <c r="B3074" s="18">
        <v>1305213</v>
      </c>
      <c r="C3074" s="19" t="s">
        <v>4734</v>
      </c>
      <c r="D3074" s="5" t="s">
        <v>8</v>
      </c>
      <c r="E3074" s="19" t="s">
        <v>6203</v>
      </c>
      <c r="F3074" s="34" t="s">
        <v>3574</v>
      </c>
      <c r="G3074" s="27">
        <v>4.28</v>
      </c>
      <c r="H3074" s="1" t="s">
        <v>774</v>
      </c>
      <c r="I3074" s="20">
        <v>1</v>
      </c>
      <c r="J3074" s="36">
        <v>0.06</v>
      </c>
    </row>
    <row r="3075" spans="2:10" x14ac:dyDescent="0.35">
      <c r="B3075" s="18">
        <v>1586140</v>
      </c>
      <c r="C3075" s="19" t="s">
        <v>4853</v>
      </c>
      <c r="D3075" s="5" t="s">
        <v>8</v>
      </c>
      <c r="E3075" s="19" t="s">
        <v>6204</v>
      </c>
      <c r="F3075" s="34" t="s">
        <v>3574</v>
      </c>
      <c r="G3075" s="27">
        <v>7.28</v>
      </c>
      <c r="H3075" s="1" t="s">
        <v>774</v>
      </c>
      <c r="I3075" s="20">
        <v>1</v>
      </c>
      <c r="J3075" s="36">
        <v>0.06</v>
      </c>
    </row>
    <row r="3076" spans="2:10" x14ac:dyDescent="0.35">
      <c r="B3076" s="18" t="s">
        <v>3983</v>
      </c>
      <c r="C3076" s="19" t="s">
        <v>4220</v>
      </c>
      <c r="D3076" s="5" t="s">
        <v>8</v>
      </c>
      <c r="E3076" s="19" t="s">
        <v>6205</v>
      </c>
      <c r="F3076" s="34" t="s">
        <v>3574</v>
      </c>
      <c r="G3076" s="27">
        <v>6.14</v>
      </c>
      <c r="H3076" s="1" t="s">
        <v>774</v>
      </c>
      <c r="I3076" s="20">
        <v>1</v>
      </c>
      <c r="J3076" s="36">
        <v>0.06</v>
      </c>
    </row>
    <row r="3077" spans="2:10" x14ac:dyDescent="0.35">
      <c r="B3077" s="18" t="s">
        <v>3984</v>
      </c>
      <c r="C3077" s="19" t="s">
        <v>4617</v>
      </c>
      <c r="D3077" s="5" t="s">
        <v>8</v>
      </c>
      <c r="E3077" s="19" t="s">
        <v>6206</v>
      </c>
      <c r="F3077" s="34" t="s">
        <v>3574</v>
      </c>
      <c r="G3077" s="27">
        <v>15.34</v>
      </c>
      <c r="H3077" s="1" t="s">
        <v>774</v>
      </c>
      <c r="I3077" s="20">
        <v>1</v>
      </c>
      <c r="J3077" s="36">
        <v>0.06</v>
      </c>
    </row>
    <row r="3078" spans="2:10" x14ac:dyDescent="0.35">
      <c r="B3078" s="18">
        <v>800003154</v>
      </c>
      <c r="C3078" s="19" t="s">
        <v>4854</v>
      </c>
      <c r="D3078" s="5" t="s">
        <v>8</v>
      </c>
      <c r="E3078" s="19" t="s">
        <v>6207</v>
      </c>
      <c r="F3078" s="34" t="s">
        <v>3574</v>
      </c>
      <c r="G3078" s="27">
        <v>6.55</v>
      </c>
      <c r="H3078" s="1" t="s">
        <v>774</v>
      </c>
      <c r="I3078" s="20">
        <v>1</v>
      </c>
      <c r="J3078" s="36">
        <v>0.06</v>
      </c>
    </row>
    <row r="3079" spans="2:10" x14ac:dyDescent="0.35">
      <c r="B3079" s="18" t="s">
        <v>3985</v>
      </c>
      <c r="C3079" s="19" t="s">
        <v>4855</v>
      </c>
      <c r="D3079" s="5" t="s">
        <v>8</v>
      </c>
      <c r="E3079" s="19" t="s">
        <v>6208</v>
      </c>
      <c r="F3079" s="34" t="s">
        <v>3574</v>
      </c>
      <c r="G3079" s="27">
        <v>9.17</v>
      </c>
      <c r="H3079" s="1" t="s">
        <v>774</v>
      </c>
      <c r="I3079" s="20">
        <v>1</v>
      </c>
      <c r="J3079" s="36">
        <v>0.06</v>
      </c>
    </row>
    <row r="3080" spans="2:10" x14ac:dyDescent="0.35">
      <c r="B3080" s="18">
        <v>3604345</v>
      </c>
      <c r="C3080" s="19" t="s">
        <v>4856</v>
      </c>
      <c r="D3080" s="5" t="s">
        <v>8</v>
      </c>
      <c r="E3080" s="19" t="s">
        <v>6209</v>
      </c>
      <c r="F3080" s="34" t="s">
        <v>3574</v>
      </c>
      <c r="G3080" s="27">
        <v>14.35</v>
      </c>
      <c r="H3080" s="1" t="s">
        <v>774</v>
      </c>
      <c r="I3080" s="20">
        <v>1</v>
      </c>
      <c r="J3080" s="36">
        <v>0.06</v>
      </c>
    </row>
    <row r="3081" spans="2:10" x14ac:dyDescent="0.35">
      <c r="B3081" s="18">
        <v>1305181</v>
      </c>
      <c r="C3081" s="19" t="s">
        <v>4857</v>
      </c>
      <c r="D3081" s="5" t="s">
        <v>8</v>
      </c>
      <c r="E3081" s="19" t="s">
        <v>6210</v>
      </c>
      <c r="F3081" s="34" t="s">
        <v>3574</v>
      </c>
      <c r="G3081" s="27">
        <v>10.31</v>
      </c>
      <c r="H3081" s="1" t="s">
        <v>774</v>
      </c>
      <c r="I3081" s="20">
        <v>1</v>
      </c>
      <c r="J3081" s="36">
        <v>0.06</v>
      </c>
    </row>
    <row r="3082" spans="2:10" x14ac:dyDescent="0.35">
      <c r="B3082" s="18" t="s">
        <v>3986</v>
      </c>
      <c r="C3082" s="19" t="s">
        <v>4220</v>
      </c>
      <c r="D3082" s="5" t="s">
        <v>8</v>
      </c>
      <c r="E3082" s="19" t="s">
        <v>6211</v>
      </c>
      <c r="F3082" s="34" t="s">
        <v>3574</v>
      </c>
      <c r="G3082" s="27">
        <v>14.73</v>
      </c>
      <c r="H3082" s="1" t="s">
        <v>774</v>
      </c>
      <c r="I3082" s="20">
        <v>1</v>
      </c>
      <c r="J3082" s="36">
        <v>0.06</v>
      </c>
    </row>
    <row r="3083" spans="2:10" x14ac:dyDescent="0.35">
      <c r="B3083" s="18">
        <v>4002070</v>
      </c>
      <c r="C3083" s="19" t="s">
        <v>4858</v>
      </c>
      <c r="D3083" s="5" t="s">
        <v>8</v>
      </c>
      <c r="E3083" s="19" t="s">
        <v>6212</v>
      </c>
      <c r="F3083" s="34" t="s">
        <v>3574</v>
      </c>
      <c r="G3083" s="27">
        <v>10.55</v>
      </c>
      <c r="H3083" s="1" t="s">
        <v>774</v>
      </c>
      <c r="I3083" s="20">
        <v>1</v>
      </c>
      <c r="J3083" s="36">
        <v>0.06</v>
      </c>
    </row>
    <row r="3084" spans="2:10" x14ac:dyDescent="0.35">
      <c r="B3084" s="18">
        <v>800003629</v>
      </c>
      <c r="C3084" s="19" t="s">
        <v>4859</v>
      </c>
      <c r="D3084" s="5" t="s">
        <v>8</v>
      </c>
      <c r="E3084" s="19" t="s">
        <v>6213</v>
      </c>
      <c r="F3084" s="34" t="s">
        <v>3574</v>
      </c>
      <c r="G3084" s="27">
        <v>7.93</v>
      </c>
      <c r="H3084" s="1" t="s">
        <v>774</v>
      </c>
      <c r="I3084" s="20">
        <v>1</v>
      </c>
      <c r="J3084" s="36">
        <v>0.06</v>
      </c>
    </row>
    <row r="3085" spans="2:10" x14ac:dyDescent="0.35">
      <c r="B3085" s="18">
        <v>3603399</v>
      </c>
      <c r="C3085" s="19" t="s">
        <v>4860</v>
      </c>
      <c r="D3085" s="5" t="s">
        <v>8</v>
      </c>
      <c r="E3085" s="19" t="s">
        <v>6214</v>
      </c>
      <c r="F3085" s="34" t="s">
        <v>3574</v>
      </c>
      <c r="G3085" s="27">
        <v>10.18</v>
      </c>
      <c r="H3085" s="1" t="s">
        <v>774</v>
      </c>
      <c r="I3085" s="20">
        <v>1</v>
      </c>
      <c r="J3085" s="36">
        <v>0.06</v>
      </c>
    </row>
    <row r="3086" spans="2:10" x14ac:dyDescent="0.35">
      <c r="B3086" s="18" t="s">
        <v>3987</v>
      </c>
      <c r="C3086" s="19" t="s">
        <v>4617</v>
      </c>
      <c r="D3086" s="5" t="s">
        <v>8</v>
      </c>
      <c r="E3086" s="19" t="s">
        <v>6215</v>
      </c>
      <c r="F3086" s="34" t="s">
        <v>3574</v>
      </c>
      <c r="G3086" s="27">
        <v>12.07</v>
      </c>
      <c r="H3086" s="1" t="s">
        <v>774</v>
      </c>
      <c r="I3086" s="20">
        <v>1</v>
      </c>
      <c r="J3086" s="36">
        <v>0.06</v>
      </c>
    </row>
    <row r="3087" spans="2:10" x14ac:dyDescent="0.35">
      <c r="B3087" s="18">
        <v>3604318</v>
      </c>
      <c r="C3087" s="19" t="s">
        <v>4861</v>
      </c>
      <c r="D3087" s="5" t="s">
        <v>8</v>
      </c>
      <c r="E3087" s="19" t="s">
        <v>6216</v>
      </c>
      <c r="F3087" s="34" t="s">
        <v>3574</v>
      </c>
      <c r="G3087" s="27">
        <v>11.59</v>
      </c>
      <c r="H3087" s="1" t="s">
        <v>774</v>
      </c>
      <c r="I3087" s="20">
        <v>1</v>
      </c>
      <c r="J3087" s="36">
        <v>0.06</v>
      </c>
    </row>
    <row r="3088" spans="2:10" x14ac:dyDescent="0.35">
      <c r="B3088" s="18">
        <v>3603419</v>
      </c>
      <c r="C3088" s="19" t="s">
        <v>4862</v>
      </c>
      <c r="D3088" s="5" t="s">
        <v>8</v>
      </c>
      <c r="E3088" s="19" t="s">
        <v>6217</v>
      </c>
      <c r="F3088" s="34" t="s">
        <v>3574</v>
      </c>
      <c r="G3088" s="27">
        <v>16.440000000000001</v>
      </c>
      <c r="H3088" s="1" t="s">
        <v>774</v>
      </c>
      <c r="I3088" s="20">
        <v>1</v>
      </c>
      <c r="J3088" s="36">
        <v>0.06</v>
      </c>
    </row>
    <row r="3089" spans="2:10" x14ac:dyDescent="0.35">
      <c r="B3089" s="18">
        <v>3604181</v>
      </c>
      <c r="C3089" s="19" t="s">
        <v>4863</v>
      </c>
      <c r="D3089" s="5" t="s">
        <v>8</v>
      </c>
      <c r="E3089" s="19" t="s">
        <v>6218</v>
      </c>
      <c r="F3089" s="34" t="s">
        <v>3574</v>
      </c>
      <c r="G3089" s="27">
        <v>16.52</v>
      </c>
      <c r="H3089" s="1" t="s">
        <v>774</v>
      </c>
      <c r="I3089" s="20">
        <v>1</v>
      </c>
      <c r="J3089" s="36">
        <v>0.06</v>
      </c>
    </row>
    <row r="3090" spans="2:10" x14ac:dyDescent="0.35">
      <c r="B3090" s="18" t="s">
        <v>3988</v>
      </c>
      <c r="C3090" s="19" t="s">
        <v>4220</v>
      </c>
      <c r="D3090" s="5" t="s">
        <v>8</v>
      </c>
      <c r="E3090" s="19" t="s">
        <v>6219</v>
      </c>
      <c r="F3090" s="34" t="s">
        <v>3574</v>
      </c>
      <c r="G3090" s="27">
        <v>14.25</v>
      </c>
      <c r="H3090" s="1" t="s">
        <v>774</v>
      </c>
      <c r="I3090" s="20">
        <v>1</v>
      </c>
      <c r="J3090" s="36">
        <v>0.06</v>
      </c>
    </row>
    <row r="3091" spans="2:10" x14ac:dyDescent="0.35">
      <c r="B3091" s="18" t="s">
        <v>3989</v>
      </c>
      <c r="C3091" s="19" t="s">
        <v>4220</v>
      </c>
      <c r="D3091" s="5" t="s">
        <v>8</v>
      </c>
      <c r="E3091" s="19" t="s">
        <v>6220</v>
      </c>
      <c r="F3091" s="34" t="s">
        <v>3574</v>
      </c>
      <c r="G3091" s="27">
        <v>19.29</v>
      </c>
      <c r="H3091" s="1" t="s">
        <v>774</v>
      </c>
      <c r="I3091" s="20">
        <v>1</v>
      </c>
      <c r="J3091" s="36">
        <v>0.06</v>
      </c>
    </row>
    <row r="3092" spans="2:10" x14ac:dyDescent="0.35">
      <c r="B3092" s="18">
        <v>800002810</v>
      </c>
      <c r="C3092" s="19" t="s">
        <v>4864</v>
      </c>
      <c r="D3092" s="5" t="s">
        <v>8</v>
      </c>
      <c r="E3092" s="19" t="s">
        <v>6221</v>
      </c>
      <c r="F3092" s="34" t="s">
        <v>3574</v>
      </c>
      <c r="G3092" s="27">
        <v>26.22</v>
      </c>
      <c r="H3092" s="1" t="s">
        <v>774</v>
      </c>
      <c r="I3092" s="20">
        <v>1</v>
      </c>
      <c r="J3092" s="36">
        <v>0.06</v>
      </c>
    </row>
    <row r="3093" spans="2:10" x14ac:dyDescent="0.35">
      <c r="B3093" s="18" t="s">
        <v>3990</v>
      </c>
      <c r="C3093" s="19" t="s">
        <v>4865</v>
      </c>
      <c r="D3093" s="5" t="s">
        <v>8</v>
      </c>
      <c r="E3093" s="19" t="s">
        <v>6222</v>
      </c>
      <c r="F3093" s="34" t="s">
        <v>3574</v>
      </c>
      <c r="G3093" s="27">
        <v>23.13</v>
      </c>
      <c r="H3093" s="1" t="s">
        <v>774</v>
      </c>
      <c r="I3093" s="20">
        <v>1</v>
      </c>
      <c r="J3093" s="36">
        <v>0.06</v>
      </c>
    </row>
    <row r="3094" spans="2:10" x14ac:dyDescent="0.35">
      <c r="B3094" s="18">
        <v>800003176</v>
      </c>
      <c r="C3094" s="19" t="s">
        <v>4866</v>
      </c>
      <c r="D3094" s="5" t="s">
        <v>8</v>
      </c>
      <c r="E3094" s="19" t="s">
        <v>6223</v>
      </c>
      <c r="F3094" s="34" t="s">
        <v>3574</v>
      </c>
      <c r="G3094" s="27">
        <v>23.66</v>
      </c>
      <c r="H3094" s="1" t="s">
        <v>774</v>
      </c>
      <c r="I3094" s="20">
        <v>1</v>
      </c>
      <c r="J3094" s="36">
        <v>0.06</v>
      </c>
    </row>
    <row r="3095" spans="2:10" x14ac:dyDescent="0.35">
      <c r="B3095" s="18">
        <v>800003177</v>
      </c>
      <c r="C3095" s="19" t="s">
        <v>4867</v>
      </c>
      <c r="D3095" s="5" t="s">
        <v>8</v>
      </c>
      <c r="E3095" s="19" t="s">
        <v>6224</v>
      </c>
      <c r="F3095" s="34" t="s">
        <v>3574</v>
      </c>
      <c r="G3095" s="27">
        <v>24.7</v>
      </c>
      <c r="H3095" s="1" t="s">
        <v>774</v>
      </c>
      <c r="I3095" s="20">
        <v>1</v>
      </c>
      <c r="J3095" s="36">
        <v>0.06</v>
      </c>
    </row>
    <row r="3096" spans="2:10" x14ac:dyDescent="0.35">
      <c r="B3096" s="18" t="s">
        <v>3991</v>
      </c>
      <c r="C3096" s="19" t="s">
        <v>4617</v>
      </c>
      <c r="D3096" s="5" t="s">
        <v>8</v>
      </c>
      <c r="E3096" s="19" t="s">
        <v>6225</v>
      </c>
      <c r="F3096" s="34" t="s">
        <v>3574</v>
      </c>
      <c r="G3096" s="27">
        <v>21.84</v>
      </c>
      <c r="H3096" s="1" t="s">
        <v>774</v>
      </c>
      <c r="I3096" s="20">
        <v>1</v>
      </c>
      <c r="J3096" s="36">
        <v>0.06</v>
      </c>
    </row>
    <row r="3097" spans="2:10" x14ac:dyDescent="0.35">
      <c r="B3097" s="18">
        <v>800001381</v>
      </c>
      <c r="C3097" s="19" t="s">
        <v>4868</v>
      </c>
      <c r="D3097" s="5" t="s">
        <v>8</v>
      </c>
      <c r="E3097" s="19" t="s">
        <v>6226</v>
      </c>
      <c r="F3097" s="34" t="s">
        <v>3574</v>
      </c>
      <c r="G3097" s="27">
        <v>6.18</v>
      </c>
      <c r="H3097" s="1" t="s">
        <v>774</v>
      </c>
      <c r="I3097" s="20">
        <v>1</v>
      </c>
      <c r="J3097" s="36">
        <v>0.06</v>
      </c>
    </row>
    <row r="3098" spans="2:10" x14ac:dyDescent="0.35">
      <c r="B3098" s="18" t="s">
        <v>3992</v>
      </c>
      <c r="C3098" s="19" t="s">
        <v>4869</v>
      </c>
      <c r="D3098" s="5" t="s">
        <v>8</v>
      </c>
      <c r="E3098" s="19" t="s">
        <v>6227</v>
      </c>
      <c r="F3098" s="34" t="s">
        <v>3574</v>
      </c>
      <c r="G3098" s="27">
        <v>15.3</v>
      </c>
      <c r="H3098" s="1" t="s">
        <v>774</v>
      </c>
      <c r="I3098" s="20">
        <v>1</v>
      </c>
      <c r="J3098" s="36">
        <v>0.06</v>
      </c>
    </row>
    <row r="3099" spans="2:10" x14ac:dyDescent="0.35">
      <c r="B3099" s="18">
        <v>800001379</v>
      </c>
      <c r="C3099" s="19" t="s">
        <v>4870</v>
      </c>
      <c r="D3099" s="5" t="s">
        <v>8</v>
      </c>
      <c r="E3099" s="19" t="s">
        <v>6228</v>
      </c>
      <c r="F3099" s="34" t="s">
        <v>3574</v>
      </c>
      <c r="G3099" s="27">
        <v>8.7899999999999991</v>
      </c>
      <c r="H3099" s="1" t="s">
        <v>774</v>
      </c>
      <c r="I3099" s="20">
        <v>1</v>
      </c>
      <c r="J3099" s="36">
        <v>0.06</v>
      </c>
    </row>
    <row r="3100" spans="2:10" x14ac:dyDescent="0.35">
      <c r="B3100" s="18">
        <v>800001380</v>
      </c>
      <c r="C3100" s="19" t="s">
        <v>4871</v>
      </c>
      <c r="D3100" s="5" t="s">
        <v>8</v>
      </c>
      <c r="E3100" s="19" t="s">
        <v>6229</v>
      </c>
      <c r="F3100" s="34" t="s">
        <v>3574</v>
      </c>
      <c r="G3100" s="27">
        <v>21.23</v>
      </c>
      <c r="H3100" s="1" t="s">
        <v>774</v>
      </c>
      <c r="I3100" s="20">
        <v>1</v>
      </c>
      <c r="J3100" s="36">
        <v>0.06</v>
      </c>
    </row>
    <row r="3101" spans="2:10" x14ac:dyDescent="0.35">
      <c r="B3101" s="18" t="s">
        <v>3993</v>
      </c>
      <c r="C3101" s="19" t="s">
        <v>4220</v>
      </c>
      <c r="D3101" s="5" t="s">
        <v>8</v>
      </c>
      <c r="E3101" s="19" t="s">
        <v>6230</v>
      </c>
      <c r="F3101" s="34" t="s">
        <v>3574</v>
      </c>
      <c r="G3101" s="27">
        <v>39.04</v>
      </c>
      <c r="H3101" s="1" t="s">
        <v>774</v>
      </c>
      <c r="I3101" s="20">
        <v>1</v>
      </c>
      <c r="J3101" s="36">
        <v>0.06</v>
      </c>
    </row>
    <row r="3102" spans="2:10" x14ac:dyDescent="0.35">
      <c r="B3102" s="18" t="s">
        <v>3994</v>
      </c>
      <c r="C3102" s="19" t="s">
        <v>4220</v>
      </c>
      <c r="D3102" s="5" t="s">
        <v>8</v>
      </c>
      <c r="E3102" s="19" t="s">
        <v>6231</v>
      </c>
      <c r="F3102" s="34" t="s">
        <v>3574</v>
      </c>
      <c r="G3102" s="27">
        <v>26.84</v>
      </c>
      <c r="H3102" s="1" t="s">
        <v>774</v>
      </c>
      <c r="I3102" s="20">
        <v>1</v>
      </c>
      <c r="J3102" s="36">
        <v>0.06</v>
      </c>
    </row>
    <row r="3103" spans="2:10" x14ac:dyDescent="0.35">
      <c r="B3103" s="18" t="s">
        <v>3995</v>
      </c>
      <c r="C3103" s="19" t="s">
        <v>4220</v>
      </c>
      <c r="D3103" s="5" t="s">
        <v>8</v>
      </c>
      <c r="E3103" s="19" t="s">
        <v>6232</v>
      </c>
      <c r="F3103" s="34" t="s">
        <v>3574</v>
      </c>
      <c r="G3103" s="27">
        <v>43.23</v>
      </c>
      <c r="H3103" s="1" t="s">
        <v>774</v>
      </c>
      <c r="I3103" s="20">
        <v>1</v>
      </c>
      <c r="J3103" s="36">
        <v>0.06</v>
      </c>
    </row>
    <row r="3104" spans="2:10" x14ac:dyDescent="0.35">
      <c r="B3104" s="18">
        <v>800001960</v>
      </c>
      <c r="C3104" s="19" t="s">
        <v>4220</v>
      </c>
      <c r="D3104" s="5" t="s">
        <v>8</v>
      </c>
      <c r="E3104" s="19" t="s">
        <v>6233</v>
      </c>
      <c r="F3104" s="34" t="s">
        <v>3574</v>
      </c>
      <c r="G3104" s="27">
        <v>36.770000000000003</v>
      </c>
      <c r="H3104" s="1" t="s">
        <v>774</v>
      </c>
      <c r="I3104" s="20">
        <v>1</v>
      </c>
      <c r="J3104" s="36">
        <v>0.06</v>
      </c>
    </row>
    <row r="3105" spans="2:10" x14ac:dyDescent="0.35">
      <c r="B3105" s="18" t="s">
        <v>3996</v>
      </c>
      <c r="C3105" s="19" t="s">
        <v>4220</v>
      </c>
      <c r="D3105" s="5" t="s">
        <v>8</v>
      </c>
      <c r="E3105" s="19" t="s">
        <v>6234</v>
      </c>
      <c r="F3105" s="34" t="s">
        <v>3574</v>
      </c>
      <c r="G3105" s="27">
        <v>28.31</v>
      </c>
      <c r="H3105" s="1" t="s">
        <v>774</v>
      </c>
      <c r="I3105" s="20">
        <v>1</v>
      </c>
      <c r="J3105" s="36">
        <v>0.06</v>
      </c>
    </row>
    <row r="3106" spans="2:10" x14ac:dyDescent="0.35">
      <c r="B3106" s="18" t="s">
        <v>3997</v>
      </c>
      <c r="C3106" s="19" t="s">
        <v>4220</v>
      </c>
      <c r="D3106" s="5" t="s">
        <v>8</v>
      </c>
      <c r="E3106" s="19" t="s">
        <v>6235</v>
      </c>
      <c r="F3106" s="34" t="s">
        <v>3574</v>
      </c>
      <c r="G3106" s="27">
        <v>25.18</v>
      </c>
      <c r="H3106" s="1" t="s">
        <v>774</v>
      </c>
      <c r="I3106" s="20">
        <v>1</v>
      </c>
      <c r="J3106" s="36">
        <v>0.06</v>
      </c>
    </row>
    <row r="3107" spans="2:10" x14ac:dyDescent="0.35">
      <c r="B3107" s="18" t="s">
        <v>3998</v>
      </c>
      <c r="C3107" s="19" t="s">
        <v>4872</v>
      </c>
      <c r="D3107" s="5" t="s">
        <v>8</v>
      </c>
      <c r="E3107" s="19" t="s">
        <v>6236</v>
      </c>
      <c r="F3107" s="34" t="s">
        <v>3574</v>
      </c>
      <c r="G3107" s="27">
        <v>32.68</v>
      </c>
      <c r="H3107" s="1" t="s">
        <v>774</v>
      </c>
      <c r="I3107" s="20">
        <v>1</v>
      </c>
      <c r="J3107" s="36">
        <v>0.06</v>
      </c>
    </row>
    <row r="3108" spans="2:10" x14ac:dyDescent="0.35">
      <c r="B3108" s="18">
        <v>800001888</v>
      </c>
      <c r="C3108" s="19" t="s">
        <v>4873</v>
      </c>
      <c r="D3108" s="5" t="s">
        <v>8</v>
      </c>
      <c r="E3108" s="19" t="s">
        <v>6237</v>
      </c>
      <c r="F3108" s="34" t="s">
        <v>3574</v>
      </c>
      <c r="G3108" s="27">
        <v>32.68</v>
      </c>
      <c r="H3108" s="1" t="s">
        <v>774</v>
      </c>
      <c r="I3108" s="20">
        <v>1</v>
      </c>
      <c r="J3108" s="36">
        <v>0.06</v>
      </c>
    </row>
    <row r="3109" spans="2:10" x14ac:dyDescent="0.35">
      <c r="B3109" s="18">
        <v>3604503</v>
      </c>
      <c r="C3109" s="19" t="s">
        <v>4874</v>
      </c>
      <c r="D3109" s="5" t="s">
        <v>8</v>
      </c>
      <c r="E3109" s="19" t="s">
        <v>6238</v>
      </c>
      <c r="F3109" s="34" t="s">
        <v>3574</v>
      </c>
      <c r="G3109" s="27">
        <v>38.43</v>
      </c>
      <c r="H3109" s="1" t="s">
        <v>774</v>
      </c>
      <c r="I3109" s="20">
        <v>1</v>
      </c>
      <c r="J3109" s="36">
        <v>0.06</v>
      </c>
    </row>
    <row r="3110" spans="2:10" x14ac:dyDescent="0.35">
      <c r="B3110" s="18" t="s">
        <v>3999</v>
      </c>
      <c r="C3110" s="19" t="s">
        <v>4875</v>
      </c>
      <c r="D3110" s="5" t="s">
        <v>8</v>
      </c>
      <c r="E3110" s="19" t="s">
        <v>6239</v>
      </c>
      <c r="F3110" s="34" t="s">
        <v>3574</v>
      </c>
      <c r="G3110" s="27">
        <v>58.06</v>
      </c>
      <c r="H3110" s="1" t="s">
        <v>774</v>
      </c>
      <c r="I3110" s="20">
        <v>1</v>
      </c>
      <c r="J3110" s="36">
        <v>0.06</v>
      </c>
    </row>
    <row r="3111" spans="2:10" x14ac:dyDescent="0.35">
      <c r="B3111" s="18">
        <v>800002843</v>
      </c>
      <c r="C3111" s="19" t="s">
        <v>4876</v>
      </c>
      <c r="D3111" s="5" t="s">
        <v>8</v>
      </c>
      <c r="E3111" s="19" t="s">
        <v>6240</v>
      </c>
      <c r="F3111" s="34" t="s">
        <v>3574</v>
      </c>
      <c r="G3111" s="27">
        <v>65.790000000000006</v>
      </c>
      <c r="H3111" s="1" t="s">
        <v>774</v>
      </c>
      <c r="I3111" s="20">
        <v>1</v>
      </c>
      <c r="J3111" s="36">
        <v>0.06</v>
      </c>
    </row>
    <row r="3112" spans="2:10" x14ac:dyDescent="0.35">
      <c r="B3112" s="18" t="s">
        <v>4000</v>
      </c>
      <c r="C3112" s="19" t="s">
        <v>4617</v>
      </c>
      <c r="D3112" s="5" t="s">
        <v>8</v>
      </c>
      <c r="E3112" s="19" t="s">
        <v>6241</v>
      </c>
      <c r="F3112" s="34" t="s">
        <v>3574</v>
      </c>
      <c r="G3112" s="27">
        <v>19.940000000000001</v>
      </c>
      <c r="H3112" s="1" t="s">
        <v>774</v>
      </c>
      <c r="I3112" s="20">
        <v>1</v>
      </c>
      <c r="J3112" s="36">
        <v>0.06</v>
      </c>
    </row>
    <row r="3113" spans="2:10" x14ac:dyDescent="0.35">
      <c r="B3113" s="18">
        <v>3601287</v>
      </c>
      <c r="C3113" s="19" t="s">
        <v>4877</v>
      </c>
      <c r="D3113" s="5" t="s">
        <v>8</v>
      </c>
      <c r="E3113" s="19" t="s">
        <v>6242</v>
      </c>
      <c r="F3113" s="34" t="s">
        <v>3574</v>
      </c>
      <c r="G3113" s="27">
        <v>3.45</v>
      </c>
      <c r="H3113" s="1" t="s">
        <v>774</v>
      </c>
      <c r="I3113" s="20">
        <v>1</v>
      </c>
      <c r="J3113" s="36">
        <v>0.06</v>
      </c>
    </row>
    <row r="3114" spans="2:10" x14ac:dyDescent="0.35">
      <c r="B3114" s="18" t="s">
        <v>4001</v>
      </c>
      <c r="C3114" s="19" t="s">
        <v>4878</v>
      </c>
      <c r="D3114" s="5" t="s">
        <v>8</v>
      </c>
      <c r="E3114" s="19" t="s">
        <v>6243</v>
      </c>
      <c r="F3114" s="34" t="s">
        <v>3574</v>
      </c>
      <c r="G3114" s="27">
        <v>4.82</v>
      </c>
      <c r="H3114" s="1" t="s">
        <v>774</v>
      </c>
      <c r="I3114" s="20">
        <v>1</v>
      </c>
      <c r="J3114" s="36">
        <v>0.06</v>
      </c>
    </row>
    <row r="3115" spans="2:10" x14ac:dyDescent="0.35">
      <c r="B3115" s="18" t="s">
        <v>4002</v>
      </c>
      <c r="C3115" s="19" t="s">
        <v>4220</v>
      </c>
      <c r="D3115" s="5" t="s">
        <v>8</v>
      </c>
      <c r="E3115" s="19" t="s">
        <v>6244</v>
      </c>
      <c r="F3115" s="34" t="s">
        <v>3574</v>
      </c>
      <c r="G3115" s="27">
        <v>4.2699999999999996</v>
      </c>
      <c r="H3115" s="1" t="s">
        <v>774</v>
      </c>
      <c r="I3115" s="20">
        <v>1</v>
      </c>
      <c r="J3115" s="36">
        <v>0.06</v>
      </c>
    </row>
    <row r="3116" spans="2:10" x14ac:dyDescent="0.35">
      <c r="B3116" s="18">
        <v>3601958</v>
      </c>
      <c r="C3116" s="19" t="s">
        <v>4879</v>
      </c>
      <c r="D3116" s="5" t="s">
        <v>8</v>
      </c>
      <c r="E3116" s="19" t="s">
        <v>6245</v>
      </c>
      <c r="F3116" s="34" t="s">
        <v>3574</v>
      </c>
      <c r="G3116" s="27">
        <v>6.13</v>
      </c>
      <c r="H3116" s="1" t="s">
        <v>774</v>
      </c>
      <c r="I3116" s="20">
        <v>1</v>
      </c>
      <c r="J3116" s="36">
        <v>0.06</v>
      </c>
    </row>
    <row r="3117" spans="2:10" x14ac:dyDescent="0.35">
      <c r="B3117" s="18" t="s">
        <v>4003</v>
      </c>
      <c r="C3117" s="19" t="s">
        <v>4880</v>
      </c>
      <c r="D3117" s="5" t="s">
        <v>8</v>
      </c>
      <c r="E3117" s="19" t="s">
        <v>6246</v>
      </c>
      <c r="F3117" s="34" t="s">
        <v>3574</v>
      </c>
      <c r="G3117" s="27">
        <v>6.83</v>
      </c>
      <c r="H3117" s="1" t="s">
        <v>774</v>
      </c>
      <c r="I3117" s="20">
        <v>1</v>
      </c>
      <c r="J3117" s="36">
        <v>0.06</v>
      </c>
    </row>
    <row r="3118" spans="2:10" x14ac:dyDescent="0.35">
      <c r="B3118" s="18">
        <v>3601569</v>
      </c>
      <c r="C3118" s="19" t="s">
        <v>4881</v>
      </c>
      <c r="D3118" s="5" t="s">
        <v>8</v>
      </c>
      <c r="E3118" s="19" t="s">
        <v>6247</v>
      </c>
      <c r="F3118" s="34" t="s">
        <v>3574</v>
      </c>
      <c r="G3118" s="27">
        <v>4.09</v>
      </c>
      <c r="H3118" s="1" t="s">
        <v>774</v>
      </c>
      <c r="I3118" s="20">
        <v>1</v>
      </c>
      <c r="J3118" s="36">
        <v>0.06</v>
      </c>
    </row>
    <row r="3119" spans="2:10" x14ac:dyDescent="0.35">
      <c r="B3119" s="18">
        <v>3603992</v>
      </c>
      <c r="C3119" s="19" t="s">
        <v>4882</v>
      </c>
      <c r="D3119" s="5" t="s">
        <v>8</v>
      </c>
      <c r="E3119" s="19" t="s">
        <v>6248</v>
      </c>
      <c r="F3119" s="34" t="s">
        <v>3574</v>
      </c>
      <c r="G3119" s="27">
        <v>3.02</v>
      </c>
      <c r="H3119" s="1" t="s">
        <v>774</v>
      </c>
      <c r="I3119" s="20">
        <v>1</v>
      </c>
      <c r="J3119" s="36">
        <v>0.06</v>
      </c>
    </row>
    <row r="3120" spans="2:10" x14ac:dyDescent="0.35">
      <c r="B3120" s="18">
        <v>3601244</v>
      </c>
      <c r="C3120" s="19" t="s">
        <v>4883</v>
      </c>
      <c r="D3120" s="5" t="s">
        <v>8</v>
      </c>
      <c r="E3120" s="19" t="s">
        <v>6249</v>
      </c>
      <c r="F3120" s="34" t="s">
        <v>3574</v>
      </c>
      <c r="G3120" s="27">
        <v>4.1900000000000004</v>
      </c>
      <c r="H3120" s="1" t="s">
        <v>774</v>
      </c>
      <c r="I3120" s="20">
        <v>1</v>
      </c>
      <c r="J3120" s="36">
        <v>0.06</v>
      </c>
    </row>
    <row r="3121" spans="2:10" x14ac:dyDescent="0.35">
      <c r="B3121" s="18" t="s">
        <v>4004</v>
      </c>
      <c r="C3121" s="19" t="s">
        <v>4884</v>
      </c>
      <c r="D3121" s="5" t="s">
        <v>8</v>
      </c>
      <c r="E3121" s="19" t="s">
        <v>6250</v>
      </c>
      <c r="F3121" s="34" t="s">
        <v>3574</v>
      </c>
      <c r="G3121" s="27">
        <v>0.99</v>
      </c>
      <c r="H3121" s="1" t="s">
        <v>774</v>
      </c>
      <c r="I3121" s="20">
        <v>1</v>
      </c>
      <c r="J3121" s="36">
        <v>0.06</v>
      </c>
    </row>
    <row r="3122" spans="2:10" x14ac:dyDescent="0.35">
      <c r="B3122" s="18">
        <v>3601342</v>
      </c>
      <c r="C3122" s="19" t="s">
        <v>4885</v>
      </c>
      <c r="D3122" s="5" t="s">
        <v>8</v>
      </c>
      <c r="E3122" s="19" t="s">
        <v>6251</v>
      </c>
      <c r="F3122" s="34" t="s">
        <v>3574</v>
      </c>
      <c r="G3122" s="27">
        <v>4.66</v>
      </c>
      <c r="H3122" s="1" t="s">
        <v>774</v>
      </c>
      <c r="I3122" s="20">
        <v>1</v>
      </c>
      <c r="J3122" s="36">
        <v>0.06</v>
      </c>
    </row>
    <row r="3123" spans="2:10" x14ac:dyDescent="0.35">
      <c r="B3123" s="18" t="s">
        <v>4005</v>
      </c>
      <c r="C3123" s="19" t="s">
        <v>4886</v>
      </c>
      <c r="D3123" s="5" t="s">
        <v>8</v>
      </c>
      <c r="E3123" s="19" t="s">
        <v>6252</v>
      </c>
      <c r="F3123" s="34" t="s">
        <v>3574</v>
      </c>
      <c r="G3123" s="27">
        <v>3.69</v>
      </c>
      <c r="H3123" s="1" t="s">
        <v>774</v>
      </c>
      <c r="I3123" s="20">
        <v>1</v>
      </c>
      <c r="J3123" s="36">
        <v>0.06</v>
      </c>
    </row>
    <row r="3124" spans="2:10" x14ac:dyDescent="0.35">
      <c r="B3124" s="18">
        <v>3601527</v>
      </c>
      <c r="C3124" s="19" t="s">
        <v>4887</v>
      </c>
      <c r="D3124" s="5" t="s">
        <v>8</v>
      </c>
      <c r="E3124" s="19" t="s">
        <v>6253</v>
      </c>
      <c r="F3124" s="34" t="s">
        <v>3574</v>
      </c>
      <c r="G3124" s="27">
        <v>8.0299999999999994</v>
      </c>
      <c r="H3124" s="1" t="s">
        <v>774</v>
      </c>
      <c r="I3124" s="20">
        <v>1</v>
      </c>
      <c r="J3124" s="36">
        <v>0.06</v>
      </c>
    </row>
    <row r="3125" spans="2:10" x14ac:dyDescent="0.35">
      <c r="B3125" s="18" t="s">
        <v>4006</v>
      </c>
      <c r="C3125" s="19" t="s">
        <v>4888</v>
      </c>
      <c r="D3125" s="5" t="s">
        <v>8</v>
      </c>
      <c r="E3125" s="19" t="s">
        <v>6254</v>
      </c>
      <c r="F3125" s="34" t="s">
        <v>3574</v>
      </c>
      <c r="G3125" s="27">
        <v>11.83</v>
      </c>
      <c r="H3125" s="1" t="s">
        <v>774</v>
      </c>
      <c r="I3125" s="20">
        <v>1</v>
      </c>
      <c r="J3125" s="36">
        <v>0.06</v>
      </c>
    </row>
    <row r="3126" spans="2:10" x14ac:dyDescent="0.35">
      <c r="B3126" s="18">
        <v>1305134</v>
      </c>
      <c r="C3126" s="19" t="s">
        <v>4734</v>
      </c>
      <c r="D3126" s="5" t="s">
        <v>8</v>
      </c>
      <c r="E3126" s="19" t="s">
        <v>6255</v>
      </c>
      <c r="F3126" s="34" t="s">
        <v>3574</v>
      </c>
      <c r="G3126" s="27">
        <v>8.0399999999999991</v>
      </c>
      <c r="H3126" s="1" t="s">
        <v>774</v>
      </c>
      <c r="I3126" s="20">
        <v>1</v>
      </c>
      <c r="J3126" s="36">
        <v>0.06</v>
      </c>
    </row>
    <row r="3127" spans="2:10" x14ac:dyDescent="0.35">
      <c r="B3127" s="18" t="s">
        <v>4007</v>
      </c>
      <c r="C3127" s="19" t="s">
        <v>4889</v>
      </c>
      <c r="D3127" s="5" t="s">
        <v>8</v>
      </c>
      <c r="E3127" s="19" t="s">
        <v>6256</v>
      </c>
      <c r="F3127" s="34" t="s">
        <v>3574</v>
      </c>
      <c r="G3127" s="27">
        <v>21.84</v>
      </c>
      <c r="H3127" s="1" t="s">
        <v>774</v>
      </c>
      <c r="I3127" s="20">
        <v>1</v>
      </c>
      <c r="J3127" s="36">
        <v>0.06</v>
      </c>
    </row>
    <row r="3128" spans="2:10" x14ac:dyDescent="0.35">
      <c r="B3128" s="18" t="s">
        <v>4008</v>
      </c>
      <c r="C3128" s="19" t="s">
        <v>4890</v>
      </c>
      <c r="D3128" s="5" t="s">
        <v>8</v>
      </c>
      <c r="E3128" s="19" t="s">
        <v>6257</v>
      </c>
      <c r="F3128" s="34" t="s">
        <v>3574</v>
      </c>
      <c r="G3128" s="27">
        <v>22.03</v>
      </c>
      <c r="H3128" s="1" t="s">
        <v>774</v>
      </c>
      <c r="I3128" s="20">
        <v>1</v>
      </c>
      <c r="J3128" s="36">
        <v>0.06</v>
      </c>
    </row>
    <row r="3129" spans="2:10" x14ac:dyDescent="0.35">
      <c r="B3129" s="18">
        <v>1305196</v>
      </c>
      <c r="C3129" s="19" t="s">
        <v>4891</v>
      </c>
      <c r="D3129" s="5" t="s">
        <v>8</v>
      </c>
      <c r="E3129" s="19" t="s">
        <v>6258</v>
      </c>
      <c r="F3129" s="34" t="s">
        <v>3574</v>
      </c>
      <c r="G3129" s="27">
        <v>26.23</v>
      </c>
      <c r="H3129" s="1" t="s">
        <v>774</v>
      </c>
      <c r="I3129" s="20">
        <v>1</v>
      </c>
      <c r="J3129" s="36">
        <v>0.06</v>
      </c>
    </row>
    <row r="3130" spans="2:10" x14ac:dyDescent="0.35">
      <c r="B3130" s="18">
        <v>3603011</v>
      </c>
      <c r="C3130" s="19" t="s">
        <v>4892</v>
      </c>
      <c r="D3130" s="5" t="s">
        <v>8</v>
      </c>
      <c r="E3130" s="19" t="s">
        <v>6259</v>
      </c>
      <c r="F3130" s="34" t="s">
        <v>3574</v>
      </c>
      <c r="G3130" s="27">
        <v>25.14</v>
      </c>
      <c r="H3130" s="1" t="s">
        <v>774</v>
      </c>
      <c r="I3130" s="20">
        <v>1</v>
      </c>
      <c r="J3130" s="36">
        <v>0.06</v>
      </c>
    </row>
    <row r="3131" spans="2:10" x14ac:dyDescent="0.35">
      <c r="B3131" s="18" t="s">
        <v>4009</v>
      </c>
      <c r="C3131" s="19" t="s">
        <v>4893</v>
      </c>
      <c r="D3131" s="5" t="s">
        <v>8</v>
      </c>
      <c r="E3131" s="19" t="s">
        <v>6259</v>
      </c>
      <c r="F3131" s="34" t="s">
        <v>3574</v>
      </c>
      <c r="G3131" s="27">
        <v>25.14</v>
      </c>
      <c r="H3131" s="1" t="s">
        <v>774</v>
      </c>
      <c r="I3131" s="20">
        <v>1</v>
      </c>
      <c r="J3131" s="36">
        <v>0.06</v>
      </c>
    </row>
    <row r="3132" spans="2:10" x14ac:dyDescent="0.35">
      <c r="B3132" s="18">
        <v>1305199</v>
      </c>
      <c r="C3132" s="19" t="s">
        <v>4894</v>
      </c>
      <c r="D3132" s="5" t="s">
        <v>8</v>
      </c>
      <c r="E3132" s="19" t="s">
        <v>6260</v>
      </c>
      <c r="F3132" s="34" t="s">
        <v>3574</v>
      </c>
      <c r="G3132" s="27">
        <v>19.940000000000001</v>
      </c>
      <c r="H3132" s="1" t="s">
        <v>774</v>
      </c>
      <c r="I3132" s="20">
        <v>1</v>
      </c>
      <c r="J3132" s="36">
        <v>0.06</v>
      </c>
    </row>
    <row r="3133" spans="2:10" x14ac:dyDescent="0.35">
      <c r="B3133" s="18" t="s">
        <v>4010</v>
      </c>
      <c r="C3133" s="19" t="s">
        <v>4617</v>
      </c>
      <c r="D3133" s="5" t="s">
        <v>8</v>
      </c>
      <c r="E3133" s="19" t="s">
        <v>6261</v>
      </c>
      <c r="F3133" s="34" t="s">
        <v>3574</v>
      </c>
      <c r="G3133" s="27">
        <v>30.64</v>
      </c>
      <c r="H3133" s="1" t="s">
        <v>774</v>
      </c>
      <c r="I3133" s="20">
        <v>1</v>
      </c>
      <c r="J3133" s="36">
        <v>0.06</v>
      </c>
    </row>
    <row r="3134" spans="2:10" x14ac:dyDescent="0.35">
      <c r="B3134" s="18" t="s">
        <v>4011</v>
      </c>
      <c r="C3134" s="19" t="s">
        <v>4895</v>
      </c>
      <c r="D3134" s="5" t="s">
        <v>8</v>
      </c>
      <c r="E3134" s="19" t="s">
        <v>6262</v>
      </c>
      <c r="F3134" s="34" t="s">
        <v>3574</v>
      </c>
      <c r="G3134" s="27">
        <v>89.11</v>
      </c>
      <c r="H3134" s="1" t="s">
        <v>774</v>
      </c>
      <c r="I3134" s="20">
        <v>1</v>
      </c>
      <c r="J3134" s="36">
        <v>0.06</v>
      </c>
    </row>
    <row r="3135" spans="2:10" x14ac:dyDescent="0.35">
      <c r="B3135" s="18" t="s">
        <v>4012</v>
      </c>
      <c r="C3135" s="19" t="s">
        <v>4896</v>
      </c>
      <c r="D3135" s="5" t="s">
        <v>8</v>
      </c>
      <c r="E3135" s="19" t="s">
        <v>6263</v>
      </c>
      <c r="F3135" s="34" t="s">
        <v>3574</v>
      </c>
      <c r="G3135" s="27">
        <v>81.8</v>
      </c>
      <c r="H3135" s="1" t="s">
        <v>774</v>
      </c>
      <c r="I3135" s="20">
        <v>1</v>
      </c>
      <c r="J3135" s="36">
        <v>0.06</v>
      </c>
    </row>
    <row r="3136" spans="2:10" x14ac:dyDescent="0.35">
      <c r="B3136" s="18">
        <v>4000967</v>
      </c>
      <c r="C3136" s="19" t="s">
        <v>4897</v>
      </c>
      <c r="D3136" s="5" t="s">
        <v>8</v>
      </c>
      <c r="E3136" s="19" t="s">
        <v>6264</v>
      </c>
      <c r="F3136" s="34" t="s">
        <v>3574</v>
      </c>
      <c r="G3136" s="27">
        <v>1586.69</v>
      </c>
      <c r="H3136" s="1" t="s">
        <v>774</v>
      </c>
      <c r="I3136" s="20">
        <v>1</v>
      </c>
      <c r="J3136" s="36">
        <v>0.06</v>
      </c>
    </row>
    <row r="3137" spans="2:10" x14ac:dyDescent="0.35">
      <c r="B3137" s="18" t="s">
        <v>4013</v>
      </c>
      <c r="C3137" s="19" t="s">
        <v>4220</v>
      </c>
      <c r="D3137" s="5" t="s">
        <v>8</v>
      </c>
      <c r="E3137" s="19" t="s">
        <v>6265</v>
      </c>
      <c r="F3137" s="34" t="s">
        <v>3574</v>
      </c>
      <c r="G3137" s="27">
        <v>2.2599999999999998</v>
      </c>
      <c r="H3137" s="1" t="s">
        <v>774</v>
      </c>
      <c r="I3137" s="20">
        <v>1</v>
      </c>
      <c r="J3137" s="36">
        <v>0.06</v>
      </c>
    </row>
    <row r="3138" spans="2:10" x14ac:dyDescent="0.35">
      <c r="B3138" s="18" t="s">
        <v>4014</v>
      </c>
      <c r="C3138" s="19" t="s">
        <v>4220</v>
      </c>
      <c r="D3138" s="5" t="s">
        <v>8</v>
      </c>
      <c r="E3138" s="19" t="s">
        <v>6266</v>
      </c>
      <c r="F3138" s="34" t="s">
        <v>3574</v>
      </c>
      <c r="G3138" s="27">
        <v>3.06</v>
      </c>
      <c r="H3138" s="1" t="s">
        <v>774</v>
      </c>
      <c r="I3138" s="20">
        <v>1</v>
      </c>
      <c r="J3138" s="36">
        <v>0.06</v>
      </c>
    </row>
    <row r="3139" spans="2:10" x14ac:dyDescent="0.35">
      <c r="B3139" s="18" t="s">
        <v>4015</v>
      </c>
      <c r="C3139" s="19" t="s">
        <v>4617</v>
      </c>
      <c r="D3139" s="5" t="s">
        <v>8</v>
      </c>
      <c r="E3139" s="19" t="s">
        <v>6267</v>
      </c>
      <c r="F3139" s="34" t="s">
        <v>3574</v>
      </c>
      <c r="G3139" s="27">
        <v>1.1399999999999999</v>
      </c>
      <c r="H3139" s="1" t="s">
        <v>774</v>
      </c>
      <c r="I3139" s="20">
        <v>1</v>
      </c>
      <c r="J3139" s="36">
        <v>0.06</v>
      </c>
    </row>
    <row r="3140" spans="2:10" x14ac:dyDescent="0.35">
      <c r="B3140" s="18">
        <v>1361168</v>
      </c>
      <c r="C3140" s="19" t="s">
        <v>4898</v>
      </c>
      <c r="D3140" s="5" t="s">
        <v>8</v>
      </c>
      <c r="E3140" s="19" t="s">
        <v>6268</v>
      </c>
      <c r="F3140" s="34" t="s">
        <v>3574</v>
      </c>
      <c r="G3140" s="27">
        <v>11.5</v>
      </c>
      <c r="H3140" s="1" t="s">
        <v>774</v>
      </c>
      <c r="I3140" s="20">
        <v>1</v>
      </c>
      <c r="J3140" s="36">
        <v>0.06</v>
      </c>
    </row>
    <row r="3141" spans="2:10" x14ac:dyDescent="0.35">
      <c r="B3141" s="18">
        <v>1702278</v>
      </c>
      <c r="C3141" s="19" t="s">
        <v>4899</v>
      </c>
      <c r="D3141" s="5" t="s">
        <v>8</v>
      </c>
      <c r="E3141" s="19" t="s">
        <v>6269</v>
      </c>
      <c r="F3141" s="34" t="s">
        <v>3574</v>
      </c>
      <c r="G3141" s="27">
        <v>0.36</v>
      </c>
      <c r="H3141" s="1" t="s">
        <v>774</v>
      </c>
      <c r="I3141" s="20">
        <v>1</v>
      </c>
      <c r="J3141" s="36">
        <v>0.06</v>
      </c>
    </row>
    <row r="3142" spans="2:10" x14ac:dyDescent="0.35">
      <c r="B3142" s="18">
        <v>1585334</v>
      </c>
      <c r="C3142" s="19" t="s">
        <v>4900</v>
      </c>
      <c r="D3142" s="5" t="s">
        <v>8</v>
      </c>
      <c r="E3142" s="19" t="s">
        <v>6270</v>
      </c>
      <c r="F3142" s="34" t="s">
        <v>3574</v>
      </c>
      <c r="G3142" s="27">
        <v>1.43</v>
      </c>
      <c r="H3142" s="1" t="s">
        <v>774</v>
      </c>
      <c r="I3142" s="20">
        <v>1</v>
      </c>
      <c r="J3142" s="36">
        <v>0.06</v>
      </c>
    </row>
    <row r="3143" spans="2:10" x14ac:dyDescent="0.35">
      <c r="B3143" s="18" t="s">
        <v>4016</v>
      </c>
      <c r="C3143" s="19" t="s">
        <v>4901</v>
      </c>
      <c r="D3143" s="5" t="s">
        <v>8</v>
      </c>
      <c r="E3143" s="19" t="s">
        <v>6271</v>
      </c>
      <c r="F3143" s="34" t="s">
        <v>3574</v>
      </c>
      <c r="G3143" s="27">
        <v>3.98</v>
      </c>
      <c r="H3143" s="1" t="s">
        <v>774</v>
      </c>
      <c r="I3143" s="20">
        <v>1</v>
      </c>
      <c r="J3143" s="36">
        <v>0.06</v>
      </c>
    </row>
    <row r="3144" spans="2:10" x14ac:dyDescent="0.35">
      <c r="B3144" s="18" t="s">
        <v>4017</v>
      </c>
      <c r="C3144" s="19" t="s">
        <v>4220</v>
      </c>
      <c r="D3144" s="5" t="s">
        <v>8</v>
      </c>
      <c r="E3144" s="19" t="s">
        <v>6272</v>
      </c>
      <c r="F3144" s="34" t="s">
        <v>3574</v>
      </c>
      <c r="G3144" s="27">
        <v>5.26</v>
      </c>
      <c r="H3144" s="1" t="s">
        <v>774</v>
      </c>
      <c r="I3144" s="20">
        <v>1</v>
      </c>
      <c r="J3144" s="36">
        <v>0.06</v>
      </c>
    </row>
    <row r="3145" spans="2:10" x14ac:dyDescent="0.35">
      <c r="B3145" s="18" t="s">
        <v>4018</v>
      </c>
      <c r="C3145" s="19" t="s">
        <v>4893</v>
      </c>
      <c r="D3145" s="5" t="s">
        <v>8</v>
      </c>
      <c r="E3145" s="19" t="s">
        <v>6273</v>
      </c>
      <c r="F3145" s="34" t="s">
        <v>3574</v>
      </c>
      <c r="G3145" s="27">
        <v>7.4</v>
      </c>
      <c r="H3145" s="1" t="s">
        <v>774</v>
      </c>
      <c r="I3145" s="20">
        <v>1</v>
      </c>
      <c r="J3145" s="36">
        <v>0.06</v>
      </c>
    </row>
    <row r="3146" spans="2:10" x14ac:dyDescent="0.35">
      <c r="B3146" s="18" t="s">
        <v>4019</v>
      </c>
      <c r="C3146" s="19" t="s">
        <v>4893</v>
      </c>
      <c r="D3146" s="5" t="s">
        <v>8</v>
      </c>
      <c r="E3146" s="19" t="s">
        <v>6274</v>
      </c>
      <c r="F3146" s="34" t="s">
        <v>3574</v>
      </c>
      <c r="G3146" s="27">
        <v>4.25</v>
      </c>
      <c r="H3146" s="1" t="s">
        <v>774</v>
      </c>
      <c r="I3146" s="20">
        <v>1</v>
      </c>
      <c r="J3146" s="36">
        <v>0.06</v>
      </c>
    </row>
    <row r="3147" spans="2:10" x14ac:dyDescent="0.35">
      <c r="B3147" s="18">
        <v>3603454</v>
      </c>
      <c r="C3147" s="19" t="s">
        <v>4902</v>
      </c>
      <c r="D3147" s="5" t="s">
        <v>8</v>
      </c>
      <c r="E3147" s="19" t="s">
        <v>6275</v>
      </c>
      <c r="F3147" s="34" t="s">
        <v>3574</v>
      </c>
      <c r="G3147" s="27">
        <v>1.53</v>
      </c>
      <c r="H3147" s="1" t="s">
        <v>774</v>
      </c>
      <c r="I3147" s="20">
        <v>1</v>
      </c>
      <c r="J3147" s="36">
        <v>0.06</v>
      </c>
    </row>
    <row r="3148" spans="2:10" x14ac:dyDescent="0.35">
      <c r="B3148" s="18" t="s">
        <v>4020</v>
      </c>
      <c r="C3148" s="19" t="s">
        <v>4777</v>
      </c>
      <c r="D3148" s="5" t="s">
        <v>8</v>
      </c>
      <c r="E3148" s="19" t="s">
        <v>6276</v>
      </c>
      <c r="F3148" s="34" t="s">
        <v>3574</v>
      </c>
      <c r="G3148" s="27">
        <v>1.03</v>
      </c>
      <c r="H3148" s="1" t="s">
        <v>774</v>
      </c>
      <c r="I3148" s="20">
        <v>1</v>
      </c>
      <c r="J3148" s="36">
        <v>0.06</v>
      </c>
    </row>
    <row r="3149" spans="2:10" x14ac:dyDescent="0.35">
      <c r="B3149" s="18" t="s">
        <v>4021</v>
      </c>
      <c r="C3149" s="19" t="s">
        <v>4903</v>
      </c>
      <c r="D3149" s="5" t="s">
        <v>8</v>
      </c>
      <c r="E3149" s="19" t="s">
        <v>6277</v>
      </c>
      <c r="F3149" s="34" t="s">
        <v>3574</v>
      </c>
      <c r="G3149" s="27">
        <v>2.67</v>
      </c>
      <c r="H3149" s="1" t="s">
        <v>774</v>
      </c>
      <c r="I3149" s="20">
        <v>1</v>
      </c>
      <c r="J3149" s="36">
        <v>0.06</v>
      </c>
    </row>
    <row r="3150" spans="2:10" x14ac:dyDescent="0.35">
      <c r="B3150" s="18">
        <v>3602060</v>
      </c>
      <c r="C3150" s="19" t="s">
        <v>4904</v>
      </c>
      <c r="D3150" s="5" t="s">
        <v>8</v>
      </c>
      <c r="E3150" s="19" t="s">
        <v>6278</v>
      </c>
      <c r="F3150" s="34" t="s">
        <v>3574</v>
      </c>
      <c r="G3150" s="27">
        <v>0.71</v>
      </c>
      <c r="H3150" s="1" t="s">
        <v>774</v>
      </c>
      <c r="I3150" s="20">
        <v>1</v>
      </c>
      <c r="J3150" s="36">
        <v>0.06</v>
      </c>
    </row>
    <row r="3151" spans="2:10" x14ac:dyDescent="0.35">
      <c r="B3151" s="18" t="s">
        <v>4022</v>
      </c>
      <c r="C3151" s="19" t="s">
        <v>4220</v>
      </c>
      <c r="D3151" s="5" t="s">
        <v>8</v>
      </c>
      <c r="E3151" s="19" t="s">
        <v>6279</v>
      </c>
      <c r="F3151" s="34" t="s">
        <v>3574</v>
      </c>
      <c r="G3151" s="27">
        <v>1.47</v>
      </c>
      <c r="H3151" s="1" t="s">
        <v>774</v>
      </c>
      <c r="I3151" s="20">
        <v>1</v>
      </c>
      <c r="J3151" s="36">
        <v>0.06</v>
      </c>
    </row>
    <row r="3152" spans="2:10" x14ac:dyDescent="0.35">
      <c r="B3152" s="18" t="s">
        <v>4023</v>
      </c>
      <c r="C3152" s="19" t="s">
        <v>4220</v>
      </c>
      <c r="D3152" s="5" t="s">
        <v>8</v>
      </c>
      <c r="E3152" s="19" t="s">
        <v>6280</v>
      </c>
      <c r="F3152" s="34" t="s">
        <v>3574</v>
      </c>
      <c r="G3152" s="27">
        <v>1.22</v>
      </c>
      <c r="H3152" s="1" t="s">
        <v>774</v>
      </c>
      <c r="I3152" s="20">
        <v>1</v>
      </c>
      <c r="J3152" s="36">
        <v>0.06</v>
      </c>
    </row>
    <row r="3153" spans="2:10" x14ac:dyDescent="0.35">
      <c r="B3153" s="18" t="s">
        <v>4024</v>
      </c>
      <c r="C3153" s="19" t="s">
        <v>4220</v>
      </c>
      <c r="D3153" s="5" t="s">
        <v>8</v>
      </c>
      <c r="E3153" s="19" t="s">
        <v>6281</v>
      </c>
      <c r="F3153" s="34" t="s">
        <v>3574</v>
      </c>
      <c r="G3153" s="27">
        <v>7.17</v>
      </c>
      <c r="H3153" s="1" t="s">
        <v>774</v>
      </c>
      <c r="I3153" s="20">
        <v>1</v>
      </c>
      <c r="J3153" s="36">
        <v>0.06</v>
      </c>
    </row>
    <row r="3154" spans="2:10" x14ac:dyDescent="0.35">
      <c r="B3154" s="18" t="s">
        <v>4025</v>
      </c>
      <c r="C3154" s="19" t="s">
        <v>4905</v>
      </c>
      <c r="D3154" s="5" t="s">
        <v>8</v>
      </c>
      <c r="E3154" s="19" t="s">
        <v>6282</v>
      </c>
      <c r="F3154" s="34" t="s">
        <v>3574</v>
      </c>
      <c r="G3154" s="27">
        <v>1</v>
      </c>
      <c r="H3154" s="1" t="s">
        <v>774</v>
      </c>
      <c r="I3154" s="20">
        <v>1</v>
      </c>
      <c r="J3154" s="36">
        <v>0.06</v>
      </c>
    </row>
    <row r="3155" spans="2:10" x14ac:dyDescent="0.35">
      <c r="B3155" s="18">
        <v>1360166</v>
      </c>
      <c r="C3155" s="19" t="s">
        <v>4906</v>
      </c>
      <c r="D3155" s="5" t="s">
        <v>8</v>
      </c>
      <c r="E3155" s="19" t="s">
        <v>6283</v>
      </c>
      <c r="F3155" s="34" t="s">
        <v>3574</v>
      </c>
      <c r="G3155" s="27">
        <v>1.54</v>
      </c>
      <c r="H3155" s="1" t="s">
        <v>774</v>
      </c>
      <c r="I3155" s="20">
        <v>1</v>
      </c>
      <c r="J3155" s="36">
        <v>0.06</v>
      </c>
    </row>
    <row r="3156" spans="2:10" x14ac:dyDescent="0.35">
      <c r="B3156" s="18" t="s">
        <v>4026</v>
      </c>
      <c r="C3156" s="19" t="s">
        <v>4907</v>
      </c>
      <c r="D3156" s="5" t="s">
        <v>8</v>
      </c>
      <c r="E3156" s="19" t="s">
        <v>6284</v>
      </c>
      <c r="F3156" s="34" t="s">
        <v>3574</v>
      </c>
      <c r="G3156" s="27">
        <v>0.63</v>
      </c>
      <c r="H3156" s="1" t="s">
        <v>774</v>
      </c>
      <c r="I3156" s="20">
        <v>1</v>
      </c>
      <c r="J3156" s="36">
        <v>0.06</v>
      </c>
    </row>
    <row r="3157" spans="2:10" x14ac:dyDescent="0.35">
      <c r="B3157" s="18" t="s">
        <v>4027</v>
      </c>
      <c r="C3157" s="19" t="s">
        <v>4908</v>
      </c>
      <c r="D3157" s="5" t="s">
        <v>8</v>
      </c>
      <c r="E3157" s="19" t="s">
        <v>6285</v>
      </c>
      <c r="F3157" s="34" t="s">
        <v>3574</v>
      </c>
      <c r="G3157" s="27">
        <v>2.89</v>
      </c>
      <c r="H3157" s="1" t="s">
        <v>774</v>
      </c>
      <c r="I3157" s="20">
        <v>1</v>
      </c>
      <c r="J3157" s="36">
        <v>0.06</v>
      </c>
    </row>
    <row r="3158" spans="2:10" x14ac:dyDescent="0.35">
      <c r="B3158" s="18">
        <v>1361156</v>
      </c>
      <c r="C3158" s="19" t="s">
        <v>4909</v>
      </c>
      <c r="D3158" s="5" t="s">
        <v>8</v>
      </c>
      <c r="E3158" s="19" t="s">
        <v>6286</v>
      </c>
      <c r="F3158" s="34" t="s">
        <v>3574</v>
      </c>
      <c r="G3158" s="27">
        <v>949.88</v>
      </c>
      <c r="H3158" s="1" t="s">
        <v>774</v>
      </c>
      <c r="I3158" s="20">
        <v>1</v>
      </c>
      <c r="J3158" s="36">
        <v>0.06</v>
      </c>
    </row>
    <row r="3159" spans="2:10" x14ac:dyDescent="0.35">
      <c r="B3159" s="18" t="s">
        <v>4028</v>
      </c>
      <c r="C3159" s="19" t="s">
        <v>4910</v>
      </c>
      <c r="D3159" s="5" t="s">
        <v>8</v>
      </c>
      <c r="E3159" s="19" t="s">
        <v>6287</v>
      </c>
      <c r="F3159" s="34" t="s">
        <v>3574</v>
      </c>
      <c r="G3159" s="27">
        <v>666.23</v>
      </c>
      <c r="H3159" s="1" t="s">
        <v>774</v>
      </c>
      <c r="I3159" s="20">
        <v>1</v>
      </c>
      <c r="J3159" s="36">
        <v>0.06</v>
      </c>
    </row>
    <row r="3160" spans="2:10" x14ac:dyDescent="0.35">
      <c r="B3160" s="18">
        <v>4001817</v>
      </c>
      <c r="C3160" s="19" t="s">
        <v>4911</v>
      </c>
      <c r="D3160" s="5" t="s">
        <v>8</v>
      </c>
      <c r="E3160" s="19" t="s">
        <v>6288</v>
      </c>
      <c r="F3160" s="34" t="s">
        <v>3574</v>
      </c>
      <c r="G3160" s="27">
        <v>351.31</v>
      </c>
      <c r="H3160" s="1" t="s">
        <v>774</v>
      </c>
      <c r="I3160" s="20">
        <v>1</v>
      </c>
      <c r="J3160" s="36">
        <v>0.06</v>
      </c>
    </row>
    <row r="3161" spans="2:10" x14ac:dyDescent="0.35">
      <c r="B3161" s="18" t="s">
        <v>4029</v>
      </c>
      <c r="C3161" s="19" t="s">
        <v>4912</v>
      </c>
      <c r="D3161" s="5" t="s">
        <v>8</v>
      </c>
      <c r="E3161" s="19" t="s">
        <v>6289</v>
      </c>
      <c r="F3161" s="34" t="s">
        <v>3574</v>
      </c>
      <c r="G3161" s="27">
        <v>248.53</v>
      </c>
      <c r="H3161" s="1" t="s">
        <v>774</v>
      </c>
      <c r="I3161" s="20">
        <v>1</v>
      </c>
      <c r="J3161" s="36">
        <v>0.06</v>
      </c>
    </row>
    <row r="3162" spans="2:10" x14ac:dyDescent="0.35">
      <c r="B3162" s="18">
        <v>4001367</v>
      </c>
      <c r="C3162" s="19" t="s">
        <v>4438</v>
      </c>
      <c r="D3162" s="5" t="s">
        <v>8</v>
      </c>
      <c r="E3162" s="19" t="s">
        <v>6290</v>
      </c>
      <c r="F3162" s="34" t="s">
        <v>3574</v>
      </c>
      <c r="G3162" s="27">
        <v>288.7</v>
      </c>
      <c r="H3162" s="1" t="s">
        <v>774</v>
      </c>
      <c r="I3162" s="20">
        <v>1</v>
      </c>
      <c r="J3162" s="36">
        <v>0.06</v>
      </c>
    </row>
    <row r="3163" spans="2:10" x14ac:dyDescent="0.35">
      <c r="B3163" s="18" t="s">
        <v>4030</v>
      </c>
      <c r="C3163" s="19" t="s">
        <v>4913</v>
      </c>
      <c r="D3163" s="5" t="s">
        <v>8</v>
      </c>
      <c r="E3163" s="19" t="s">
        <v>6291</v>
      </c>
      <c r="F3163" s="34" t="s">
        <v>3574</v>
      </c>
      <c r="G3163" s="27">
        <v>232.65</v>
      </c>
      <c r="H3163" s="1" t="s">
        <v>774</v>
      </c>
      <c r="I3163" s="20">
        <v>1</v>
      </c>
      <c r="J3163" s="36">
        <v>0.06</v>
      </c>
    </row>
    <row r="3164" spans="2:10" x14ac:dyDescent="0.35">
      <c r="B3164" s="18" t="s">
        <v>4031</v>
      </c>
      <c r="C3164" s="19" t="s">
        <v>4914</v>
      </c>
      <c r="D3164" s="5" t="s">
        <v>8</v>
      </c>
      <c r="E3164" s="19" t="s">
        <v>6292</v>
      </c>
      <c r="F3164" s="34" t="s">
        <v>3574</v>
      </c>
      <c r="G3164" s="27">
        <v>233.97</v>
      </c>
      <c r="H3164" s="1" t="s">
        <v>774</v>
      </c>
      <c r="I3164" s="20">
        <v>1</v>
      </c>
      <c r="J3164" s="36">
        <v>0.06</v>
      </c>
    </row>
    <row r="3165" spans="2:10" x14ac:dyDescent="0.35">
      <c r="B3165" s="18" t="s">
        <v>4032</v>
      </c>
      <c r="C3165" s="19" t="s">
        <v>4913</v>
      </c>
      <c r="D3165" s="5" t="s">
        <v>8</v>
      </c>
      <c r="E3165" s="19" t="s">
        <v>6293</v>
      </c>
      <c r="F3165" s="34" t="s">
        <v>3574</v>
      </c>
      <c r="G3165" s="27">
        <v>219.59</v>
      </c>
      <c r="H3165" s="1" t="s">
        <v>774</v>
      </c>
      <c r="I3165" s="20">
        <v>1</v>
      </c>
      <c r="J3165" s="36">
        <v>0.06</v>
      </c>
    </row>
    <row r="3166" spans="2:10" x14ac:dyDescent="0.35">
      <c r="B3166" s="18">
        <v>91300870</v>
      </c>
      <c r="C3166" s="19" t="s">
        <v>4915</v>
      </c>
      <c r="D3166" s="5" t="s">
        <v>8</v>
      </c>
      <c r="E3166" s="19" t="s">
        <v>6294</v>
      </c>
      <c r="F3166" s="34" t="s">
        <v>3574</v>
      </c>
      <c r="G3166" s="27">
        <v>386.15</v>
      </c>
      <c r="H3166" s="1" t="s">
        <v>774</v>
      </c>
      <c r="I3166" s="20">
        <v>1</v>
      </c>
      <c r="J3166" s="36">
        <v>0.06</v>
      </c>
    </row>
    <row r="3167" spans="2:10" x14ac:dyDescent="0.35">
      <c r="B3167" s="18">
        <v>4001550</v>
      </c>
      <c r="C3167" s="19" t="s">
        <v>4916</v>
      </c>
      <c r="D3167" s="5" t="s">
        <v>8</v>
      </c>
      <c r="E3167" s="19" t="s">
        <v>6295</v>
      </c>
      <c r="F3167" s="34" t="s">
        <v>3574</v>
      </c>
      <c r="G3167" s="27">
        <v>295.55</v>
      </c>
      <c r="H3167" s="1" t="s">
        <v>774</v>
      </c>
      <c r="I3167" s="20">
        <v>1</v>
      </c>
      <c r="J3167" s="36">
        <v>0.06</v>
      </c>
    </row>
    <row r="3168" spans="2:10" x14ac:dyDescent="0.35">
      <c r="B3168" s="18">
        <v>800004258</v>
      </c>
      <c r="C3168" s="19" t="s">
        <v>4917</v>
      </c>
      <c r="D3168" s="5" t="s">
        <v>8</v>
      </c>
      <c r="E3168" s="19" t="s">
        <v>6296</v>
      </c>
      <c r="F3168" s="34" t="s">
        <v>3574</v>
      </c>
      <c r="G3168" s="27">
        <v>622.73</v>
      </c>
      <c r="H3168" s="1" t="s">
        <v>774</v>
      </c>
      <c r="I3168" s="20">
        <v>1</v>
      </c>
      <c r="J3168" s="36">
        <v>0.06</v>
      </c>
    </row>
    <row r="3169" spans="2:10" x14ac:dyDescent="0.35">
      <c r="B3169" s="18">
        <v>1262075</v>
      </c>
      <c r="C3169" s="19" t="s">
        <v>4918</v>
      </c>
      <c r="D3169" s="5" t="s">
        <v>8</v>
      </c>
      <c r="E3169" s="19" t="s">
        <v>6297</v>
      </c>
      <c r="F3169" s="34" t="s">
        <v>3574</v>
      </c>
      <c r="G3169" s="27">
        <v>257</v>
      </c>
      <c r="H3169" s="1" t="s">
        <v>774</v>
      </c>
      <c r="I3169" s="20">
        <v>1</v>
      </c>
      <c r="J3169" s="36">
        <v>0.06</v>
      </c>
    </row>
    <row r="3170" spans="2:10" x14ac:dyDescent="0.35">
      <c r="B3170" s="18">
        <v>4001549</v>
      </c>
      <c r="C3170" s="19" t="s">
        <v>4918</v>
      </c>
      <c r="D3170" s="5" t="s">
        <v>8</v>
      </c>
      <c r="E3170" s="19" t="s">
        <v>6298</v>
      </c>
      <c r="F3170" s="34" t="s">
        <v>3574</v>
      </c>
      <c r="G3170" s="27">
        <v>510.98</v>
      </c>
      <c r="H3170" s="1" t="s">
        <v>774</v>
      </c>
      <c r="I3170" s="20">
        <v>1</v>
      </c>
      <c r="J3170" s="36">
        <v>0.06</v>
      </c>
    </row>
    <row r="3171" spans="2:10" x14ac:dyDescent="0.35">
      <c r="B3171" s="18">
        <v>1260617</v>
      </c>
      <c r="C3171" s="19" t="s">
        <v>4919</v>
      </c>
      <c r="D3171" s="5" t="s">
        <v>8</v>
      </c>
      <c r="E3171" s="19" t="s">
        <v>6299</v>
      </c>
      <c r="F3171" s="34" t="s">
        <v>3574</v>
      </c>
      <c r="G3171" s="27">
        <v>164.06</v>
      </c>
      <c r="H3171" s="1" t="s">
        <v>774</v>
      </c>
      <c r="I3171" s="20">
        <v>1</v>
      </c>
      <c r="J3171" s="36">
        <v>0.06</v>
      </c>
    </row>
    <row r="3172" spans="2:10" x14ac:dyDescent="0.35">
      <c r="B3172" s="18">
        <v>4001547</v>
      </c>
      <c r="C3172" s="19" t="s">
        <v>4919</v>
      </c>
      <c r="D3172" s="5" t="s">
        <v>8</v>
      </c>
      <c r="E3172" s="19" t="s">
        <v>6300</v>
      </c>
      <c r="F3172" s="34" t="s">
        <v>3574</v>
      </c>
      <c r="G3172" s="27">
        <v>295.3</v>
      </c>
      <c r="H3172" s="1" t="s">
        <v>774</v>
      </c>
      <c r="I3172" s="20">
        <v>1</v>
      </c>
      <c r="J3172" s="36">
        <v>0.06</v>
      </c>
    </row>
    <row r="3173" spans="2:10" x14ac:dyDescent="0.35">
      <c r="B3173" s="18">
        <v>1262143</v>
      </c>
      <c r="C3173" s="19" t="s">
        <v>4920</v>
      </c>
      <c r="D3173" s="5" t="s">
        <v>8</v>
      </c>
      <c r="E3173" s="19" t="s">
        <v>6301</v>
      </c>
      <c r="F3173" s="34" t="s">
        <v>3574</v>
      </c>
      <c r="G3173" s="27">
        <v>351.13</v>
      </c>
      <c r="H3173" s="1" t="s">
        <v>774</v>
      </c>
      <c r="I3173" s="20">
        <v>1</v>
      </c>
      <c r="J3173" s="36">
        <v>0.06</v>
      </c>
    </row>
    <row r="3174" spans="2:10" x14ac:dyDescent="0.35">
      <c r="B3174" s="18" t="s">
        <v>4033</v>
      </c>
      <c r="C3174" s="19" t="s">
        <v>4350</v>
      </c>
      <c r="D3174" s="5" t="s">
        <v>8</v>
      </c>
      <c r="E3174" s="19" t="s">
        <v>6302</v>
      </c>
      <c r="F3174" s="34" t="s">
        <v>3574</v>
      </c>
      <c r="G3174" s="27">
        <v>304</v>
      </c>
      <c r="H3174" s="1" t="s">
        <v>774</v>
      </c>
      <c r="I3174" s="20">
        <v>1</v>
      </c>
      <c r="J3174" s="36">
        <v>0.06</v>
      </c>
    </row>
    <row r="3175" spans="2:10" x14ac:dyDescent="0.35">
      <c r="B3175" s="18" t="s">
        <v>4034</v>
      </c>
      <c r="C3175" s="19" t="s">
        <v>4350</v>
      </c>
      <c r="D3175" s="5" t="s">
        <v>8</v>
      </c>
      <c r="E3175" s="19" t="s">
        <v>6303</v>
      </c>
      <c r="F3175" s="34" t="s">
        <v>3574</v>
      </c>
      <c r="G3175" s="27">
        <v>316</v>
      </c>
      <c r="H3175" s="1" t="s">
        <v>774</v>
      </c>
      <c r="I3175" s="20">
        <v>1</v>
      </c>
      <c r="J3175" s="36">
        <v>0.06</v>
      </c>
    </row>
    <row r="3176" spans="2:10" x14ac:dyDescent="0.35">
      <c r="B3176" s="18">
        <v>1262087</v>
      </c>
      <c r="C3176" s="19" t="s">
        <v>4921</v>
      </c>
      <c r="D3176" s="5" t="s">
        <v>8</v>
      </c>
      <c r="E3176" s="19" t="s">
        <v>6304</v>
      </c>
      <c r="F3176" s="34" t="s">
        <v>3574</v>
      </c>
      <c r="G3176" s="27">
        <v>203.3</v>
      </c>
      <c r="H3176" s="1" t="s">
        <v>774</v>
      </c>
      <c r="I3176" s="20">
        <v>1</v>
      </c>
      <c r="J3176" s="36">
        <v>0.06</v>
      </c>
    </row>
    <row r="3177" spans="2:10" x14ac:dyDescent="0.35">
      <c r="B3177" s="18">
        <v>4001551</v>
      </c>
      <c r="C3177" s="19" t="s">
        <v>4921</v>
      </c>
      <c r="D3177" s="5" t="s">
        <v>8</v>
      </c>
      <c r="E3177" s="19" t="s">
        <v>6304</v>
      </c>
      <c r="F3177" s="34" t="s">
        <v>3574</v>
      </c>
      <c r="G3177" s="27">
        <v>203.3</v>
      </c>
      <c r="H3177" s="1" t="s">
        <v>774</v>
      </c>
      <c r="I3177" s="20">
        <v>1</v>
      </c>
      <c r="J3177" s="36">
        <v>0.06</v>
      </c>
    </row>
    <row r="3178" spans="2:10" x14ac:dyDescent="0.35">
      <c r="B3178" s="18">
        <v>4001359</v>
      </c>
      <c r="C3178" s="19" t="s">
        <v>4922</v>
      </c>
      <c r="D3178" s="5" t="s">
        <v>8</v>
      </c>
      <c r="E3178" s="19" t="s">
        <v>6305</v>
      </c>
      <c r="F3178" s="34" t="s">
        <v>3574</v>
      </c>
      <c r="G3178" s="27">
        <v>254.34</v>
      </c>
      <c r="H3178" s="1" t="s">
        <v>774</v>
      </c>
      <c r="I3178" s="20">
        <v>1</v>
      </c>
      <c r="J3178" s="36">
        <v>0.06</v>
      </c>
    </row>
    <row r="3179" spans="2:10" x14ac:dyDescent="0.35">
      <c r="B3179" s="18">
        <v>4001552</v>
      </c>
      <c r="C3179" s="19" t="s">
        <v>4922</v>
      </c>
      <c r="D3179" s="5" t="s">
        <v>8</v>
      </c>
      <c r="E3179" s="19" t="s">
        <v>6306</v>
      </c>
      <c r="F3179" s="34" t="s">
        <v>3574</v>
      </c>
      <c r="G3179" s="27">
        <v>269.20999999999998</v>
      </c>
      <c r="H3179" s="1" t="s">
        <v>774</v>
      </c>
      <c r="I3179" s="20">
        <v>1</v>
      </c>
      <c r="J3179" s="36">
        <v>0.06</v>
      </c>
    </row>
    <row r="3180" spans="2:10" x14ac:dyDescent="0.35">
      <c r="B3180" s="18">
        <v>1260654</v>
      </c>
      <c r="C3180" s="19" t="s">
        <v>4923</v>
      </c>
      <c r="D3180" s="5" t="s">
        <v>8</v>
      </c>
      <c r="E3180" s="19" t="s">
        <v>6307</v>
      </c>
      <c r="F3180" s="34" t="s">
        <v>3574</v>
      </c>
      <c r="G3180" s="27">
        <v>204.22</v>
      </c>
      <c r="H3180" s="1" t="s">
        <v>774</v>
      </c>
      <c r="I3180" s="20">
        <v>1</v>
      </c>
      <c r="J3180" s="36">
        <v>0.06</v>
      </c>
    </row>
    <row r="3181" spans="2:10" x14ac:dyDescent="0.35">
      <c r="B3181" s="18">
        <v>4001188</v>
      </c>
      <c r="C3181" s="19" t="s">
        <v>4368</v>
      </c>
      <c r="D3181" s="5" t="s">
        <v>8</v>
      </c>
      <c r="E3181" s="19" t="s">
        <v>6308</v>
      </c>
      <c r="F3181" s="34" t="s">
        <v>3574</v>
      </c>
      <c r="G3181" s="27">
        <v>212.84</v>
      </c>
      <c r="H3181" s="1" t="s">
        <v>774</v>
      </c>
      <c r="I3181" s="20">
        <v>1</v>
      </c>
      <c r="J3181" s="36">
        <v>0.06</v>
      </c>
    </row>
    <row r="3182" spans="2:10" x14ac:dyDescent="0.35">
      <c r="B3182" s="18">
        <v>800002341</v>
      </c>
      <c r="C3182" s="19" t="s">
        <v>4924</v>
      </c>
      <c r="D3182" s="5" t="s">
        <v>8</v>
      </c>
      <c r="E3182" s="19" t="s">
        <v>6309</v>
      </c>
      <c r="F3182" s="34" t="s">
        <v>3574</v>
      </c>
      <c r="G3182" s="27">
        <v>580.5</v>
      </c>
      <c r="H3182" s="1" t="s">
        <v>774</v>
      </c>
      <c r="I3182" s="20">
        <v>1</v>
      </c>
      <c r="J3182" s="36">
        <v>0.06</v>
      </c>
    </row>
    <row r="3183" spans="2:10" x14ac:dyDescent="0.35">
      <c r="B3183" s="18">
        <v>4001336</v>
      </c>
      <c r="C3183" s="19" t="s">
        <v>4925</v>
      </c>
      <c r="D3183" s="5" t="s">
        <v>8</v>
      </c>
      <c r="E3183" s="19" t="s">
        <v>6310</v>
      </c>
      <c r="F3183" s="34" t="s">
        <v>3574</v>
      </c>
      <c r="G3183" s="27">
        <v>212.58</v>
      </c>
      <c r="H3183" s="1" t="s">
        <v>774</v>
      </c>
      <c r="I3183" s="20">
        <v>1</v>
      </c>
      <c r="J3183" s="36">
        <v>0.06</v>
      </c>
    </row>
    <row r="3184" spans="2:10" x14ac:dyDescent="0.35">
      <c r="B3184" s="18" t="s">
        <v>4035</v>
      </c>
      <c r="C3184" s="19" t="s">
        <v>4926</v>
      </c>
      <c r="D3184" s="5" t="s">
        <v>8</v>
      </c>
      <c r="E3184" s="19" t="s">
        <v>6311</v>
      </c>
      <c r="F3184" s="34" t="s">
        <v>3574</v>
      </c>
      <c r="G3184" s="27">
        <v>335.15999999999997</v>
      </c>
      <c r="H3184" s="1" t="s">
        <v>774</v>
      </c>
      <c r="I3184" s="20">
        <v>1</v>
      </c>
      <c r="J3184" s="36">
        <v>0.06</v>
      </c>
    </row>
    <row r="3185" spans="2:10" x14ac:dyDescent="0.35">
      <c r="B3185" s="18">
        <v>1360663</v>
      </c>
      <c r="C3185" s="19" t="s">
        <v>4927</v>
      </c>
      <c r="D3185" s="5" t="s">
        <v>8</v>
      </c>
      <c r="E3185" s="19" t="s">
        <v>6312</v>
      </c>
      <c r="F3185" s="34" t="s">
        <v>3574</v>
      </c>
      <c r="G3185" s="27">
        <v>345.78</v>
      </c>
      <c r="H3185" s="1" t="s">
        <v>774</v>
      </c>
      <c r="I3185" s="20">
        <v>1</v>
      </c>
      <c r="J3185" s="36">
        <v>0.06</v>
      </c>
    </row>
    <row r="3186" spans="2:10" x14ac:dyDescent="0.35">
      <c r="B3186" s="18">
        <v>1360181</v>
      </c>
      <c r="C3186" s="19" t="s">
        <v>4927</v>
      </c>
      <c r="D3186" s="5" t="s">
        <v>8</v>
      </c>
      <c r="E3186" s="19" t="s">
        <v>6313</v>
      </c>
      <c r="F3186" s="34" t="s">
        <v>3574</v>
      </c>
      <c r="G3186" s="27">
        <v>246.94</v>
      </c>
      <c r="H3186" s="1" t="s">
        <v>774</v>
      </c>
      <c r="I3186" s="20">
        <v>1</v>
      </c>
      <c r="J3186" s="36">
        <v>0.06</v>
      </c>
    </row>
    <row r="3187" spans="2:10" x14ac:dyDescent="0.35">
      <c r="B3187" s="18">
        <v>800002696</v>
      </c>
      <c r="C3187" s="19" t="s">
        <v>4928</v>
      </c>
      <c r="D3187" s="5" t="s">
        <v>8</v>
      </c>
      <c r="E3187" s="19" t="s">
        <v>6314</v>
      </c>
      <c r="F3187" s="34" t="s">
        <v>3574</v>
      </c>
      <c r="G3187" s="27">
        <v>514.66</v>
      </c>
      <c r="H3187" s="1" t="s">
        <v>774</v>
      </c>
      <c r="I3187" s="20">
        <v>1</v>
      </c>
      <c r="J3187" s="36">
        <v>0.06</v>
      </c>
    </row>
    <row r="3188" spans="2:10" x14ac:dyDescent="0.35">
      <c r="B3188" s="18">
        <v>1260311</v>
      </c>
      <c r="C3188" s="19" t="s">
        <v>4929</v>
      </c>
      <c r="D3188" s="5" t="s">
        <v>8</v>
      </c>
      <c r="E3188" s="19" t="s">
        <v>6315</v>
      </c>
      <c r="F3188" s="34" t="s">
        <v>3574</v>
      </c>
      <c r="G3188" s="27">
        <v>321.08</v>
      </c>
      <c r="H3188" s="1" t="s">
        <v>774</v>
      </c>
      <c r="I3188" s="20">
        <v>1</v>
      </c>
      <c r="J3188" s="36">
        <v>0.06</v>
      </c>
    </row>
    <row r="3189" spans="2:10" x14ac:dyDescent="0.35">
      <c r="B3189" s="18">
        <v>800004123</v>
      </c>
      <c r="C3189" s="19" t="s">
        <v>4930</v>
      </c>
      <c r="D3189" s="5" t="s">
        <v>8</v>
      </c>
      <c r="E3189" s="19" t="s">
        <v>6316</v>
      </c>
      <c r="F3189" s="34" t="s">
        <v>3574</v>
      </c>
      <c r="G3189" s="27">
        <v>545.29999999999995</v>
      </c>
      <c r="H3189" s="1" t="s">
        <v>774</v>
      </c>
      <c r="I3189" s="20">
        <v>1</v>
      </c>
      <c r="J3189" s="36">
        <v>0.06</v>
      </c>
    </row>
    <row r="3190" spans="2:10" x14ac:dyDescent="0.35">
      <c r="B3190" s="18">
        <v>1360748</v>
      </c>
      <c r="C3190" s="19" t="s">
        <v>4931</v>
      </c>
      <c r="D3190" s="5" t="s">
        <v>8</v>
      </c>
      <c r="E3190" s="19" t="s">
        <v>6317</v>
      </c>
      <c r="F3190" s="34" t="s">
        <v>3574</v>
      </c>
      <c r="G3190" s="27">
        <v>395.99</v>
      </c>
      <c r="H3190" s="1" t="s">
        <v>774</v>
      </c>
      <c r="I3190" s="20">
        <v>1</v>
      </c>
      <c r="J3190" s="36">
        <v>0.06</v>
      </c>
    </row>
    <row r="3191" spans="2:10" x14ac:dyDescent="0.35">
      <c r="B3191" s="18">
        <v>7025960</v>
      </c>
      <c r="C3191" s="19" t="s">
        <v>4932</v>
      </c>
      <c r="D3191" s="5" t="s">
        <v>8</v>
      </c>
      <c r="E3191" s="19" t="s">
        <v>6318</v>
      </c>
      <c r="F3191" s="34" t="s">
        <v>3574</v>
      </c>
      <c r="G3191" s="27">
        <v>393.56</v>
      </c>
      <c r="H3191" s="1" t="s">
        <v>774</v>
      </c>
      <c r="I3191" s="20">
        <v>1</v>
      </c>
      <c r="J3191" s="36">
        <v>0.06</v>
      </c>
    </row>
    <row r="3192" spans="2:10" x14ac:dyDescent="0.35">
      <c r="B3192" s="18">
        <v>1260549</v>
      </c>
      <c r="C3192" s="19" t="s">
        <v>4933</v>
      </c>
      <c r="D3192" s="5" t="s">
        <v>8</v>
      </c>
      <c r="E3192" s="19" t="s">
        <v>6319</v>
      </c>
      <c r="F3192" s="34" t="s">
        <v>3574</v>
      </c>
      <c r="G3192" s="27">
        <v>153.41999999999999</v>
      </c>
      <c r="H3192" s="1" t="s">
        <v>774</v>
      </c>
      <c r="I3192" s="20">
        <v>1</v>
      </c>
      <c r="J3192" s="36">
        <v>0.06</v>
      </c>
    </row>
    <row r="3193" spans="2:10" x14ac:dyDescent="0.35">
      <c r="B3193" s="18" t="s">
        <v>4036</v>
      </c>
      <c r="C3193" s="19" t="s">
        <v>4934</v>
      </c>
      <c r="D3193" s="5" t="s">
        <v>8</v>
      </c>
      <c r="E3193" s="19" t="s">
        <v>6320</v>
      </c>
      <c r="F3193" s="34" t="s">
        <v>3574</v>
      </c>
      <c r="G3193" s="27">
        <v>212.27</v>
      </c>
      <c r="H3193" s="1" t="s">
        <v>774</v>
      </c>
      <c r="I3193" s="20">
        <v>1</v>
      </c>
      <c r="J3193" s="36">
        <v>0.06</v>
      </c>
    </row>
    <row r="3194" spans="2:10" x14ac:dyDescent="0.35">
      <c r="B3194" s="18">
        <v>4001635</v>
      </c>
      <c r="C3194" s="19" t="s">
        <v>4396</v>
      </c>
      <c r="D3194" s="5" t="s">
        <v>8</v>
      </c>
      <c r="E3194" s="19" t="s">
        <v>6321</v>
      </c>
      <c r="F3194" s="34" t="s">
        <v>3574</v>
      </c>
      <c r="G3194" s="27">
        <v>306.57</v>
      </c>
      <c r="H3194" s="1" t="s">
        <v>774</v>
      </c>
      <c r="I3194" s="20">
        <v>1</v>
      </c>
      <c r="J3194" s="36">
        <v>0.06</v>
      </c>
    </row>
    <row r="3195" spans="2:10" x14ac:dyDescent="0.35">
      <c r="B3195" s="18">
        <v>1262110</v>
      </c>
      <c r="C3195" s="19" t="s">
        <v>4935</v>
      </c>
      <c r="D3195" s="5" t="s">
        <v>8</v>
      </c>
      <c r="E3195" s="19" t="s">
        <v>6322</v>
      </c>
      <c r="F3195" s="34" t="s">
        <v>3574</v>
      </c>
      <c r="G3195" s="27">
        <v>227.95</v>
      </c>
      <c r="H3195" s="1" t="s">
        <v>774</v>
      </c>
      <c r="I3195" s="20">
        <v>1</v>
      </c>
      <c r="J3195" s="36">
        <v>0.06</v>
      </c>
    </row>
    <row r="3196" spans="2:10" x14ac:dyDescent="0.35">
      <c r="B3196" s="18">
        <v>1586058</v>
      </c>
      <c r="C3196" s="19" t="s">
        <v>4936</v>
      </c>
      <c r="D3196" s="5" t="s">
        <v>8</v>
      </c>
      <c r="E3196" s="19" t="s">
        <v>6323</v>
      </c>
      <c r="F3196" s="34" t="s">
        <v>3574</v>
      </c>
      <c r="G3196" s="27">
        <v>232.81</v>
      </c>
      <c r="H3196" s="1" t="s">
        <v>774</v>
      </c>
      <c r="I3196" s="20">
        <v>1</v>
      </c>
      <c r="J3196" s="36">
        <v>0.06</v>
      </c>
    </row>
    <row r="3197" spans="2:10" x14ac:dyDescent="0.35">
      <c r="B3197" s="18">
        <v>3604293</v>
      </c>
      <c r="C3197" s="19" t="s">
        <v>4937</v>
      </c>
      <c r="D3197" s="5" t="s">
        <v>8</v>
      </c>
      <c r="E3197" s="19" t="s">
        <v>6324</v>
      </c>
      <c r="F3197" s="34" t="s">
        <v>3574</v>
      </c>
      <c r="G3197" s="27">
        <v>226.29</v>
      </c>
      <c r="H3197" s="1" t="s">
        <v>774</v>
      </c>
      <c r="I3197" s="20">
        <v>1</v>
      </c>
      <c r="J3197" s="36">
        <v>0.06</v>
      </c>
    </row>
    <row r="3198" spans="2:10" x14ac:dyDescent="0.35">
      <c r="B3198" s="18">
        <v>1202795</v>
      </c>
      <c r="C3198" s="19" t="s">
        <v>4938</v>
      </c>
      <c r="D3198" s="5" t="s">
        <v>8</v>
      </c>
      <c r="E3198" s="19" t="s">
        <v>6325</v>
      </c>
      <c r="F3198" s="34" t="s">
        <v>3574</v>
      </c>
      <c r="G3198" s="27">
        <v>727.46</v>
      </c>
      <c r="H3198" s="1" t="s">
        <v>774</v>
      </c>
      <c r="I3198" s="20">
        <v>1</v>
      </c>
      <c r="J3198" s="36">
        <v>0.06</v>
      </c>
    </row>
    <row r="3199" spans="2:10" x14ac:dyDescent="0.35">
      <c r="B3199" s="18" t="s">
        <v>4037</v>
      </c>
      <c r="C3199" s="19" t="s">
        <v>4939</v>
      </c>
      <c r="D3199" s="5" t="s">
        <v>8</v>
      </c>
      <c r="E3199" s="19" t="s">
        <v>6326</v>
      </c>
      <c r="F3199" s="34" t="s">
        <v>3574</v>
      </c>
      <c r="G3199" s="27">
        <v>457.61</v>
      </c>
      <c r="H3199" s="1" t="s">
        <v>774</v>
      </c>
      <c r="I3199" s="20">
        <v>1</v>
      </c>
      <c r="J3199" s="36">
        <v>0.06</v>
      </c>
    </row>
    <row r="3200" spans="2:10" x14ac:dyDescent="0.35">
      <c r="B3200" s="18">
        <v>4002552</v>
      </c>
      <c r="C3200" s="19" t="s">
        <v>4940</v>
      </c>
      <c r="D3200" s="5" t="s">
        <v>8</v>
      </c>
      <c r="E3200" s="19" t="s">
        <v>6327</v>
      </c>
      <c r="F3200" s="34" t="s">
        <v>3574</v>
      </c>
      <c r="G3200" s="27">
        <v>442.89</v>
      </c>
      <c r="H3200" s="1" t="s">
        <v>774</v>
      </c>
      <c r="I3200" s="20">
        <v>1</v>
      </c>
      <c r="J3200" s="36">
        <v>0.06</v>
      </c>
    </row>
    <row r="3201" spans="2:10" x14ac:dyDescent="0.35">
      <c r="B3201" s="18">
        <v>1585509</v>
      </c>
      <c r="C3201" s="19" t="s">
        <v>4941</v>
      </c>
      <c r="D3201" s="5" t="s">
        <v>8</v>
      </c>
      <c r="E3201" s="19" t="s">
        <v>6328</v>
      </c>
      <c r="F3201" s="34" t="s">
        <v>3574</v>
      </c>
      <c r="G3201" s="27">
        <v>483.38</v>
      </c>
      <c r="H3201" s="1" t="s">
        <v>774</v>
      </c>
      <c r="I3201" s="20">
        <v>1</v>
      </c>
      <c r="J3201" s="36">
        <v>0.06</v>
      </c>
    </row>
    <row r="3202" spans="2:10" x14ac:dyDescent="0.35">
      <c r="B3202" s="18">
        <v>800002823</v>
      </c>
      <c r="C3202" s="19" t="s">
        <v>4942</v>
      </c>
      <c r="D3202" s="5" t="s">
        <v>8</v>
      </c>
      <c r="E3202" s="19" t="s">
        <v>6329</v>
      </c>
      <c r="F3202" s="34" t="s">
        <v>3574</v>
      </c>
      <c r="G3202" s="27">
        <v>641.49</v>
      </c>
      <c r="H3202" s="1" t="s">
        <v>774</v>
      </c>
      <c r="I3202" s="20">
        <v>1</v>
      </c>
      <c r="J3202" s="36">
        <v>0.06</v>
      </c>
    </row>
    <row r="3203" spans="2:10" x14ac:dyDescent="0.35">
      <c r="B3203" s="18">
        <v>1900204</v>
      </c>
      <c r="C3203" s="19" t="s">
        <v>4943</v>
      </c>
      <c r="D3203" s="5" t="s">
        <v>8</v>
      </c>
      <c r="E3203" s="19" t="s">
        <v>6330</v>
      </c>
      <c r="F3203" s="34" t="s">
        <v>3574</v>
      </c>
      <c r="G3203" s="27">
        <v>339.91</v>
      </c>
      <c r="H3203" s="1" t="s">
        <v>774</v>
      </c>
      <c r="I3203" s="20">
        <v>1</v>
      </c>
      <c r="J3203" s="36">
        <v>0.06</v>
      </c>
    </row>
    <row r="3204" spans="2:10" x14ac:dyDescent="0.35">
      <c r="B3204" s="18">
        <v>91303510</v>
      </c>
      <c r="C3204" s="19" t="s">
        <v>4944</v>
      </c>
      <c r="D3204" s="5" t="s">
        <v>8</v>
      </c>
      <c r="E3204" s="19" t="s">
        <v>6331</v>
      </c>
      <c r="F3204" s="34" t="s">
        <v>3574</v>
      </c>
      <c r="G3204" s="27">
        <v>417.02</v>
      </c>
      <c r="H3204" s="1" t="s">
        <v>774</v>
      </c>
      <c r="I3204" s="20">
        <v>1</v>
      </c>
      <c r="J3204" s="36">
        <v>0.06</v>
      </c>
    </row>
    <row r="3205" spans="2:10" x14ac:dyDescent="0.35">
      <c r="B3205" s="18" t="s">
        <v>4038</v>
      </c>
      <c r="C3205" s="19" t="s">
        <v>4945</v>
      </c>
      <c r="D3205" s="5" t="s">
        <v>8</v>
      </c>
      <c r="E3205" s="19" t="s">
        <v>6332</v>
      </c>
      <c r="F3205" s="34" t="s">
        <v>3574</v>
      </c>
      <c r="G3205" s="27">
        <v>413.66</v>
      </c>
      <c r="H3205" s="1" t="s">
        <v>774</v>
      </c>
      <c r="I3205" s="20">
        <v>1</v>
      </c>
      <c r="J3205" s="36">
        <v>0.06</v>
      </c>
    </row>
    <row r="3206" spans="2:10" x14ac:dyDescent="0.35">
      <c r="B3206" s="18" t="s">
        <v>4039</v>
      </c>
      <c r="C3206" s="19" t="s">
        <v>4353</v>
      </c>
      <c r="D3206" s="5" t="s">
        <v>8</v>
      </c>
      <c r="E3206" s="19" t="s">
        <v>6333</v>
      </c>
      <c r="F3206" s="34" t="s">
        <v>3574</v>
      </c>
      <c r="G3206" s="27">
        <v>627.15</v>
      </c>
      <c r="H3206" s="1" t="s">
        <v>774</v>
      </c>
      <c r="I3206" s="20">
        <v>1</v>
      </c>
      <c r="J3206" s="36">
        <v>0.06</v>
      </c>
    </row>
    <row r="3207" spans="2:10" x14ac:dyDescent="0.35">
      <c r="B3207" s="18" t="s">
        <v>4040</v>
      </c>
      <c r="C3207" s="19" t="s">
        <v>4353</v>
      </c>
      <c r="D3207" s="5" t="s">
        <v>8</v>
      </c>
      <c r="E3207" s="19" t="s">
        <v>6334</v>
      </c>
      <c r="F3207" s="34" t="s">
        <v>3574</v>
      </c>
      <c r="G3207" s="27">
        <v>583.21</v>
      </c>
      <c r="H3207" s="1" t="s">
        <v>774</v>
      </c>
      <c r="I3207" s="20">
        <v>1</v>
      </c>
      <c r="J3207" s="36">
        <v>0.06</v>
      </c>
    </row>
    <row r="3208" spans="2:10" x14ac:dyDescent="0.35">
      <c r="B3208" s="18" t="s">
        <v>4041</v>
      </c>
      <c r="C3208" s="19" t="s">
        <v>4946</v>
      </c>
      <c r="D3208" s="5" t="s">
        <v>8</v>
      </c>
      <c r="E3208" s="19" t="s">
        <v>6335</v>
      </c>
      <c r="F3208" s="34" t="s">
        <v>3574</v>
      </c>
      <c r="G3208" s="27">
        <v>328.78</v>
      </c>
      <c r="H3208" s="1" t="s">
        <v>774</v>
      </c>
      <c r="I3208" s="20">
        <v>1</v>
      </c>
      <c r="J3208" s="36">
        <v>0.06</v>
      </c>
    </row>
    <row r="3209" spans="2:10" x14ac:dyDescent="0.35">
      <c r="B3209" s="18">
        <v>3601922</v>
      </c>
      <c r="C3209" s="19" t="s">
        <v>4947</v>
      </c>
      <c r="D3209" s="5" t="s">
        <v>8</v>
      </c>
      <c r="E3209" s="19" t="s">
        <v>6336</v>
      </c>
      <c r="F3209" s="34" t="s">
        <v>3574</v>
      </c>
      <c r="G3209" s="27">
        <v>791.7299999999999</v>
      </c>
      <c r="H3209" s="1" t="s">
        <v>774</v>
      </c>
      <c r="I3209" s="20">
        <v>1</v>
      </c>
      <c r="J3209" s="36">
        <v>0.06</v>
      </c>
    </row>
    <row r="3210" spans="2:10" x14ac:dyDescent="0.35">
      <c r="B3210" s="18">
        <v>800001891</v>
      </c>
      <c r="C3210" s="19" t="s">
        <v>4948</v>
      </c>
      <c r="D3210" s="5" t="s">
        <v>8</v>
      </c>
      <c r="E3210" s="19" t="s">
        <v>6337</v>
      </c>
      <c r="F3210" s="34" t="s">
        <v>3574</v>
      </c>
      <c r="G3210" s="27">
        <v>846.93</v>
      </c>
      <c r="H3210" s="1" t="s">
        <v>774</v>
      </c>
      <c r="I3210" s="20">
        <v>1</v>
      </c>
      <c r="J3210" s="36">
        <v>0.06</v>
      </c>
    </row>
    <row r="3211" spans="2:10" x14ac:dyDescent="0.35">
      <c r="B3211" s="18">
        <v>91303060</v>
      </c>
      <c r="C3211" s="19" t="s">
        <v>4949</v>
      </c>
      <c r="D3211" s="5" t="s">
        <v>8</v>
      </c>
      <c r="E3211" s="19" t="s">
        <v>6338</v>
      </c>
      <c r="F3211" s="34" t="s">
        <v>3574</v>
      </c>
      <c r="G3211" s="27">
        <v>729.9</v>
      </c>
      <c r="H3211" s="1" t="s">
        <v>774</v>
      </c>
      <c r="I3211" s="20">
        <v>1</v>
      </c>
      <c r="J3211" s="36">
        <v>0.06</v>
      </c>
    </row>
    <row r="3212" spans="2:10" x14ac:dyDescent="0.35">
      <c r="B3212" s="18">
        <v>1586970</v>
      </c>
      <c r="C3212" s="19" t="s">
        <v>4950</v>
      </c>
      <c r="D3212" s="5" t="s">
        <v>8</v>
      </c>
      <c r="E3212" s="19" t="s">
        <v>6339</v>
      </c>
      <c r="F3212" s="34" t="s">
        <v>3574</v>
      </c>
      <c r="G3212" s="27">
        <v>827.97</v>
      </c>
      <c r="H3212" s="1" t="s">
        <v>774</v>
      </c>
      <c r="I3212" s="20">
        <v>1</v>
      </c>
      <c r="J3212" s="36">
        <v>0.06</v>
      </c>
    </row>
    <row r="3213" spans="2:10" x14ac:dyDescent="0.35">
      <c r="B3213" s="18">
        <v>1210004</v>
      </c>
      <c r="C3213" s="19" t="s">
        <v>4951</v>
      </c>
      <c r="D3213" s="5" t="s">
        <v>8</v>
      </c>
      <c r="E3213" s="19" t="s">
        <v>6340</v>
      </c>
      <c r="F3213" s="34" t="s">
        <v>3574</v>
      </c>
      <c r="G3213" s="27">
        <v>123.83</v>
      </c>
      <c r="H3213" s="1" t="s">
        <v>774</v>
      </c>
      <c r="I3213" s="20">
        <v>1</v>
      </c>
      <c r="J3213" s="36">
        <v>0.06</v>
      </c>
    </row>
    <row r="3214" spans="2:10" x14ac:dyDescent="0.35">
      <c r="B3214" s="18">
        <v>1210005</v>
      </c>
      <c r="C3214" s="19" t="s">
        <v>4952</v>
      </c>
      <c r="D3214" s="5" t="s">
        <v>8</v>
      </c>
      <c r="E3214" s="19" t="s">
        <v>6341</v>
      </c>
      <c r="F3214" s="34" t="s">
        <v>3574</v>
      </c>
      <c r="G3214" s="27">
        <v>112.58</v>
      </c>
      <c r="H3214" s="1" t="s">
        <v>774</v>
      </c>
      <c r="I3214" s="20">
        <v>1</v>
      </c>
      <c r="J3214" s="36">
        <v>0.06</v>
      </c>
    </row>
    <row r="3215" spans="2:10" x14ac:dyDescent="0.35">
      <c r="B3215" s="18" t="s">
        <v>4042</v>
      </c>
      <c r="C3215" s="19" t="s">
        <v>4953</v>
      </c>
      <c r="D3215" s="5" t="s">
        <v>8</v>
      </c>
      <c r="E3215" s="19" t="s">
        <v>6342</v>
      </c>
      <c r="F3215" s="34" t="s">
        <v>3574</v>
      </c>
      <c r="G3215" s="27">
        <v>119.86</v>
      </c>
      <c r="H3215" s="1" t="s">
        <v>774</v>
      </c>
      <c r="I3215" s="20">
        <v>1</v>
      </c>
      <c r="J3215" s="36">
        <v>0.06</v>
      </c>
    </row>
    <row r="3216" spans="2:10" x14ac:dyDescent="0.35">
      <c r="B3216" s="18" t="s">
        <v>4043</v>
      </c>
      <c r="C3216" s="19" t="s">
        <v>4953</v>
      </c>
      <c r="D3216" s="5" t="s">
        <v>8</v>
      </c>
      <c r="E3216" s="19" t="s">
        <v>6343</v>
      </c>
      <c r="F3216" s="34" t="s">
        <v>3574</v>
      </c>
      <c r="G3216" s="27">
        <v>119.86</v>
      </c>
      <c r="H3216" s="1" t="s">
        <v>774</v>
      </c>
      <c r="I3216" s="20">
        <v>1</v>
      </c>
      <c r="J3216" s="36">
        <v>0.06</v>
      </c>
    </row>
    <row r="3217" spans="2:10" x14ac:dyDescent="0.35">
      <c r="B3217" s="18" t="s">
        <v>4044</v>
      </c>
      <c r="C3217" s="19" t="s">
        <v>4953</v>
      </c>
      <c r="D3217" s="5" t="s">
        <v>8</v>
      </c>
      <c r="E3217" s="19" t="s">
        <v>6344</v>
      </c>
      <c r="F3217" s="34" t="s">
        <v>3574</v>
      </c>
      <c r="G3217" s="27">
        <v>122.39</v>
      </c>
      <c r="H3217" s="1" t="s">
        <v>774</v>
      </c>
      <c r="I3217" s="20">
        <v>1</v>
      </c>
      <c r="J3217" s="36">
        <v>0.06</v>
      </c>
    </row>
    <row r="3218" spans="2:10" x14ac:dyDescent="0.35">
      <c r="B3218" s="18" t="s">
        <v>4045</v>
      </c>
      <c r="C3218" s="19" t="s">
        <v>4953</v>
      </c>
      <c r="D3218" s="5" t="s">
        <v>8</v>
      </c>
      <c r="E3218" s="19" t="s">
        <v>6345</v>
      </c>
      <c r="F3218" s="34" t="s">
        <v>3574</v>
      </c>
      <c r="G3218" s="27">
        <v>122.39</v>
      </c>
      <c r="H3218" s="1" t="s">
        <v>774</v>
      </c>
      <c r="I3218" s="20">
        <v>1</v>
      </c>
      <c r="J3218" s="36">
        <v>0.06</v>
      </c>
    </row>
    <row r="3219" spans="2:10" x14ac:dyDescent="0.35">
      <c r="B3219" s="18">
        <v>7025654</v>
      </c>
      <c r="C3219" s="19" t="s">
        <v>4954</v>
      </c>
      <c r="D3219" s="5" t="s">
        <v>8</v>
      </c>
      <c r="E3219" s="19" t="s">
        <v>6346</v>
      </c>
      <c r="F3219" s="34" t="s">
        <v>3574</v>
      </c>
      <c r="G3219" s="27">
        <v>691.14</v>
      </c>
      <c r="H3219" s="1" t="s">
        <v>774</v>
      </c>
      <c r="I3219" s="20">
        <v>1</v>
      </c>
      <c r="J3219" s="36">
        <v>0.06</v>
      </c>
    </row>
    <row r="3220" spans="2:10" x14ac:dyDescent="0.35">
      <c r="B3220" s="18">
        <v>1127407</v>
      </c>
      <c r="C3220" s="19" t="s">
        <v>4955</v>
      </c>
      <c r="D3220" s="5" t="s">
        <v>8</v>
      </c>
      <c r="E3220" s="19" t="s">
        <v>6347</v>
      </c>
      <c r="F3220" s="34" t="s">
        <v>3574</v>
      </c>
      <c r="G3220" s="27">
        <v>529.27</v>
      </c>
      <c r="H3220" s="1" t="s">
        <v>774</v>
      </c>
      <c r="I3220" s="20">
        <v>1</v>
      </c>
      <c r="J3220" s="36">
        <v>0.06</v>
      </c>
    </row>
    <row r="3221" spans="2:10" x14ac:dyDescent="0.35">
      <c r="B3221" s="18">
        <v>1127209</v>
      </c>
      <c r="C3221" s="19" t="s">
        <v>4956</v>
      </c>
      <c r="D3221" s="5" t="s">
        <v>8</v>
      </c>
      <c r="E3221" s="19" t="s">
        <v>6348</v>
      </c>
      <c r="F3221" s="34" t="s">
        <v>3574</v>
      </c>
      <c r="G3221" s="27">
        <v>718.95</v>
      </c>
      <c r="H3221" s="1" t="s">
        <v>774</v>
      </c>
      <c r="I3221" s="20">
        <v>1</v>
      </c>
      <c r="J3221" s="36">
        <v>0.06</v>
      </c>
    </row>
    <row r="3222" spans="2:10" x14ac:dyDescent="0.35">
      <c r="B3222" s="18">
        <v>3602731</v>
      </c>
      <c r="C3222" s="19" t="s">
        <v>4957</v>
      </c>
      <c r="D3222" s="5" t="s">
        <v>8</v>
      </c>
      <c r="E3222" s="19" t="s">
        <v>6349</v>
      </c>
      <c r="F3222" s="34" t="s">
        <v>3574</v>
      </c>
      <c r="G3222" s="27">
        <v>1302.77</v>
      </c>
      <c r="H3222" s="1" t="s">
        <v>774</v>
      </c>
      <c r="I3222" s="20">
        <v>1</v>
      </c>
      <c r="J3222" s="36">
        <v>0.06</v>
      </c>
    </row>
    <row r="3223" spans="2:10" x14ac:dyDescent="0.35">
      <c r="B3223" s="18">
        <v>1127410</v>
      </c>
      <c r="C3223" s="19" t="s">
        <v>4958</v>
      </c>
      <c r="D3223" s="5" t="s">
        <v>8</v>
      </c>
      <c r="E3223" s="19" t="s">
        <v>6350</v>
      </c>
      <c r="F3223" s="34" t="s">
        <v>3574</v>
      </c>
      <c r="G3223" s="27">
        <v>711.88</v>
      </c>
      <c r="H3223" s="1" t="s">
        <v>774</v>
      </c>
      <c r="I3223" s="20">
        <v>1</v>
      </c>
      <c r="J3223" s="36">
        <v>0.06</v>
      </c>
    </row>
    <row r="3224" spans="2:10" x14ac:dyDescent="0.35">
      <c r="B3224" s="18">
        <v>1127403</v>
      </c>
      <c r="C3224" s="19" t="s">
        <v>4959</v>
      </c>
      <c r="D3224" s="5" t="s">
        <v>8</v>
      </c>
      <c r="E3224" s="19" t="s">
        <v>6351</v>
      </c>
      <c r="F3224" s="34" t="s">
        <v>3574</v>
      </c>
      <c r="G3224" s="27">
        <v>407.45</v>
      </c>
      <c r="H3224" s="1" t="s">
        <v>774</v>
      </c>
      <c r="I3224" s="20">
        <v>1</v>
      </c>
      <c r="J3224" s="36">
        <v>0.06</v>
      </c>
    </row>
    <row r="3225" spans="2:10" x14ac:dyDescent="0.35">
      <c r="B3225" s="18">
        <v>1127404</v>
      </c>
      <c r="C3225" s="19" t="s">
        <v>4960</v>
      </c>
      <c r="D3225" s="5" t="s">
        <v>8</v>
      </c>
      <c r="E3225" s="19" t="s">
        <v>6352</v>
      </c>
      <c r="F3225" s="34" t="s">
        <v>3574</v>
      </c>
      <c r="G3225" s="27">
        <v>561.38</v>
      </c>
      <c r="H3225" s="1" t="s">
        <v>774</v>
      </c>
      <c r="I3225" s="20">
        <v>1</v>
      </c>
      <c r="J3225" s="36">
        <v>0.06</v>
      </c>
    </row>
    <row r="3226" spans="2:10" x14ac:dyDescent="0.35">
      <c r="B3226" s="18">
        <v>1261970</v>
      </c>
      <c r="C3226" s="19" t="s">
        <v>4961</v>
      </c>
      <c r="D3226" s="5" t="s">
        <v>8</v>
      </c>
      <c r="E3226" s="19" t="s">
        <v>6353</v>
      </c>
      <c r="F3226" s="34" t="s">
        <v>3574</v>
      </c>
      <c r="G3226" s="27">
        <v>715.32</v>
      </c>
      <c r="H3226" s="1" t="s">
        <v>774</v>
      </c>
      <c r="I3226" s="20">
        <v>1</v>
      </c>
      <c r="J3226" s="36">
        <v>0.06</v>
      </c>
    </row>
    <row r="3227" spans="2:10" x14ac:dyDescent="0.35">
      <c r="B3227" s="18" t="s">
        <v>4046</v>
      </c>
      <c r="C3227" s="19" t="s">
        <v>4962</v>
      </c>
      <c r="D3227" s="5" t="s">
        <v>8</v>
      </c>
      <c r="E3227" s="19" t="s">
        <v>6354</v>
      </c>
      <c r="F3227" s="34" t="s">
        <v>3574</v>
      </c>
      <c r="G3227" s="27">
        <v>688.34</v>
      </c>
      <c r="H3227" s="1" t="s">
        <v>774</v>
      </c>
      <c r="I3227" s="20">
        <v>1</v>
      </c>
      <c r="J3227" s="36">
        <v>0.06</v>
      </c>
    </row>
    <row r="3228" spans="2:10" x14ac:dyDescent="0.35">
      <c r="B3228" s="18" t="s">
        <v>4047</v>
      </c>
      <c r="C3228" s="19" t="s">
        <v>4963</v>
      </c>
      <c r="D3228" s="5" t="s">
        <v>8</v>
      </c>
      <c r="E3228" s="19" t="s">
        <v>6355</v>
      </c>
      <c r="F3228" s="34" t="s">
        <v>3574</v>
      </c>
      <c r="G3228" s="27">
        <v>784.66</v>
      </c>
      <c r="H3228" s="1" t="s">
        <v>774</v>
      </c>
      <c r="I3228" s="20">
        <v>1</v>
      </c>
      <c r="J3228" s="36">
        <v>0.06</v>
      </c>
    </row>
    <row r="3229" spans="2:10" x14ac:dyDescent="0.35">
      <c r="B3229" s="18">
        <v>1127405</v>
      </c>
      <c r="C3229" s="19" t="s">
        <v>4964</v>
      </c>
      <c r="D3229" s="5" t="s">
        <v>8</v>
      </c>
      <c r="E3229" s="19" t="s">
        <v>6356</v>
      </c>
      <c r="F3229" s="34" t="s">
        <v>3574</v>
      </c>
      <c r="G3229" s="27">
        <v>547.37</v>
      </c>
      <c r="H3229" s="1" t="s">
        <v>774</v>
      </c>
      <c r="I3229" s="20">
        <v>1</v>
      </c>
      <c r="J3229" s="36">
        <v>0.06</v>
      </c>
    </row>
    <row r="3230" spans="2:10" x14ac:dyDescent="0.35">
      <c r="B3230" s="18">
        <v>1127406</v>
      </c>
      <c r="C3230" s="19" t="s">
        <v>4965</v>
      </c>
      <c r="D3230" s="5" t="s">
        <v>8</v>
      </c>
      <c r="E3230" s="19" t="s">
        <v>6357</v>
      </c>
      <c r="F3230" s="34" t="s">
        <v>3574</v>
      </c>
      <c r="G3230" s="27">
        <v>547.37</v>
      </c>
      <c r="H3230" s="1" t="s">
        <v>774</v>
      </c>
      <c r="I3230" s="20">
        <v>1</v>
      </c>
      <c r="J3230" s="36">
        <v>0.06</v>
      </c>
    </row>
    <row r="3231" spans="2:10" x14ac:dyDescent="0.35">
      <c r="B3231" s="18" t="s">
        <v>4048</v>
      </c>
      <c r="C3231" s="19" t="s">
        <v>4963</v>
      </c>
      <c r="D3231" s="5" t="s">
        <v>8</v>
      </c>
      <c r="E3231" s="19" t="s">
        <v>6358</v>
      </c>
      <c r="F3231" s="34" t="s">
        <v>3574</v>
      </c>
      <c r="G3231" s="27">
        <v>608.64</v>
      </c>
      <c r="H3231" s="1" t="s">
        <v>774</v>
      </c>
      <c r="I3231" s="20">
        <v>1</v>
      </c>
      <c r="J3231" s="36">
        <v>0.06</v>
      </c>
    </row>
    <row r="3232" spans="2:10" x14ac:dyDescent="0.35">
      <c r="B3232" s="18">
        <v>1586803</v>
      </c>
      <c r="C3232" s="19" t="s">
        <v>4966</v>
      </c>
      <c r="D3232" s="5" t="s">
        <v>8</v>
      </c>
      <c r="E3232" s="19" t="s">
        <v>6359</v>
      </c>
      <c r="F3232" s="34" t="s">
        <v>3574</v>
      </c>
      <c r="G3232" s="27">
        <v>768.6</v>
      </c>
      <c r="H3232" s="1" t="s">
        <v>774</v>
      </c>
      <c r="I3232" s="20">
        <v>1</v>
      </c>
      <c r="J3232" s="36">
        <v>0.06</v>
      </c>
    </row>
    <row r="3233" spans="2:10" x14ac:dyDescent="0.35">
      <c r="B3233" s="18">
        <v>1127349</v>
      </c>
      <c r="C3233" s="19" t="s">
        <v>4967</v>
      </c>
      <c r="D3233" s="5" t="s">
        <v>8</v>
      </c>
      <c r="E3233" s="19" t="s">
        <v>6360</v>
      </c>
      <c r="F3233" s="34" t="s">
        <v>3574</v>
      </c>
      <c r="G3233" s="27">
        <v>60.86</v>
      </c>
      <c r="H3233" s="1" t="s">
        <v>774</v>
      </c>
      <c r="I3233" s="20">
        <v>1</v>
      </c>
      <c r="J3233" s="36">
        <v>0.06</v>
      </c>
    </row>
    <row r="3234" spans="2:10" x14ac:dyDescent="0.35">
      <c r="B3234" s="18">
        <v>1127363</v>
      </c>
      <c r="C3234" s="19" t="s">
        <v>4968</v>
      </c>
      <c r="D3234" s="5" t="s">
        <v>8</v>
      </c>
      <c r="E3234" s="19" t="s">
        <v>6361</v>
      </c>
      <c r="F3234" s="34" t="s">
        <v>3574</v>
      </c>
      <c r="G3234" s="27">
        <v>79.47</v>
      </c>
      <c r="H3234" s="1" t="s">
        <v>774</v>
      </c>
      <c r="I3234" s="20">
        <v>1</v>
      </c>
      <c r="J3234" s="36">
        <v>0.06</v>
      </c>
    </row>
    <row r="3235" spans="2:10" x14ac:dyDescent="0.35">
      <c r="B3235" s="18">
        <v>1127420</v>
      </c>
      <c r="C3235" s="19" t="s">
        <v>4969</v>
      </c>
      <c r="D3235" s="5" t="s">
        <v>8</v>
      </c>
      <c r="E3235" s="19" t="s">
        <v>6362</v>
      </c>
      <c r="F3235" s="34" t="s">
        <v>3574</v>
      </c>
      <c r="G3235" s="27">
        <v>68.430000000000007</v>
      </c>
      <c r="H3235" s="1" t="s">
        <v>774</v>
      </c>
      <c r="I3235" s="20">
        <v>1</v>
      </c>
      <c r="J3235" s="36">
        <v>0.06</v>
      </c>
    </row>
    <row r="3236" spans="2:10" x14ac:dyDescent="0.35">
      <c r="B3236" s="18">
        <v>1127421</v>
      </c>
      <c r="C3236" s="19" t="s">
        <v>4970</v>
      </c>
      <c r="D3236" s="5" t="s">
        <v>8</v>
      </c>
      <c r="E3236" s="19" t="s">
        <v>6363</v>
      </c>
      <c r="F3236" s="34" t="s">
        <v>3574</v>
      </c>
      <c r="G3236" s="27">
        <v>79.47</v>
      </c>
      <c r="H3236" s="1" t="s">
        <v>774</v>
      </c>
      <c r="I3236" s="20">
        <v>1</v>
      </c>
      <c r="J3236" s="36">
        <v>0.06</v>
      </c>
    </row>
    <row r="3237" spans="2:10" x14ac:dyDescent="0.35">
      <c r="B3237" s="18">
        <v>1127433</v>
      </c>
      <c r="C3237" s="19" t="s">
        <v>4971</v>
      </c>
      <c r="D3237" s="5" t="s">
        <v>8</v>
      </c>
      <c r="E3237" s="19" t="s">
        <v>6364</v>
      </c>
      <c r="F3237" s="34" t="s">
        <v>3574</v>
      </c>
      <c r="G3237" s="27">
        <v>82.04</v>
      </c>
      <c r="H3237" s="1" t="s">
        <v>774</v>
      </c>
      <c r="I3237" s="20">
        <v>1</v>
      </c>
      <c r="J3237" s="36">
        <v>0.06</v>
      </c>
    </row>
    <row r="3238" spans="2:10" x14ac:dyDescent="0.35">
      <c r="B3238" s="18">
        <v>1127429</v>
      </c>
      <c r="C3238" s="19" t="s">
        <v>4972</v>
      </c>
      <c r="D3238" s="5" t="s">
        <v>8</v>
      </c>
      <c r="E3238" s="19" t="s">
        <v>6365</v>
      </c>
      <c r="F3238" s="34" t="s">
        <v>3574</v>
      </c>
      <c r="G3238" s="27">
        <v>117.47</v>
      </c>
      <c r="H3238" s="1" t="s">
        <v>774</v>
      </c>
      <c r="I3238" s="20">
        <v>1</v>
      </c>
      <c r="J3238" s="36">
        <v>0.06</v>
      </c>
    </row>
    <row r="3239" spans="2:10" x14ac:dyDescent="0.35">
      <c r="B3239" s="18">
        <v>1127424</v>
      </c>
      <c r="C3239" s="19" t="s">
        <v>4973</v>
      </c>
      <c r="D3239" s="5" t="s">
        <v>8</v>
      </c>
      <c r="E3239" s="19" t="s">
        <v>6366</v>
      </c>
      <c r="F3239" s="34" t="s">
        <v>3574</v>
      </c>
      <c r="G3239" s="27">
        <v>68.430000000000007</v>
      </c>
      <c r="H3239" s="1" t="s">
        <v>774</v>
      </c>
      <c r="I3239" s="20">
        <v>1</v>
      </c>
      <c r="J3239" s="36">
        <v>0.06</v>
      </c>
    </row>
    <row r="3240" spans="2:10" x14ac:dyDescent="0.35">
      <c r="B3240" s="18">
        <v>1130399</v>
      </c>
      <c r="C3240" s="19" t="s">
        <v>4974</v>
      </c>
      <c r="D3240" s="5" t="s">
        <v>8</v>
      </c>
      <c r="E3240" s="19" t="s">
        <v>6367</v>
      </c>
      <c r="F3240" s="34" t="s">
        <v>3574</v>
      </c>
      <c r="G3240" s="27">
        <v>104.32</v>
      </c>
      <c r="H3240" s="1" t="s">
        <v>774</v>
      </c>
      <c r="I3240" s="20">
        <v>1</v>
      </c>
      <c r="J3240" s="36">
        <v>0.06</v>
      </c>
    </row>
    <row r="3241" spans="2:10" x14ac:dyDescent="0.35">
      <c r="B3241" s="18">
        <v>1360005</v>
      </c>
      <c r="C3241" s="19" t="s">
        <v>4975</v>
      </c>
      <c r="D3241" s="5" t="s">
        <v>8</v>
      </c>
      <c r="E3241" s="19" t="s">
        <v>6368</v>
      </c>
      <c r="F3241" s="34" t="s">
        <v>3574</v>
      </c>
      <c r="G3241" s="27">
        <v>119.86</v>
      </c>
      <c r="H3241" s="1" t="s">
        <v>774</v>
      </c>
      <c r="I3241" s="20">
        <v>1</v>
      </c>
      <c r="J3241" s="36">
        <v>0.06</v>
      </c>
    </row>
    <row r="3242" spans="2:10" x14ac:dyDescent="0.35">
      <c r="B3242" s="18" t="s">
        <v>4049</v>
      </c>
      <c r="C3242" s="19" t="s">
        <v>4359</v>
      </c>
      <c r="D3242" s="5" t="s">
        <v>8</v>
      </c>
      <c r="E3242" s="19" t="s">
        <v>6369</v>
      </c>
      <c r="F3242" s="34" t="s">
        <v>3574</v>
      </c>
      <c r="G3242" s="27">
        <v>430.13</v>
      </c>
      <c r="H3242" s="1" t="s">
        <v>774</v>
      </c>
      <c r="I3242" s="20">
        <v>1</v>
      </c>
      <c r="J3242" s="36">
        <v>0.06</v>
      </c>
    </row>
    <row r="3243" spans="2:10" x14ac:dyDescent="0.35">
      <c r="B3243" s="18" t="s">
        <v>4050</v>
      </c>
      <c r="C3243" s="19" t="s">
        <v>4976</v>
      </c>
      <c r="D3243" s="5" t="s">
        <v>8</v>
      </c>
      <c r="E3243" s="19" t="s">
        <v>6370</v>
      </c>
      <c r="F3243" s="34" t="s">
        <v>3574</v>
      </c>
      <c r="G3243" s="27">
        <v>536.79</v>
      </c>
      <c r="H3243" s="1" t="s">
        <v>774</v>
      </c>
      <c r="I3243" s="20">
        <v>1</v>
      </c>
      <c r="J3243" s="36">
        <v>0.06</v>
      </c>
    </row>
    <row r="3244" spans="2:10" x14ac:dyDescent="0.35">
      <c r="B3244" s="18">
        <v>4001267</v>
      </c>
      <c r="C3244" s="19" t="s">
        <v>4977</v>
      </c>
      <c r="D3244" s="5" t="s">
        <v>8</v>
      </c>
      <c r="E3244" s="19" t="s">
        <v>6371</v>
      </c>
      <c r="F3244" s="34" t="s">
        <v>3574</v>
      </c>
      <c r="G3244" s="27">
        <v>480.45</v>
      </c>
      <c r="H3244" s="1" t="s">
        <v>774</v>
      </c>
      <c r="I3244" s="20">
        <v>1</v>
      </c>
      <c r="J3244" s="36">
        <v>0.06</v>
      </c>
    </row>
    <row r="3245" spans="2:10" x14ac:dyDescent="0.35">
      <c r="B3245" s="18">
        <v>4001173</v>
      </c>
      <c r="C3245" s="19" t="s">
        <v>4977</v>
      </c>
      <c r="D3245" s="5" t="s">
        <v>8</v>
      </c>
      <c r="E3245" s="19" t="s">
        <v>6372</v>
      </c>
      <c r="F3245" s="34" t="s">
        <v>3574</v>
      </c>
      <c r="G3245" s="27">
        <v>745.44</v>
      </c>
      <c r="H3245" s="1" t="s">
        <v>774</v>
      </c>
      <c r="I3245" s="20">
        <v>1</v>
      </c>
      <c r="J3245" s="36">
        <v>0.06</v>
      </c>
    </row>
    <row r="3246" spans="2:10" x14ac:dyDescent="0.35">
      <c r="B3246" s="18">
        <v>3602574</v>
      </c>
      <c r="C3246" s="19" t="s">
        <v>4978</v>
      </c>
      <c r="D3246" s="5" t="s">
        <v>8</v>
      </c>
      <c r="E3246" s="19" t="s">
        <v>6373</v>
      </c>
      <c r="F3246" s="34" t="s">
        <v>3574</v>
      </c>
      <c r="G3246" s="27">
        <v>78.900000000000006</v>
      </c>
      <c r="H3246" s="1" t="s">
        <v>774</v>
      </c>
      <c r="I3246" s="20">
        <v>1</v>
      </c>
      <c r="J3246" s="36">
        <v>0.06</v>
      </c>
    </row>
    <row r="3247" spans="2:10" x14ac:dyDescent="0.35">
      <c r="B3247" s="18">
        <v>3601809</v>
      </c>
      <c r="C3247" s="19" t="s">
        <v>4979</v>
      </c>
      <c r="D3247" s="5" t="s">
        <v>8</v>
      </c>
      <c r="E3247" s="19" t="s">
        <v>6374</v>
      </c>
      <c r="F3247" s="34" t="s">
        <v>3574</v>
      </c>
      <c r="G3247" s="27">
        <v>185.92</v>
      </c>
      <c r="H3247" s="1" t="s">
        <v>774</v>
      </c>
      <c r="I3247" s="20">
        <v>1</v>
      </c>
      <c r="J3247" s="36">
        <v>0.06</v>
      </c>
    </row>
    <row r="3248" spans="2:10" x14ac:dyDescent="0.35">
      <c r="B3248" s="18" t="s">
        <v>4051</v>
      </c>
      <c r="C3248" s="19" t="s">
        <v>4980</v>
      </c>
      <c r="D3248" s="5" t="s">
        <v>8</v>
      </c>
      <c r="E3248" s="19" t="s">
        <v>6375</v>
      </c>
      <c r="F3248" s="34" t="s">
        <v>3574</v>
      </c>
      <c r="G3248" s="27">
        <v>386.98</v>
      </c>
      <c r="H3248" s="1" t="s">
        <v>774</v>
      </c>
      <c r="I3248" s="20">
        <v>1</v>
      </c>
      <c r="J3248" s="36">
        <v>0.06</v>
      </c>
    </row>
    <row r="3249" spans="2:10" x14ac:dyDescent="0.35">
      <c r="B3249" s="18">
        <v>3603130</v>
      </c>
      <c r="C3249" s="19" t="s">
        <v>4981</v>
      </c>
      <c r="D3249" s="5" t="s">
        <v>8</v>
      </c>
      <c r="E3249" s="19" t="s">
        <v>6376</v>
      </c>
      <c r="F3249" s="34" t="s">
        <v>3574</v>
      </c>
      <c r="G3249" s="27">
        <v>256.81</v>
      </c>
      <c r="H3249" s="1" t="s">
        <v>774</v>
      </c>
      <c r="I3249" s="20">
        <v>1</v>
      </c>
      <c r="J3249" s="36">
        <v>0.06</v>
      </c>
    </row>
    <row r="3250" spans="2:10" x14ac:dyDescent="0.35">
      <c r="B3250" s="18">
        <v>3603756</v>
      </c>
      <c r="C3250" s="19" t="s">
        <v>4982</v>
      </c>
      <c r="D3250" s="5" t="s">
        <v>8</v>
      </c>
      <c r="E3250" s="19" t="s">
        <v>6377</v>
      </c>
      <c r="F3250" s="34" t="s">
        <v>3574</v>
      </c>
      <c r="G3250" s="27">
        <v>331.19</v>
      </c>
      <c r="H3250" s="1" t="s">
        <v>774</v>
      </c>
      <c r="I3250" s="20">
        <v>1</v>
      </c>
      <c r="J3250" s="36">
        <v>0.06</v>
      </c>
    </row>
    <row r="3251" spans="2:10" x14ac:dyDescent="0.35">
      <c r="B3251" s="18">
        <v>3603131</v>
      </c>
      <c r="C3251" s="19" t="s">
        <v>4983</v>
      </c>
      <c r="D3251" s="5" t="s">
        <v>8</v>
      </c>
      <c r="E3251" s="19" t="s">
        <v>6378</v>
      </c>
      <c r="F3251" s="34" t="s">
        <v>3574</v>
      </c>
      <c r="G3251" s="27">
        <v>281.61</v>
      </c>
      <c r="H3251" s="1" t="s">
        <v>774</v>
      </c>
      <c r="I3251" s="20">
        <v>1</v>
      </c>
      <c r="J3251" s="36">
        <v>0.06</v>
      </c>
    </row>
    <row r="3252" spans="2:10" x14ac:dyDescent="0.35">
      <c r="B3252" s="18">
        <v>3603745</v>
      </c>
      <c r="C3252" s="19" t="s">
        <v>4984</v>
      </c>
      <c r="D3252" s="5" t="s">
        <v>8</v>
      </c>
      <c r="E3252" s="19" t="s">
        <v>6379</v>
      </c>
      <c r="F3252" s="34" t="s">
        <v>3574</v>
      </c>
      <c r="G3252" s="27">
        <v>68.150000000000006</v>
      </c>
      <c r="H3252" s="1" t="s">
        <v>774</v>
      </c>
      <c r="I3252" s="20">
        <v>1</v>
      </c>
      <c r="J3252" s="36">
        <v>0.06</v>
      </c>
    </row>
    <row r="3253" spans="2:10" x14ac:dyDescent="0.35">
      <c r="B3253" s="18">
        <v>3603132</v>
      </c>
      <c r="C3253" s="19" t="s">
        <v>4985</v>
      </c>
      <c r="D3253" s="5" t="s">
        <v>8</v>
      </c>
      <c r="E3253" s="19" t="s">
        <v>6380</v>
      </c>
      <c r="F3253" s="34" t="s">
        <v>3574</v>
      </c>
      <c r="G3253" s="27">
        <v>274.83999999999997</v>
      </c>
      <c r="H3253" s="1" t="s">
        <v>774</v>
      </c>
      <c r="I3253" s="20">
        <v>1</v>
      </c>
      <c r="J3253" s="36">
        <v>0.06</v>
      </c>
    </row>
    <row r="3254" spans="2:10" x14ac:dyDescent="0.35">
      <c r="B3254" s="18">
        <v>4001780</v>
      </c>
      <c r="C3254" s="19" t="s">
        <v>4484</v>
      </c>
      <c r="D3254" s="5" t="s">
        <v>8</v>
      </c>
      <c r="E3254" s="19" t="s">
        <v>6381</v>
      </c>
      <c r="F3254" s="34" t="s">
        <v>3574</v>
      </c>
      <c r="G3254" s="27">
        <v>57.47</v>
      </c>
      <c r="H3254" s="1" t="s">
        <v>774</v>
      </c>
      <c r="I3254" s="20">
        <v>1</v>
      </c>
      <c r="J3254" s="36">
        <v>0.06</v>
      </c>
    </row>
    <row r="3255" spans="2:10" x14ac:dyDescent="0.35">
      <c r="B3255" s="18">
        <v>3602936</v>
      </c>
      <c r="C3255" s="19" t="s">
        <v>4986</v>
      </c>
      <c r="D3255" s="5" t="s">
        <v>8</v>
      </c>
      <c r="E3255" s="19" t="s">
        <v>6382</v>
      </c>
      <c r="F3255" s="34" t="s">
        <v>3574</v>
      </c>
      <c r="G3255" s="27">
        <v>191.76</v>
      </c>
      <c r="H3255" s="1" t="s">
        <v>774</v>
      </c>
      <c r="I3255" s="20">
        <v>1</v>
      </c>
      <c r="J3255" s="36">
        <v>0.06</v>
      </c>
    </row>
    <row r="3256" spans="2:10" x14ac:dyDescent="0.35">
      <c r="B3256" s="18">
        <v>3602866</v>
      </c>
      <c r="C3256" s="19" t="s">
        <v>4987</v>
      </c>
      <c r="D3256" s="5" t="s">
        <v>8</v>
      </c>
      <c r="E3256" s="19" t="s">
        <v>6383</v>
      </c>
      <c r="F3256" s="34" t="s">
        <v>3574</v>
      </c>
      <c r="G3256" s="27">
        <v>400.28</v>
      </c>
      <c r="H3256" s="1" t="s">
        <v>774</v>
      </c>
      <c r="I3256" s="20">
        <v>1</v>
      </c>
      <c r="J3256" s="36">
        <v>0.06</v>
      </c>
    </row>
    <row r="3257" spans="2:10" x14ac:dyDescent="0.35">
      <c r="B3257" s="18">
        <v>3602306</v>
      </c>
      <c r="C3257" s="19" t="s">
        <v>4988</v>
      </c>
      <c r="D3257" s="5" t="s">
        <v>8</v>
      </c>
      <c r="E3257" s="19" t="s">
        <v>6384</v>
      </c>
      <c r="F3257" s="34" t="s">
        <v>3574</v>
      </c>
      <c r="G3257" s="27">
        <v>728.94</v>
      </c>
      <c r="H3257" s="1" t="s">
        <v>774</v>
      </c>
      <c r="I3257" s="20">
        <v>1</v>
      </c>
      <c r="J3257" s="36">
        <v>0.06</v>
      </c>
    </row>
    <row r="3258" spans="2:10" x14ac:dyDescent="0.35">
      <c r="B3258" s="18">
        <v>3603815</v>
      </c>
      <c r="C3258" s="19" t="s">
        <v>4989</v>
      </c>
      <c r="D3258" s="5" t="s">
        <v>8</v>
      </c>
      <c r="E3258" s="19" t="s">
        <v>6385</v>
      </c>
      <c r="F3258" s="34" t="s">
        <v>3574</v>
      </c>
      <c r="G3258" s="27">
        <v>58.56</v>
      </c>
      <c r="H3258" s="1" t="s">
        <v>774</v>
      </c>
      <c r="I3258" s="20">
        <v>1</v>
      </c>
      <c r="J3258" s="36">
        <v>0.06</v>
      </c>
    </row>
    <row r="3259" spans="2:10" x14ac:dyDescent="0.35">
      <c r="B3259" s="18">
        <v>3602776</v>
      </c>
      <c r="C3259" s="19" t="s">
        <v>4990</v>
      </c>
      <c r="D3259" s="5" t="s">
        <v>8</v>
      </c>
      <c r="E3259" s="19" t="s">
        <v>6386</v>
      </c>
      <c r="F3259" s="34" t="s">
        <v>3574</v>
      </c>
      <c r="G3259" s="27">
        <v>64.599999999999994</v>
      </c>
      <c r="H3259" s="1" t="s">
        <v>774</v>
      </c>
      <c r="I3259" s="20">
        <v>1</v>
      </c>
      <c r="J3259" s="36">
        <v>0.06</v>
      </c>
    </row>
    <row r="3260" spans="2:10" x14ac:dyDescent="0.35">
      <c r="B3260" s="18">
        <v>3604002</v>
      </c>
      <c r="C3260" s="19" t="s">
        <v>4991</v>
      </c>
      <c r="D3260" s="5" t="s">
        <v>8</v>
      </c>
      <c r="E3260" s="19" t="s">
        <v>6387</v>
      </c>
      <c r="F3260" s="34" t="s">
        <v>3574</v>
      </c>
      <c r="G3260" s="27">
        <v>171.5</v>
      </c>
      <c r="H3260" s="1" t="s">
        <v>774</v>
      </c>
      <c r="I3260" s="20">
        <v>1</v>
      </c>
      <c r="J3260" s="36">
        <v>0.06</v>
      </c>
    </row>
    <row r="3261" spans="2:10" x14ac:dyDescent="0.35">
      <c r="B3261" s="18">
        <v>3602430</v>
      </c>
      <c r="C3261" s="19" t="s">
        <v>4992</v>
      </c>
      <c r="D3261" s="5" t="s">
        <v>8</v>
      </c>
      <c r="E3261" s="19" t="s">
        <v>6388</v>
      </c>
      <c r="F3261" s="34" t="s">
        <v>3574</v>
      </c>
      <c r="G3261" s="27">
        <v>386.56</v>
      </c>
      <c r="H3261" s="1" t="s">
        <v>774</v>
      </c>
      <c r="I3261" s="20">
        <v>1</v>
      </c>
      <c r="J3261" s="36">
        <v>0.06</v>
      </c>
    </row>
    <row r="3262" spans="2:10" x14ac:dyDescent="0.35">
      <c r="B3262" s="18">
        <v>3200184</v>
      </c>
      <c r="C3262" s="19" t="s">
        <v>4993</v>
      </c>
      <c r="D3262" s="5" t="s">
        <v>8</v>
      </c>
      <c r="E3262" s="19" t="s">
        <v>6389</v>
      </c>
      <c r="F3262" s="34" t="s">
        <v>3574</v>
      </c>
      <c r="G3262" s="27">
        <v>499.06</v>
      </c>
      <c r="H3262" s="1" t="s">
        <v>774</v>
      </c>
      <c r="I3262" s="20">
        <v>1</v>
      </c>
      <c r="J3262" s="36">
        <v>0.06</v>
      </c>
    </row>
    <row r="3263" spans="2:10" x14ac:dyDescent="0.35">
      <c r="B3263" s="18">
        <v>2000952</v>
      </c>
      <c r="C3263" s="19" t="s">
        <v>4994</v>
      </c>
      <c r="D3263" s="5" t="s">
        <v>8</v>
      </c>
      <c r="E3263" s="19" t="s">
        <v>6390</v>
      </c>
      <c r="F3263" s="34" t="s">
        <v>3574</v>
      </c>
      <c r="G3263" s="27">
        <v>288.8</v>
      </c>
      <c r="H3263" s="1" t="s">
        <v>774</v>
      </c>
      <c r="I3263" s="20">
        <v>1</v>
      </c>
      <c r="J3263" s="36">
        <v>0.06</v>
      </c>
    </row>
    <row r="3264" spans="2:10" x14ac:dyDescent="0.35">
      <c r="B3264" s="18">
        <v>3200039</v>
      </c>
      <c r="C3264" s="19" t="s">
        <v>4995</v>
      </c>
      <c r="D3264" s="5" t="s">
        <v>8</v>
      </c>
      <c r="E3264" s="19" t="s">
        <v>6391</v>
      </c>
      <c r="F3264" s="34" t="s">
        <v>3574</v>
      </c>
      <c r="G3264" s="27">
        <v>62.67</v>
      </c>
      <c r="H3264" s="1" t="s">
        <v>774</v>
      </c>
      <c r="I3264" s="20">
        <v>1</v>
      </c>
      <c r="J3264" s="36">
        <v>0.06</v>
      </c>
    </row>
    <row r="3265" spans="2:10" x14ac:dyDescent="0.35">
      <c r="B3265" s="18">
        <v>3200162</v>
      </c>
      <c r="C3265" s="19" t="s">
        <v>4996</v>
      </c>
      <c r="D3265" s="5" t="s">
        <v>8</v>
      </c>
      <c r="E3265" s="19" t="s">
        <v>6392</v>
      </c>
      <c r="F3265" s="34" t="s">
        <v>3574</v>
      </c>
      <c r="G3265" s="27">
        <v>53.35</v>
      </c>
      <c r="H3265" s="1" t="s">
        <v>774</v>
      </c>
      <c r="I3265" s="20">
        <v>1</v>
      </c>
      <c r="J3265" s="36">
        <v>0.06</v>
      </c>
    </row>
    <row r="3266" spans="2:10" x14ac:dyDescent="0.35">
      <c r="B3266" s="18">
        <v>3200190</v>
      </c>
      <c r="C3266" s="19" t="s">
        <v>4997</v>
      </c>
      <c r="D3266" s="5" t="s">
        <v>8</v>
      </c>
      <c r="E3266" s="19" t="s">
        <v>6393</v>
      </c>
      <c r="F3266" s="34" t="s">
        <v>3574</v>
      </c>
      <c r="G3266" s="27">
        <v>63.05</v>
      </c>
      <c r="H3266" s="1" t="s">
        <v>774</v>
      </c>
      <c r="I3266" s="20">
        <v>1</v>
      </c>
      <c r="J3266" s="36">
        <v>0.06</v>
      </c>
    </row>
    <row r="3267" spans="2:10" x14ac:dyDescent="0.35">
      <c r="B3267" s="18">
        <v>3603101</v>
      </c>
      <c r="C3267" s="19" t="s">
        <v>4998</v>
      </c>
      <c r="D3267" s="5" t="s">
        <v>8</v>
      </c>
      <c r="E3267" s="19" t="s">
        <v>6394</v>
      </c>
      <c r="F3267" s="34" t="s">
        <v>3574</v>
      </c>
      <c r="G3267" s="27">
        <v>11.78</v>
      </c>
      <c r="H3267" s="1" t="s">
        <v>774</v>
      </c>
      <c r="I3267" s="20">
        <v>1</v>
      </c>
      <c r="J3267" s="36">
        <v>0.06</v>
      </c>
    </row>
    <row r="3268" spans="2:10" x14ac:dyDescent="0.35">
      <c r="B3268" s="18">
        <v>91001180</v>
      </c>
      <c r="C3268" s="19" t="s">
        <v>4999</v>
      </c>
      <c r="D3268" s="5" t="s">
        <v>8</v>
      </c>
      <c r="E3268" s="19" t="s">
        <v>6395</v>
      </c>
      <c r="F3268" s="34" t="s">
        <v>3574</v>
      </c>
      <c r="G3268" s="27">
        <v>561.39</v>
      </c>
      <c r="H3268" s="1" t="s">
        <v>774</v>
      </c>
      <c r="I3268" s="20">
        <v>1</v>
      </c>
      <c r="J3268" s="36">
        <v>0.06</v>
      </c>
    </row>
    <row r="3269" spans="2:10" x14ac:dyDescent="0.35">
      <c r="B3269" s="18" t="s">
        <v>4052</v>
      </c>
      <c r="C3269" s="19" t="s">
        <v>5000</v>
      </c>
      <c r="D3269" s="5" t="s">
        <v>8</v>
      </c>
      <c r="E3269" s="19" t="s">
        <v>6396</v>
      </c>
      <c r="F3269" s="34" t="s">
        <v>3574</v>
      </c>
      <c r="G3269" s="27">
        <v>1.21</v>
      </c>
      <c r="H3269" s="1" t="s">
        <v>774</v>
      </c>
      <c r="I3269" s="20">
        <v>1</v>
      </c>
      <c r="J3269" s="36">
        <v>0.06</v>
      </c>
    </row>
    <row r="3270" spans="2:10" x14ac:dyDescent="0.35">
      <c r="B3270" s="18" t="s">
        <v>4053</v>
      </c>
      <c r="C3270" s="19" t="s">
        <v>5001</v>
      </c>
      <c r="D3270" s="5" t="s">
        <v>8</v>
      </c>
      <c r="E3270" s="19" t="s">
        <v>6397</v>
      </c>
      <c r="F3270" s="34" t="s">
        <v>3574</v>
      </c>
      <c r="G3270" s="27">
        <v>1.1299999999999999</v>
      </c>
      <c r="H3270" s="1" t="s">
        <v>774</v>
      </c>
      <c r="I3270" s="20">
        <v>1</v>
      </c>
      <c r="J3270" s="36">
        <v>0.06</v>
      </c>
    </row>
    <row r="3271" spans="2:10" x14ac:dyDescent="0.35">
      <c r="B3271" s="18">
        <v>1504708</v>
      </c>
      <c r="C3271" s="19" t="s">
        <v>5002</v>
      </c>
      <c r="D3271" s="5" t="s">
        <v>8</v>
      </c>
      <c r="E3271" s="19" t="s">
        <v>6398</v>
      </c>
      <c r="F3271" s="34" t="s">
        <v>3574</v>
      </c>
      <c r="G3271" s="27">
        <v>54.85</v>
      </c>
      <c r="H3271" s="1" t="s">
        <v>774</v>
      </c>
      <c r="I3271" s="20">
        <v>1</v>
      </c>
      <c r="J3271" s="36">
        <v>0.06</v>
      </c>
    </row>
    <row r="3272" spans="2:10" x14ac:dyDescent="0.35">
      <c r="B3272" s="18" t="s">
        <v>4054</v>
      </c>
      <c r="C3272" s="19" t="s">
        <v>5002</v>
      </c>
      <c r="D3272" s="5" t="s">
        <v>8</v>
      </c>
      <c r="E3272" s="19" t="s">
        <v>6398</v>
      </c>
      <c r="F3272" s="34" t="s">
        <v>3574</v>
      </c>
      <c r="G3272" s="27">
        <v>54.85</v>
      </c>
      <c r="H3272" s="1" t="s">
        <v>774</v>
      </c>
      <c r="I3272" s="20">
        <v>1</v>
      </c>
      <c r="J3272" s="36">
        <v>0.06</v>
      </c>
    </row>
    <row r="3273" spans="2:10" x14ac:dyDescent="0.35">
      <c r="B3273" s="18" t="s">
        <v>4055</v>
      </c>
      <c r="C3273" s="19" t="s">
        <v>5003</v>
      </c>
      <c r="D3273" s="5" t="s">
        <v>8</v>
      </c>
      <c r="E3273" s="19" t="s">
        <v>6399</v>
      </c>
      <c r="F3273" s="34" t="s">
        <v>3574</v>
      </c>
      <c r="G3273" s="27">
        <v>429</v>
      </c>
      <c r="H3273" s="1" t="s">
        <v>774</v>
      </c>
      <c r="I3273" s="20">
        <v>1</v>
      </c>
      <c r="J3273" s="36">
        <v>0.06</v>
      </c>
    </row>
    <row r="3274" spans="2:10" x14ac:dyDescent="0.35">
      <c r="B3274" s="18">
        <v>4001069</v>
      </c>
      <c r="C3274" s="19" t="s">
        <v>5004</v>
      </c>
      <c r="D3274" s="5" t="s">
        <v>8</v>
      </c>
      <c r="E3274" s="19" t="s">
        <v>6400</v>
      </c>
      <c r="F3274" s="34" t="s">
        <v>3574</v>
      </c>
      <c r="G3274" s="27">
        <v>865.55</v>
      </c>
      <c r="H3274" s="1" t="s">
        <v>774</v>
      </c>
      <c r="I3274" s="20">
        <v>1</v>
      </c>
      <c r="J3274" s="36">
        <v>0.06</v>
      </c>
    </row>
    <row r="3275" spans="2:10" x14ac:dyDescent="0.35">
      <c r="B3275" s="18">
        <v>1360614</v>
      </c>
      <c r="C3275" s="19" t="s">
        <v>5004</v>
      </c>
      <c r="D3275" s="5" t="s">
        <v>8</v>
      </c>
      <c r="E3275" s="19" t="s">
        <v>6401</v>
      </c>
      <c r="F3275" s="34" t="s">
        <v>3574</v>
      </c>
      <c r="G3275" s="27">
        <v>865.55</v>
      </c>
      <c r="H3275" s="1" t="s">
        <v>774</v>
      </c>
      <c r="I3275" s="20">
        <v>1</v>
      </c>
      <c r="J3275" s="36">
        <v>0.06</v>
      </c>
    </row>
    <row r="3276" spans="2:10" x14ac:dyDescent="0.35">
      <c r="B3276" s="18" t="s">
        <v>4056</v>
      </c>
      <c r="C3276" s="19" t="s">
        <v>5005</v>
      </c>
      <c r="D3276" s="5" t="s">
        <v>8</v>
      </c>
      <c r="E3276" s="19" t="s">
        <v>6402</v>
      </c>
      <c r="F3276" s="34" t="s">
        <v>3574</v>
      </c>
      <c r="G3276" s="27">
        <v>1892.29</v>
      </c>
      <c r="H3276" s="1" t="s">
        <v>774</v>
      </c>
      <c r="I3276" s="20">
        <v>1</v>
      </c>
      <c r="J3276" s="36">
        <v>0.06</v>
      </c>
    </row>
    <row r="3277" spans="2:10" x14ac:dyDescent="0.35">
      <c r="B3277" s="18" t="s">
        <v>4057</v>
      </c>
      <c r="C3277" s="19" t="s">
        <v>5006</v>
      </c>
      <c r="D3277" s="5" t="s">
        <v>8</v>
      </c>
      <c r="E3277" s="19" t="s">
        <v>6403</v>
      </c>
      <c r="F3277" s="34" t="s">
        <v>3574</v>
      </c>
      <c r="G3277" s="27">
        <v>809</v>
      </c>
      <c r="H3277" s="1" t="s">
        <v>774</v>
      </c>
      <c r="I3277" s="20">
        <v>1</v>
      </c>
      <c r="J3277" s="36">
        <v>0.06</v>
      </c>
    </row>
    <row r="3278" spans="2:10" x14ac:dyDescent="0.35">
      <c r="B3278" s="18" t="s">
        <v>4058</v>
      </c>
      <c r="C3278" s="19" t="s">
        <v>5007</v>
      </c>
      <c r="D3278" s="5" t="s">
        <v>8</v>
      </c>
      <c r="E3278" s="19" t="s">
        <v>6404</v>
      </c>
      <c r="F3278" s="34" t="s">
        <v>3574</v>
      </c>
      <c r="G3278" s="27">
        <v>901.93</v>
      </c>
      <c r="H3278" s="1" t="s">
        <v>774</v>
      </c>
      <c r="I3278" s="20">
        <v>1</v>
      </c>
      <c r="J3278" s="36">
        <v>0.06</v>
      </c>
    </row>
    <row r="3279" spans="2:10" x14ac:dyDescent="0.35">
      <c r="B3279" s="18" t="s">
        <v>4059</v>
      </c>
      <c r="C3279" s="19" t="s">
        <v>5008</v>
      </c>
      <c r="D3279" s="5" t="s">
        <v>8</v>
      </c>
      <c r="E3279" s="19" t="s">
        <v>6405</v>
      </c>
      <c r="F3279" s="34" t="s">
        <v>3574</v>
      </c>
      <c r="G3279" s="27">
        <v>1026.29</v>
      </c>
      <c r="H3279" s="1" t="s">
        <v>774</v>
      </c>
      <c r="I3279" s="20">
        <v>1</v>
      </c>
      <c r="J3279" s="36">
        <v>0.06</v>
      </c>
    </row>
    <row r="3280" spans="2:10" x14ac:dyDescent="0.35">
      <c r="B3280" s="18">
        <v>1584901</v>
      </c>
      <c r="C3280" s="19" t="s">
        <v>5009</v>
      </c>
      <c r="D3280" s="5" t="s">
        <v>8</v>
      </c>
      <c r="E3280" s="19" t="s">
        <v>6406</v>
      </c>
      <c r="F3280" s="34" t="s">
        <v>3574</v>
      </c>
      <c r="G3280" s="27">
        <v>356.23</v>
      </c>
      <c r="H3280" s="1" t="s">
        <v>774</v>
      </c>
      <c r="I3280" s="20">
        <v>1</v>
      </c>
      <c r="J3280" s="36">
        <v>0.06</v>
      </c>
    </row>
    <row r="3281" spans="2:10" x14ac:dyDescent="0.35">
      <c r="B3281" s="18">
        <v>800003628</v>
      </c>
      <c r="C3281" s="19" t="s">
        <v>5010</v>
      </c>
      <c r="D3281" s="5" t="s">
        <v>8</v>
      </c>
      <c r="E3281" s="19" t="s">
        <v>6407</v>
      </c>
      <c r="F3281" s="34" t="s">
        <v>3574</v>
      </c>
      <c r="G3281" s="27">
        <v>450.16</v>
      </c>
      <c r="H3281" s="1" t="s">
        <v>774</v>
      </c>
      <c r="I3281" s="20">
        <v>1</v>
      </c>
      <c r="J3281" s="36">
        <v>0.06</v>
      </c>
    </row>
    <row r="3282" spans="2:10" x14ac:dyDescent="0.35">
      <c r="B3282" s="18">
        <v>800001367</v>
      </c>
      <c r="C3282" s="19" t="s">
        <v>5011</v>
      </c>
      <c r="D3282" s="5" t="s">
        <v>8</v>
      </c>
      <c r="E3282" s="19" t="s">
        <v>6408</v>
      </c>
      <c r="F3282" s="34" t="s">
        <v>3574</v>
      </c>
      <c r="G3282" s="27">
        <v>439.19</v>
      </c>
      <c r="H3282" s="1" t="s">
        <v>774</v>
      </c>
      <c r="I3282" s="20">
        <v>1</v>
      </c>
      <c r="J3282" s="36">
        <v>0.06</v>
      </c>
    </row>
    <row r="3283" spans="2:10" x14ac:dyDescent="0.35">
      <c r="B3283" s="18">
        <v>4001692</v>
      </c>
      <c r="C3283" s="19" t="s">
        <v>5012</v>
      </c>
      <c r="D3283" s="5" t="s">
        <v>8</v>
      </c>
      <c r="E3283" s="19" t="s">
        <v>6409</v>
      </c>
      <c r="F3283" s="34" t="s">
        <v>3574</v>
      </c>
      <c r="G3283" s="27">
        <v>304.89</v>
      </c>
      <c r="H3283" s="1" t="s">
        <v>774</v>
      </c>
      <c r="I3283" s="20">
        <v>1</v>
      </c>
      <c r="J3283" s="36">
        <v>0.06</v>
      </c>
    </row>
    <row r="3284" spans="2:10" x14ac:dyDescent="0.35">
      <c r="B3284" s="18">
        <v>3010080</v>
      </c>
      <c r="C3284" s="19" t="s">
        <v>5013</v>
      </c>
      <c r="D3284" s="5" t="s">
        <v>8</v>
      </c>
      <c r="E3284" s="19" t="s">
        <v>6410</v>
      </c>
      <c r="F3284" s="34" t="s">
        <v>3574</v>
      </c>
      <c r="G3284" s="27">
        <v>278.87</v>
      </c>
      <c r="H3284" s="1" t="s">
        <v>774</v>
      </c>
      <c r="I3284" s="20">
        <v>1</v>
      </c>
      <c r="J3284" s="36">
        <v>0.06</v>
      </c>
    </row>
    <row r="3285" spans="2:10" x14ac:dyDescent="0.35">
      <c r="B3285" s="18">
        <v>1585317</v>
      </c>
      <c r="C3285" s="19" t="s">
        <v>5013</v>
      </c>
      <c r="D3285" s="5" t="s">
        <v>8</v>
      </c>
      <c r="E3285" s="19" t="s">
        <v>6411</v>
      </c>
      <c r="F3285" s="34" t="s">
        <v>3574</v>
      </c>
      <c r="G3285" s="27">
        <v>356.23</v>
      </c>
      <c r="H3285" s="1" t="s">
        <v>774</v>
      </c>
      <c r="I3285" s="20">
        <v>1</v>
      </c>
      <c r="J3285" s="36">
        <v>0.06</v>
      </c>
    </row>
    <row r="3286" spans="2:10" x14ac:dyDescent="0.35">
      <c r="B3286" s="18">
        <v>4001147</v>
      </c>
      <c r="C3286" s="19" t="s">
        <v>5014</v>
      </c>
      <c r="D3286" s="5" t="s">
        <v>8</v>
      </c>
      <c r="E3286" s="19" t="s">
        <v>6412</v>
      </c>
      <c r="F3286" s="34" t="s">
        <v>3574</v>
      </c>
      <c r="G3286" s="27">
        <v>391.89</v>
      </c>
      <c r="H3286" s="1" t="s">
        <v>774</v>
      </c>
      <c r="I3286" s="20">
        <v>1</v>
      </c>
      <c r="J3286" s="36">
        <v>0.06</v>
      </c>
    </row>
    <row r="3287" spans="2:10" x14ac:dyDescent="0.35">
      <c r="B3287" s="18">
        <v>1411277</v>
      </c>
      <c r="C3287" s="19" t="s">
        <v>5015</v>
      </c>
      <c r="D3287" s="5" t="s">
        <v>8</v>
      </c>
      <c r="E3287" s="19" t="s">
        <v>6413</v>
      </c>
      <c r="F3287" s="34" t="s">
        <v>3574</v>
      </c>
      <c r="G3287" s="27">
        <v>430.4</v>
      </c>
      <c r="H3287" s="1" t="s">
        <v>774</v>
      </c>
      <c r="I3287" s="20">
        <v>1</v>
      </c>
      <c r="J3287" s="36">
        <v>0.06</v>
      </c>
    </row>
    <row r="3288" spans="2:10" x14ac:dyDescent="0.35">
      <c r="B3288" s="18">
        <v>1410960</v>
      </c>
      <c r="C3288" s="19" t="s">
        <v>5016</v>
      </c>
      <c r="D3288" s="5" t="s">
        <v>8</v>
      </c>
      <c r="E3288" s="19" t="s">
        <v>6414</v>
      </c>
      <c r="F3288" s="34" t="s">
        <v>3574</v>
      </c>
      <c r="G3288" s="27">
        <v>439.19</v>
      </c>
      <c r="H3288" s="1" t="s">
        <v>774</v>
      </c>
      <c r="I3288" s="20">
        <v>1</v>
      </c>
      <c r="J3288" s="36">
        <v>0.06</v>
      </c>
    </row>
    <row r="3289" spans="2:10" x14ac:dyDescent="0.35">
      <c r="B3289" s="18">
        <v>800002513</v>
      </c>
      <c r="C3289" s="19" t="s">
        <v>5017</v>
      </c>
      <c r="D3289" s="5" t="s">
        <v>8</v>
      </c>
      <c r="E3289" s="19" t="s">
        <v>6415</v>
      </c>
      <c r="F3289" s="34" t="s">
        <v>3574</v>
      </c>
      <c r="G3289" s="27">
        <v>804.56</v>
      </c>
      <c r="H3289" s="1" t="s">
        <v>774</v>
      </c>
      <c r="I3289" s="20">
        <v>1</v>
      </c>
      <c r="J3289" s="36">
        <v>0.06</v>
      </c>
    </row>
    <row r="3290" spans="2:10" x14ac:dyDescent="0.35">
      <c r="B3290" s="18" t="s">
        <v>4060</v>
      </c>
      <c r="C3290" s="19" t="s">
        <v>5018</v>
      </c>
      <c r="D3290" s="5" t="s">
        <v>8</v>
      </c>
      <c r="E3290" s="19" t="s">
        <v>6416</v>
      </c>
      <c r="F3290" s="34" t="s">
        <v>3574</v>
      </c>
      <c r="G3290" s="27">
        <v>692.55</v>
      </c>
      <c r="H3290" s="1" t="s">
        <v>774</v>
      </c>
      <c r="I3290" s="20">
        <v>1</v>
      </c>
      <c r="J3290" s="36">
        <v>0.06</v>
      </c>
    </row>
    <row r="3291" spans="2:10" x14ac:dyDescent="0.35">
      <c r="B3291" s="18">
        <v>1584965</v>
      </c>
      <c r="C3291" s="19" t="s">
        <v>5019</v>
      </c>
      <c r="D3291" s="5" t="s">
        <v>8</v>
      </c>
      <c r="E3291" s="19" t="s">
        <v>6417</v>
      </c>
      <c r="F3291" s="34" t="s">
        <v>3574</v>
      </c>
      <c r="G3291" s="27">
        <v>170.52</v>
      </c>
      <c r="H3291" s="1" t="s">
        <v>774</v>
      </c>
      <c r="I3291" s="20">
        <v>1</v>
      </c>
      <c r="J3291" s="36">
        <v>0.06</v>
      </c>
    </row>
    <row r="3292" spans="2:10" x14ac:dyDescent="0.35">
      <c r="B3292" s="18">
        <v>1584964</v>
      </c>
      <c r="C3292" s="19" t="s">
        <v>5020</v>
      </c>
      <c r="D3292" s="5" t="s">
        <v>8</v>
      </c>
      <c r="E3292" s="19" t="s">
        <v>6418</v>
      </c>
      <c r="F3292" s="34" t="s">
        <v>3574</v>
      </c>
      <c r="G3292" s="27">
        <v>185.5</v>
      </c>
      <c r="H3292" s="1" t="s">
        <v>774</v>
      </c>
      <c r="I3292" s="20">
        <v>1</v>
      </c>
      <c r="J3292" s="36">
        <v>0.06</v>
      </c>
    </row>
    <row r="3293" spans="2:10" x14ac:dyDescent="0.35">
      <c r="B3293" s="18" t="s">
        <v>4061</v>
      </c>
      <c r="C3293" s="19" t="s">
        <v>5021</v>
      </c>
      <c r="D3293" s="5" t="s">
        <v>8</v>
      </c>
      <c r="E3293" s="19" t="s">
        <v>4061</v>
      </c>
      <c r="F3293" s="34" t="s">
        <v>3574</v>
      </c>
      <c r="G3293" s="27">
        <v>515.24</v>
      </c>
      <c r="H3293" s="1" t="s">
        <v>774</v>
      </c>
      <c r="I3293" s="20">
        <v>1</v>
      </c>
      <c r="J3293" s="36">
        <v>0.06</v>
      </c>
    </row>
    <row r="3294" spans="2:10" x14ac:dyDescent="0.35">
      <c r="B3294" s="18" t="s">
        <v>4062</v>
      </c>
      <c r="C3294" s="19" t="s">
        <v>5022</v>
      </c>
      <c r="D3294" s="5" t="s">
        <v>8</v>
      </c>
      <c r="E3294" s="19" t="s">
        <v>4062</v>
      </c>
      <c r="F3294" s="34" t="s">
        <v>3574</v>
      </c>
      <c r="G3294" s="27">
        <v>2788.55</v>
      </c>
      <c r="H3294" s="1" t="s">
        <v>774</v>
      </c>
      <c r="I3294" s="20">
        <v>1</v>
      </c>
      <c r="J3294" s="36">
        <v>0.06</v>
      </c>
    </row>
    <row r="3295" spans="2:10" x14ac:dyDescent="0.35">
      <c r="B3295" s="18">
        <v>800003900</v>
      </c>
      <c r="C3295" s="19" t="s">
        <v>5023</v>
      </c>
      <c r="D3295" s="5" t="s">
        <v>8</v>
      </c>
      <c r="E3295" s="19" t="s">
        <v>6419</v>
      </c>
      <c r="F3295" s="34" t="s">
        <v>3574</v>
      </c>
      <c r="G3295" s="27">
        <v>1.43</v>
      </c>
      <c r="H3295" s="1" t="s">
        <v>774</v>
      </c>
      <c r="I3295" s="20">
        <v>1</v>
      </c>
      <c r="J3295" s="36">
        <v>0.06</v>
      </c>
    </row>
    <row r="3296" spans="2:10" x14ac:dyDescent="0.35">
      <c r="B3296" s="18">
        <v>4020155</v>
      </c>
      <c r="C3296" s="19" t="s">
        <v>5024</v>
      </c>
      <c r="D3296" s="5" t="s">
        <v>8</v>
      </c>
      <c r="E3296" s="19" t="s">
        <v>6420</v>
      </c>
      <c r="F3296" s="34" t="s">
        <v>3574</v>
      </c>
      <c r="G3296" s="27">
        <v>1.05</v>
      </c>
      <c r="H3296" s="1" t="s">
        <v>774</v>
      </c>
      <c r="I3296" s="20">
        <v>1</v>
      </c>
      <c r="J3296" s="36">
        <v>0.06</v>
      </c>
    </row>
    <row r="3297" spans="2:10" x14ac:dyDescent="0.35">
      <c r="B3297" s="18">
        <v>4001125</v>
      </c>
      <c r="C3297" s="19" t="s">
        <v>5025</v>
      </c>
      <c r="D3297" s="5" t="s">
        <v>8</v>
      </c>
      <c r="E3297" s="19" t="s">
        <v>6421</v>
      </c>
      <c r="F3297" s="34" t="s">
        <v>3574</v>
      </c>
      <c r="G3297" s="27">
        <v>248.52</v>
      </c>
      <c r="H3297" s="1" t="s">
        <v>774</v>
      </c>
      <c r="I3297" s="20">
        <v>1</v>
      </c>
      <c r="J3297" s="36">
        <v>0.06</v>
      </c>
    </row>
    <row r="3298" spans="2:10" x14ac:dyDescent="0.35">
      <c r="B3298" s="18">
        <v>4001126</v>
      </c>
      <c r="C3298" s="19" t="s">
        <v>5026</v>
      </c>
      <c r="D3298" s="5" t="s">
        <v>8</v>
      </c>
      <c r="E3298" s="19" t="s">
        <v>6422</v>
      </c>
      <c r="F3298" s="34" t="s">
        <v>3574</v>
      </c>
      <c r="G3298" s="27">
        <v>190.31</v>
      </c>
      <c r="H3298" s="1" t="s">
        <v>774</v>
      </c>
      <c r="I3298" s="20">
        <v>1</v>
      </c>
      <c r="J3298" s="36">
        <v>0.06</v>
      </c>
    </row>
    <row r="3299" spans="2:10" x14ac:dyDescent="0.35">
      <c r="B3299" s="18" t="s">
        <v>4063</v>
      </c>
      <c r="C3299" s="19" t="s">
        <v>5027</v>
      </c>
      <c r="D3299" s="5" t="s">
        <v>8</v>
      </c>
      <c r="E3299" s="19" t="s">
        <v>6423</v>
      </c>
      <c r="F3299" s="34" t="s">
        <v>3574</v>
      </c>
      <c r="G3299" s="27">
        <v>3724</v>
      </c>
      <c r="H3299" s="1" t="s">
        <v>774</v>
      </c>
      <c r="I3299" s="20">
        <v>1</v>
      </c>
      <c r="J3299" s="36">
        <v>0.06</v>
      </c>
    </row>
    <row r="3300" spans="2:10" x14ac:dyDescent="0.35">
      <c r="B3300" s="18" t="s">
        <v>4064</v>
      </c>
      <c r="C3300" s="19" t="s">
        <v>5028</v>
      </c>
      <c r="D3300" s="5" t="s">
        <v>8</v>
      </c>
      <c r="E3300" s="19" t="s">
        <v>6424</v>
      </c>
      <c r="F3300" s="34" t="s">
        <v>3574</v>
      </c>
      <c r="G3300" s="27">
        <v>5500</v>
      </c>
      <c r="H3300" s="1" t="s">
        <v>774</v>
      </c>
      <c r="I3300" s="20">
        <v>1</v>
      </c>
      <c r="J3300" s="36">
        <v>0.06</v>
      </c>
    </row>
    <row r="3301" spans="2:10" x14ac:dyDescent="0.35">
      <c r="B3301" s="18" t="s">
        <v>4065</v>
      </c>
      <c r="C3301" s="19" t="s">
        <v>5029</v>
      </c>
      <c r="D3301" s="5" t="s">
        <v>8</v>
      </c>
      <c r="E3301" s="19" t="s">
        <v>6425</v>
      </c>
      <c r="F3301" s="34" t="s">
        <v>3574</v>
      </c>
      <c r="G3301" s="27">
        <v>72.73</v>
      </c>
      <c r="H3301" s="1" t="s">
        <v>774</v>
      </c>
      <c r="I3301" s="20">
        <v>1</v>
      </c>
      <c r="J3301" s="36">
        <v>0.06</v>
      </c>
    </row>
    <row r="3302" spans="2:10" x14ac:dyDescent="0.35">
      <c r="B3302" s="18" t="s">
        <v>4066</v>
      </c>
      <c r="C3302" s="19" t="s">
        <v>4593</v>
      </c>
      <c r="D3302" s="5" t="s">
        <v>8</v>
      </c>
      <c r="E3302" s="19" t="s">
        <v>6426</v>
      </c>
      <c r="F3302" s="34" t="s">
        <v>3574</v>
      </c>
      <c r="G3302" s="27">
        <v>138.13</v>
      </c>
      <c r="H3302" s="1" t="s">
        <v>774</v>
      </c>
      <c r="I3302" s="20">
        <v>1</v>
      </c>
      <c r="J3302" s="36">
        <v>0.06</v>
      </c>
    </row>
    <row r="3303" spans="2:10" x14ac:dyDescent="0.35">
      <c r="B3303" s="18" t="s">
        <v>4067</v>
      </c>
      <c r="C3303" s="19" t="s">
        <v>5030</v>
      </c>
      <c r="D3303" s="5" t="s">
        <v>8</v>
      </c>
      <c r="E3303" s="19" t="s">
        <v>6427</v>
      </c>
      <c r="F3303" s="34" t="s">
        <v>3574</v>
      </c>
      <c r="G3303" s="27">
        <v>464.31</v>
      </c>
      <c r="H3303" s="1" t="s">
        <v>774</v>
      </c>
      <c r="I3303" s="20">
        <v>1</v>
      </c>
      <c r="J3303" s="36">
        <v>0.06</v>
      </c>
    </row>
    <row r="3304" spans="2:10" x14ac:dyDescent="0.35">
      <c r="B3304" s="18">
        <v>1581591</v>
      </c>
      <c r="C3304" s="19" t="s">
        <v>5031</v>
      </c>
      <c r="D3304" s="5" t="s">
        <v>8</v>
      </c>
      <c r="E3304" s="19" t="s">
        <v>6428</v>
      </c>
      <c r="F3304" s="34" t="s">
        <v>3574</v>
      </c>
      <c r="G3304" s="27">
        <v>255.5</v>
      </c>
      <c r="H3304" s="1" t="s">
        <v>774</v>
      </c>
      <c r="I3304" s="20">
        <v>1</v>
      </c>
      <c r="J3304" s="36">
        <v>0.06</v>
      </c>
    </row>
    <row r="3305" spans="2:10" x14ac:dyDescent="0.35">
      <c r="B3305" s="18">
        <v>1586375</v>
      </c>
      <c r="C3305" s="19" t="s">
        <v>5032</v>
      </c>
      <c r="D3305" s="5" t="s">
        <v>8</v>
      </c>
      <c r="E3305" s="19" t="s">
        <v>6429</v>
      </c>
      <c r="F3305" s="34" t="s">
        <v>3574</v>
      </c>
      <c r="G3305" s="27">
        <v>243.32</v>
      </c>
      <c r="H3305" s="1" t="s">
        <v>774</v>
      </c>
      <c r="I3305" s="20">
        <v>1</v>
      </c>
      <c r="J3305" s="36">
        <v>0.06</v>
      </c>
    </row>
    <row r="3306" spans="2:10" x14ac:dyDescent="0.35">
      <c r="B3306" s="18">
        <v>3603009</v>
      </c>
      <c r="C3306" s="19" t="s">
        <v>5033</v>
      </c>
      <c r="D3306" s="5" t="s">
        <v>8</v>
      </c>
      <c r="E3306" s="19" t="s">
        <v>6430</v>
      </c>
      <c r="F3306" s="34" t="s">
        <v>3574</v>
      </c>
      <c r="G3306" s="27">
        <v>273.13</v>
      </c>
      <c r="H3306" s="1" t="s">
        <v>774</v>
      </c>
      <c r="I3306" s="20">
        <v>1</v>
      </c>
      <c r="J3306" s="36">
        <v>0.06</v>
      </c>
    </row>
    <row r="3307" spans="2:10" x14ac:dyDescent="0.35">
      <c r="B3307" s="18">
        <v>800002798</v>
      </c>
      <c r="C3307" s="19" t="s">
        <v>5034</v>
      </c>
      <c r="D3307" s="5" t="s">
        <v>8</v>
      </c>
      <c r="E3307" s="19" t="s">
        <v>6431</v>
      </c>
      <c r="F3307" s="34" t="s">
        <v>3574</v>
      </c>
      <c r="G3307" s="27">
        <v>172.95</v>
      </c>
      <c r="H3307" s="1" t="s">
        <v>774</v>
      </c>
      <c r="I3307" s="20">
        <v>1</v>
      </c>
      <c r="J3307" s="36">
        <v>0.06</v>
      </c>
    </row>
    <row r="3308" spans="2:10" x14ac:dyDescent="0.35">
      <c r="B3308" s="18" t="s">
        <v>4068</v>
      </c>
      <c r="C3308" s="19" t="s">
        <v>5035</v>
      </c>
      <c r="D3308" s="5" t="s">
        <v>8</v>
      </c>
      <c r="E3308" s="19" t="s">
        <v>6432</v>
      </c>
      <c r="F3308" s="34" t="s">
        <v>3574</v>
      </c>
      <c r="G3308" s="27">
        <v>172.95</v>
      </c>
      <c r="H3308" s="1" t="s">
        <v>774</v>
      </c>
      <c r="I3308" s="20">
        <v>1</v>
      </c>
      <c r="J3308" s="36">
        <v>0.06</v>
      </c>
    </row>
    <row r="3309" spans="2:10" x14ac:dyDescent="0.35">
      <c r="B3309" s="18">
        <v>1586376</v>
      </c>
      <c r="C3309" s="19" t="s">
        <v>5036</v>
      </c>
      <c r="D3309" s="5" t="s">
        <v>8</v>
      </c>
      <c r="E3309" s="19" t="s">
        <v>6433</v>
      </c>
      <c r="F3309" s="34" t="s">
        <v>3574</v>
      </c>
      <c r="G3309" s="27">
        <v>162.22999999999999</v>
      </c>
      <c r="H3309" s="1" t="s">
        <v>774</v>
      </c>
      <c r="I3309" s="20">
        <v>1</v>
      </c>
      <c r="J3309" s="36">
        <v>0.06</v>
      </c>
    </row>
    <row r="3310" spans="2:10" x14ac:dyDescent="0.35">
      <c r="B3310" s="18">
        <v>1582366</v>
      </c>
      <c r="C3310" s="19" t="s">
        <v>5037</v>
      </c>
      <c r="D3310" s="5" t="s">
        <v>8</v>
      </c>
      <c r="E3310" s="19" t="s">
        <v>6434</v>
      </c>
      <c r="F3310" s="34" t="s">
        <v>3574</v>
      </c>
      <c r="G3310" s="27">
        <v>142.47999999999999</v>
      </c>
      <c r="H3310" s="1" t="s">
        <v>774</v>
      </c>
      <c r="I3310" s="20">
        <v>1</v>
      </c>
      <c r="J3310" s="36">
        <v>0.06</v>
      </c>
    </row>
    <row r="3311" spans="2:10" x14ac:dyDescent="0.35">
      <c r="B3311" s="18">
        <v>1581589</v>
      </c>
      <c r="C3311" s="19" t="s">
        <v>5038</v>
      </c>
      <c r="D3311" s="5" t="s">
        <v>8</v>
      </c>
      <c r="E3311" s="19" t="s">
        <v>6435</v>
      </c>
      <c r="F3311" s="34" t="s">
        <v>3574</v>
      </c>
      <c r="G3311" s="27">
        <v>98.04</v>
      </c>
      <c r="H3311" s="1" t="s">
        <v>774</v>
      </c>
      <c r="I3311" s="20">
        <v>1</v>
      </c>
      <c r="J3311" s="36">
        <v>0.06</v>
      </c>
    </row>
    <row r="3312" spans="2:10" x14ac:dyDescent="0.35">
      <c r="B3312" s="18" t="s">
        <v>4069</v>
      </c>
      <c r="C3312" s="19" t="s">
        <v>5039</v>
      </c>
      <c r="D3312" s="5" t="s">
        <v>8</v>
      </c>
      <c r="E3312" s="19" t="s">
        <v>6436</v>
      </c>
      <c r="F3312" s="34" t="s">
        <v>3574</v>
      </c>
      <c r="G3312" s="27">
        <v>60.84</v>
      </c>
      <c r="H3312" s="1" t="s">
        <v>774</v>
      </c>
      <c r="I3312" s="20">
        <v>1</v>
      </c>
      <c r="J3312" s="36">
        <v>0.06</v>
      </c>
    </row>
    <row r="3313" spans="2:10" x14ac:dyDescent="0.35">
      <c r="B3313" s="18" t="s">
        <v>4070</v>
      </c>
      <c r="C3313" s="19" t="s">
        <v>5039</v>
      </c>
      <c r="D3313" s="5" t="s">
        <v>8</v>
      </c>
      <c r="E3313" s="19" t="s">
        <v>6437</v>
      </c>
      <c r="F3313" s="34" t="s">
        <v>3574</v>
      </c>
      <c r="G3313" s="27">
        <v>53.99</v>
      </c>
      <c r="H3313" s="1" t="s">
        <v>774</v>
      </c>
      <c r="I3313" s="20">
        <v>1</v>
      </c>
      <c r="J3313" s="36">
        <v>0.06</v>
      </c>
    </row>
    <row r="3314" spans="2:10" x14ac:dyDescent="0.35">
      <c r="B3314" s="18">
        <v>7025918</v>
      </c>
      <c r="C3314" s="19" t="s">
        <v>5041</v>
      </c>
      <c r="D3314" s="5" t="s">
        <v>8</v>
      </c>
      <c r="E3314" s="19" t="s">
        <v>6438</v>
      </c>
      <c r="F3314" s="34" t="s">
        <v>3574</v>
      </c>
      <c r="G3314" s="27">
        <v>3.58</v>
      </c>
      <c r="H3314" s="1" t="s">
        <v>774</v>
      </c>
      <c r="I3314" s="20">
        <v>1</v>
      </c>
      <c r="J3314" s="36">
        <v>0.06</v>
      </c>
    </row>
    <row r="3315" spans="2:10" x14ac:dyDescent="0.35">
      <c r="B3315" s="18">
        <v>1131465</v>
      </c>
      <c r="C3315" s="19" t="s">
        <v>5042</v>
      </c>
      <c r="D3315" s="5" t="s">
        <v>8</v>
      </c>
      <c r="E3315" s="19" t="s">
        <v>6439</v>
      </c>
      <c r="F3315" s="34" t="s">
        <v>3574</v>
      </c>
      <c r="G3315" s="27">
        <v>104.49</v>
      </c>
      <c r="H3315" s="1" t="s">
        <v>774</v>
      </c>
      <c r="I3315" s="20">
        <v>1</v>
      </c>
      <c r="J3315" s="36">
        <v>0.06</v>
      </c>
    </row>
    <row r="3316" spans="2:10" x14ac:dyDescent="0.35">
      <c r="B3316" s="18">
        <v>1210205</v>
      </c>
      <c r="C3316" s="19" t="s">
        <v>5040</v>
      </c>
      <c r="D3316" s="5" t="s">
        <v>8</v>
      </c>
      <c r="E3316" s="19" t="s">
        <v>6440</v>
      </c>
      <c r="F3316" s="34" t="s">
        <v>3574</v>
      </c>
      <c r="G3316" s="27">
        <v>78.34</v>
      </c>
      <c r="H3316" s="1" t="s">
        <v>774</v>
      </c>
      <c r="I3316" s="20">
        <v>1</v>
      </c>
      <c r="J3316" s="36">
        <v>0.06</v>
      </c>
    </row>
    <row r="3317" spans="2:10" x14ac:dyDescent="0.35">
      <c r="B3317" s="18" t="s">
        <v>4071</v>
      </c>
      <c r="C3317" s="19" t="s">
        <v>5039</v>
      </c>
      <c r="D3317" s="5" t="s">
        <v>8</v>
      </c>
      <c r="E3317" s="19" t="s">
        <v>6441</v>
      </c>
      <c r="F3317" s="34" t="s">
        <v>3574</v>
      </c>
      <c r="G3317" s="27">
        <v>105.2</v>
      </c>
      <c r="H3317" s="1" t="s">
        <v>774</v>
      </c>
      <c r="I3317" s="20">
        <v>1</v>
      </c>
      <c r="J3317" s="36">
        <v>0.06</v>
      </c>
    </row>
    <row r="3318" spans="2:10" x14ac:dyDescent="0.35">
      <c r="B3318" s="18" t="s">
        <v>4072</v>
      </c>
      <c r="C3318" s="19" t="s">
        <v>5039</v>
      </c>
      <c r="D3318" s="5" t="s">
        <v>8</v>
      </c>
      <c r="E3318" s="19" t="s">
        <v>6442</v>
      </c>
      <c r="F3318" s="34" t="s">
        <v>3574</v>
      </c>
      <c r="G3318" s="27">
        <v>105.31</v>
      </c>
      <c r="H3318" s="1" t="s">
        <v>774</v>
      </c>
      <c r="I3318" s="20">
        <v>1</v>
      </c>
      <c r="J3318" s="36">
        <v>0.06</v>
      </c>
    </row>
    <row r="3319" spans="2:10" x14ac:dyDescent="0.35">
      <c r="B3319" s="18" t="s">
        <v>4073</v>
      </c>
      <c r="C3319" s="19" t="s">
        <v>5039</v>
      </c>
      <c r="D3319" s="5" t="s">
        <v>8</v>
      </c>
      <c r="E3319" s="19" t="s">
        <v>6443</v>
      </c>
      <c r="F3319" s="34" t="s">
        <v>3574</v>
      </c>
      <c r="G3319" s="27">
        <v>100.23</v>
      </c>
      <c r="H3319" s="1" t="s">
        <v>774</v>
      </c>
      <c r="I3319" s="20">
        <v>1</v>
      </c>
      <c r="J3319" s="36">
        <v>0.06</v>
      </c>
    </row>
    <row r="3320" spans="2:10" x14ac:dyDescent="0.35">
      <c r="B3320" s="18">
        <v>800001784</v>
      </c>
      <c r="C3320" s="19" t="s">
        <v>5043</v>
      </c>
      <c r="D3320" s="5" t="s">
        <v>8</v>
      </c>
      <c r="E3320" s="19" t="s">
        <v>6444</v>
      </c>
      <c r="F3320" s="34" t="s">
        <v>3574</v>
      </c>
      <c r="G3320" s="27">
        <v>145.07</v>
      </c>
      <c r="H3320" s="1" t="s">
        <v>774</v>
      </c>
      <c r="I3320" s="20">
        <v>1</v>
      </c>
      <c r="J3320" s="36">
        <v>0.06</v>
      </c>
    </row>
    <row r="3321" spans="2:10" x14ac:dyDescent="0.35">
      <c r="B3321" s="18">
        <v>3603704</v>
      </c>
      <c r="C3321" s="19" t="s">
        <v>5044</v>
      </c>
      <c r="D3321" s="5" t="s">
        <v>8</v>
      </c>
      <c r="E3321" s="19" t="s">
        <v>6445</v>
      </c>
      <c r="F3321" s="34" t="s">
        <v>3574</v>
      </c>
      <c r="G3321" s="27">
        <v>3.09</v>
      </c>
      <c r="H3321" s="1" t="s">
        <v>774</v>
      </c>
      <c r="I3321" s="20">
        <v>1</v>
      </c>
      <c r="J3321" s="36">
        <v>0.06</v>
      </c>
    </row>
    <row r="3322" spans="2:10" x14ac:dyDescent="0.35">
      <c r="B3322" s="18">
        <v>1361143</v>
      </c>
      <c r="C3322" s="19" t="s">
        <v>5045</v>
      </c>
      <c r="D3322" s="5" t="s">
        <v>8</v>
      </c>
      <c r="E3322" s="19" t="s">
        <v>6446</v>
      </c>
      <c r="F3322" s="34" t="s">
        <v>3574</v>
      </c>
      <c r="G3322" s="27">
        <v>4.53</v>
      </c>
      <c r="H3322" s="1" t="s">
        <v>774</v>
      </c>
      <c r="I3322" s="20">
        <v>1</v>
      </c>
      <c r="J3322" s="36">
        <v>0.06</v>
      </c>
    </row>
    <row r="3323" spans="2:10" x14ac:dyDescent="0.35">
      <c r="B3323" s="18">
        <v>2002226</v>
      </c>
      <c r="C3323" s="19" t="s">
        <v>5046</v>
      </c>
      <c r="D3323" s="5" t="s">
        <v>8</v>
      </c>
      <c r="E3323" s="19" t="s">
        <v>6447</v>
      </c>
      <c r="F3323" s="34" t="s">
        <v>3574</v>
      </c>
      <c r="G3323" s="27">
        <v>5.07</v>
      </c>
      <c r="H3323" s="1" t="s">
        <v>774</v>
      </c>
      <c r="I3323" s="20">
        <v>1</v>
      </c>
      <c r="J3323" s="36">
        <v>0.06</v>
      </c>
    </row>
    <row r="3324" spans="2:10" x14ac:dyDescent="0.35">
      <c r="B3324" s="18">
        <v>1800579</v>
      </c>
      <c r="C3324" s="19" t="s">
        <v>5047</v>
      </c>
      <c r="D3324" s="5" t="s">
        <v>8</v>
      </c>
      <c r="E3324" s="19" t="s">
        <v>6448</v>
      </c>
      <c r="F3324" s="34" t="s">
        <v>3574</v>
      </c>
      <c r="G3324" s="27">
        <v>78.95</v>
      </c>
      <c r="H3324" s="1" t="s">
        <v>774</v>
      </c>
      <c r="I3324" s="20">
        <v>1</v>
      </c>
      <c r="J3324" s="36">
        <v>0.06</v>
      </c>
    </row>
    <row r="3325" spans="2:10" x14ac:dyDescent="0.35">
      <c r="B3325" s="18">
        <v>1800525</v>
      </c>
      <c r="C3325" s="19" t="s">
        <v>5048</v>
      </c>
      <c r="D3325" s="5" t="s">
        <v>8</v>
      </c>
      <c r="E3325" s="19" t="s">
        <v>6449</v>
      </c>
      <c r="F3325" s="34" t="s">
        <v>3574</v>
      </c>
      <c r="G3325" s="27">
        <v>85.03</v>
      </c>
      <c r="H3325" s="1" t="s">
        <v>774</v>
      </c>
      <c r="I3325" s="20">
        <v>1</v>
      </c>
      <c r="J3325" s="36">
        <v>0.06</v>
      </c>
    </row>
    <row r="3326" spans="2:10" x14ac:dyDescent="0.35">
      <c r="B3326" s="18">
        <v>1800589</v>
      </c>
      <c r="C3326" s="19" t="s">
        <v>5049</v>
      </c>
      <c r="D3326" s="5" t="s">
        <v>8</v>
      </c>
      <c r="E3326" s="19" t="s">
        <v>6450</v>
      </c>
      <c r="F3326" s="34" t="s">
        <v>3574</v>
      </c>
      <c r="G3326" s="27">
        <v>100.46</v>
      </c>
      <c r="H3326" s="1" t="s">
        <v>774</v>
      </c>
      <c r="I3326" s="20">
        <v>1</v>
      </c>
      <c r="J3326" s="36">
        <v>0.06</v>
      </c>
    </row>
    <row r="3327" spans="2:10" x14ac:dyDescent="0.35">
      <c r="B3327" s="18">
        <v>1800527</v>
      </c>
      <c r="C3327" s="19" t="s">
        <v>5050</v>
      </c>
      <c r="D3327" s="5" t="s">
        <v>8</v>
      </c>
      <c r="E3327" s="19" t="s">
        <v>6451</v>
      </c>
      <c r="F3327" s="34" t="s">
        <v>3574</v>
      </c>
      <c r="G3327" s="27">
        <v>85.03</v>
      </c>
      <c r="H3327" s="1" t="s">
        <v>774</v>
      </c>
      <c r="I3327" s="20">
        <v>1</v>
      </c>
      <c r="J3327" s="36">
        <v>0.06</v>
      </c>
    </row>
    <row r="3328" spans="2:10" x14ac:dyDescent="0.35">
      <c r="B3328" s="18">
        <v>4102405</v>
      </c>
      <c r="C3328" s="19" t="s">
        <v>5051</v>
      </c>
      <c r="D3328" s="5" t="s">
        <v>8</v>
      </c>
      <c r="E3328" s="19" t="s">
        <v>6452</v>
      </c>
      <c r="F3328" s="34" t="s">
        <v>3574</v>
      </c>
      <c r="G3328" s="27">
        <v>52.629999999999995</v>
      </c>
      <c r="H3328" s="1" t="s">
        <v>774</v>
      </c>
      <c r="I3328" s="20">
        <v>1</v>
      </c>
      <c r="J3328" s="36">
        <v>0.06</v>
      </c>
    </row>
    <row r="3329" spans="2:10" x14ac:dyDescent="0.35">
      <c r="B3329" s="18">
        <v>1361142</v>
      </c>
      <c r="C3329" s="19" t="s">
        <v>5052</v>
      </c>
      <c r="D3329" s="5" t="s">
        <v>8</v>
      </c>
      <c r="E3329" s="19" t="s">
        <v>6453</v>
      </c>
      <c r="F3329" s="34" t="s">
        <v>3574</v>
      </c>
      <c r="G3329" s="27">
        <v>43.22</v>
      </c>
      <c r="H3329" s="1" t="s">
        <v>774</v>
      </c>
      <c r="I3329" s="20">
        <v>1</v>
      </c>
      <c r="J3329" s="36">
        <v>0.06</v>
      </c>
    </row>
    <row r="3330" spans="2:10" x14ac:dyDescent="0.35">
      <c r="B3330" s="18">
        <v>1361125</v>
      </c>
      <c r="C3330" s="19" t="s">
        <v>5053</v>
      </c>
      <c r="D3330" s="5" t="s">
        <v>8</v>
      </c>
      <c r="E3330" s="19" t="s">
        <v>6454</v>
      </c>
      <c r="F3330" s="34" t="s">
        <v>3574</v>
      </c>
      <c r="G3330" s="27">
        <v>162.4</v>
      </c>
      <c r="H3330" s="1" t="s">
        <v>774</v>
      </c>
      <c r="I3330" s="20">
        <v>1</v>
      </c>
      <c r="J3330" s="36">
        <v>0.06</v>
      </c>
    </row>
    <row r="3331" spans="2:10" x14ac:dyDescent="0.35">
      <c r="B3331" s="18" t="s">
        <v>4074</v>
      </c>
      <c r="C3331" s="19" t="s">
        <v>5054</v>
      </c>
      <c r="D3331" s="5" t="s">
        <v>8</v>
      </c>
      <c r="E3331" s="19" t="s">
        <v>6455</v>
      </c>
      <c r="F3331" s="34" t="s">
        <v>3574</v>
      </c>
      <c r="G3331" s="27">
        <v>171.57</v>
      </c>
      <c r="H3331" s="1" t="s">
        <v>774</v>
      </c>
      <c r="I3331" s="20">
        <v>1</v>
      </c>
      <c r="J3331" s="36">
        <v>0.06</v>
      </c>
    </row>
    <row r="3332" spans="2:10" x14ac:dyDescent="0.35">
      <c r="B3332" s="18" t="s">
        <v>4075</v>
      </c>
      <c r="C3332" s="19" t="s">
        <v>5055</v>
      </c>
      <c r="D3332" s="5" t="s">
        <v>8</v>
      </c>
      <c r="E3332" s="19" t="s">
        <v>6456</v>
      </c>
      <c r="F3332" s="34" t="s">
        <v>3574</v>
      </c>
      <c r="G3332" s="27">
        <v>129.78</v>
      </c>
      <c r="H3332" s="1" t="s">
        <v>774</v>
      </c>
      <c r="I3332" s="20">
        <v>1</v>
      </c>
      <c r="J3332" s="36">
        <v>0.06</v>
      </c>
    </row>
    <row r="3333" spans="2:10" x14ac:dyDescent="0.35">
      <c r="B3333" s="18">
        <v>1502230</v>
      </c>
      <c r="C3333" s="19" t="s">
        <v>5056</v>
      </c>
      <c r="D3333" s="5" t="s">
        <v>8</v>
      </c>
      <c r="E3333" s="19" t="s">
        <v>6457</v>
      </c>
      <c r="F3333" s="34" t="s">
        <v>3574</v>
      </c>
      <c r="G3333" s="27">
        <v>0.79</v>
      </c>
      <c r="H3333" s="1" t="s">
        <v>774</v>
      </c>
      <c r="I3333" s="20">
        <v>1</v>
      </c>
      <c r="J3333" s="36">
        <v>0.06</v>
      </c>
    </row>
    <row r="3334" spans="2:10" x14ac:dyDescent="0.35">
      <c r="B3334" s="18">
        <v>1800567</v>
      </c>
      <c r="C3334" s="19" t="s">
        <v>5057</v>
      </c>
      <c r="D3334" s="5" t="s">
        <v>8</v>
      </c>
      <c r="E3334" s="19" t="s">
        <v>6458</v>
      </c>
      <c r="F3334" s="34" t="s">
        <v>3574</v>
      </c>
      <c r="G3334" s="27">
        <v>9.98</v>
      </c>
      <c r="H3334" s="1" t="s">
        <v>774</v>
      </c>
      <c r="I3334" s="20">
        <v>1</v>
      </c>
      <c r="J3334" s="36">
        <v>0.06</v>
      </c>
    </row>
    <row r="3335" spans="2:10" x14ac:dyDescent="0.35">
      <c r="B3335" s="18">
        <v>3603705</v>
      </c>
      <c r="C3335" s="19" t="s">
        <v>5058</v>
      </c>
      <c r="D3335" s="5" t="s">
        <v>8</v>
      </c>
      <c r="E3335" s="19" t="s">
        <v>6459</v>
      </c>
      <c r="F3335" s="34" t="s">
        <v>3574</v>
      </c>
      <c r="G3335" s="27">
        <v>34.049999999999997</v>
      </c>
      <c r="H3335" s="1" t="s">
        <v>774</v>
      </c>
      <c r="I3335" s="20">
        <v>1</v>
      </c>
      <c r="J3335" s="36">
        <v>0.06</v>
      </c>
    </row>
    <row r="3336" spans="2:10" x14ac:dyDescent="0.35">
      <c r="B3336" s="18" t="s">
        <v>4076</v>
      </c>
      <c r="C3336" s="19" t="s">
        <v>5059</v>
      </c>
      <c r="D3336" s="5" t="s">
        <v>8</v>
      </c>
      <c r="E3336" s="19" t="s">
        <v>6460</v>
      </c>
      <c r="F3336" s="34" t="s">
        <v>3574</v>
      </c>
      <c r="G3336" s="27">
        <v>79.989999999999995</v>
      </c>
      <c r="H3336" s="1" t="s">
        <v>774</v>
      </c>
      <c r="I3336" s="20">
        <v>1</v>
      </c>
      <c r="J3336" s="36">
        <v>0.06</v>
      </c>
    </row>
    <row r="3337" spans="2:10" x14ac:dyDescent="0.35">
      <c r="B3337" s="18">
        <v>4001693</v>
      </c>
      <c r="C3337" s="19" t="s">
        <v>5060</v>
      </c>
      <c r="D3337" s="5" t="s">
        <v>8</v>
      </c>
      <c r="E3337" s="19" t="s">
        <v>6461</v>
      </c>
      <c r="F3337" s="34" t="s">
        <v>3574</v>
      </c>
      <c r="G3337" s="27">
        <v>74.989999999999995</v>
      </c>
      <c r="H3337" s="1" t="s">
        <v>774</v>
      </c>
      <c r="I3337" s="20">
        <v>1</v>
      </c>
      <c r="J3337" s="36">
        <v>0.06</v>
      </c>
    </row>
    <row r="3338" spans="2:10" x14ac:dyDescent="0.35">
      <c r="B3338" s="18">
        <v>4000665</v>
      </c>
      <c r="C3338" s="19" t="s">
        <v>5061</v>
      </c>
      <c r="D3338" s="5" t="s">
        <v>8</v>
      </c>
      <c r="E3338" s="19" t="s">
        <v>6462</v>
      </c>
      <c r="F3338" s="34" t="s">
        <v>3574</v>
      </c>
      <c r="G3338" s="27">
        <v>44.53</v>
      </c>
      <c r="H3338" s="1" t="s">
        <v>774</v>
      </c>
      <c r="I3338" s="20">
        <v>1</v>
      </c>
      <c r="J3338" s="36">
        <v>0.06</v>
      </c>
    </row>
    <row r="3339" spans="2:10" x14ac:dyDescent="0.35">
      <c r="B3339" s="18">
        <v>1584225</v>
      </c>
      <c r="C3339" s="19" t="s">
        <v>5062</v>
      </c>
      <c r="D3339" s="5" t="s">
        <v>8</v>
      </c>
      <c r="E3339" s="19" t="s">
        <v>6463</v>
      </c>
      <c r="F3339" s="34" t="s">
        <v>3574</v>
      </c>
      <c r="G3339" s="27">
        <v>173.86</v>
      </c>
      <c r="H3339" s="1" t="s">
        <v>774</v>
      </c>
      <c r="I3339" s="20">
        <v>1</v>
      </c>
      <c r="J3339" s="36">
        <v>0.06</v>
      </c>
    </row>
    <row r="3340" spans="2:10" x14ac:dyDescent="0.35">
      <c r="B3340" s="18">
        <v>1584224</v>
      </c>
      <c r="C3340" s="19" t="s">
        <v>5063</v>
      </c>
      <c r="D3340" s="5" t="s">
        <v>8</v>
      </c>
      <c r="E3340" s="19" t="s">
        <v>6464</v>
      </c>
      <c r="F3340" s="34" t="s">
        <v>3574</v>
      </c>
      <c r="G3340" s="27">
        <v>285.58</v>
      </c>
      <c r="H3340" s="1" t="s">
        <v>774</v>
      </c>
      <c r="I3340" s="20">
        <v>1</v>
      </c>
      <c r="J3340" s="36">
        <v>0.06</v>
      </c>
    </row>
    <row r="3341" spans="2:10" x14ac:dyDescent="0.35">
      <c r="B3341" s="18" t="s">
        <v>4077</v>
      </c>
      <c r="C3341" s="19" t="s">
        <v>5064</v>
      </c>
      <c r="D3341" s="5" t="s">
        <v>8</v>
      </c>
      <c r="E3341" s="19" t="s">
        <v>6465</v>
      </c>
      <c r="F3341" s="34" t="s">
        <v>3574</v>
      </c>
      <c r="G3341" s="27">
        <v>65.5</v>
      </c>
      <c r="H3341" s="1" t="s">
        <v>774</v>
      </c>
      <c r="I3341" s="20">
        <v>1</v>
      </c>
      <c r="J3341" s="36">
        <v>0.06</v>
      </c>
    </row>
    <row r="3342" spans="2:10" x14ac:dyDescent="0.35">
      <c r="B3342" s="18">
        <v>1301204</v>
      </c>
      <c r="C3342" s="19" t="s">
        <v>5065</v>
      </c>
      <c r="D3342" s="5" t="s">
        <v>8</v>
      </c>
      <c r="E3342" s="19" t="s">
        <v>6466</v>
      </c>
      <c r="F3342" s="34" t="s">
        <v>3574</v>
      </c>
      <c r="G3342" s="27">
        <v>53.96</v>
      </c>
      <c r="H3342" s="1" t="s">
        <v>774</v>
      </c>
      <c r="I3342" s="20">
        <v>1</v>
      </c>
      <c r="J3342" s="36">
        <v>0.06</v>
      </c>
    </row>
    <row r="3343" spans="2:10" x14ac:dyDescent="0.35">
      <c r="B3343" s="18">
        <v>1301205</v>
      </c>
      <c r="C3343" s="19" t="s">
        <v>5066</v>
      </c>
      <c r="D3343" s="5" t="s">
        <v>8</v>
      </c>
      <c r="E3343" s="19" t="s">
        <v>6467</v>
      </c>
      <c r="F3343" s="34" t="s">
        <v>3574</v>
      </c>
      <c r="G3343" s="27">
        <v>55.79</v>
      </c>
      <c r="H3343" s="1" t="s">
        <v>774</v>
      </c>
      <c r="I3343" s="20">
        <v>1</v>
      </c>
      <c r="J3343" s="36">
        <v>0.06</v>
      </c>
    </row>
    <row r="3344" spans="2:10" x14ac:dyDescent="0.35">
      <c r="B3344" s="18">
        <v>1301206</v>
      </c>
      <c r="C3344" s="19" t="s">
        <v>5067</v>
      </c>
      <c r="D3344" s="5" t="s">
        <v>8</v>
      </c>
      <c r="E3344" s="19" t="s">
        <v>6468</v>
      </c>
      <c r="F3344" s="34" t="s">
        <v>3574</v>
      </c>
      <c r="G3344" s="27">
        <v>66.150000000000006</v>
      </c>
      <c r="H3344" s="1" t="s">
        <v>774</v>
      </c>
      <c r="I3344" s="20">
        <v>1</v>
      </c>
      <c r="J3344" s="36">
        <v>0.06</v>
      </c>
    </row>
    <row r="3345" spans="2:10" x14ac:dyDescent="0.35">
      <c r="B3345" s="18">
        <v>1301207</v>
      </c>
      <c r="C3345" s="19" t="s">
        <v>5068</v>
      </c>
      <c r="D3345" s="5" t="s">
        <v>8</v>
      </c>
      <c r="E3345" s="19" t="s">
        <v>6469</v>
      </c>
      <c r="F3345" s="34" t="s">
        <v>3574</v>
      </c>
      <c r="G3345" s="27">
        <v>72.349999999999994</v>
      </c>
      <c r="H3345" s="1" t="s">
        <v>774</v>
      </c>
      <c r="I3345" s="20">
        <v>1</v>
      </c>
      <c r="J3345" s="36">
        <v>0.06</v>
      </c>
    </row>
    <row r="3346" spans="2:10" x14ac:dyDescent="0.35">
      <c r="B3346" s="18">
        <v>1302058</v>
      </c>
      <c r="C3346" s="19" t="s">
        <v>5069</v>
      </c>
      <c r="D3346" s="5" t="s">
        <v>8</v>
      </c>
      <c r="E3346" s="19" t="s">
        <v>6470</v>
      </c>
      <c r="F3346" s="34" t="s">
        <v>3574</v>
      </c>
      <c r="G3346" s="27">
        <v>153.84</v>
      </c>
      <c r="H3346" s="1" t="s">
        <v>774</v>
      </c>
      <c r="I3346" s="20">
        <v>1</v>
      </c>
      <c r="J3346" s="36">
        <v>0.06</v>
      </c>
    </row>
    <row r="3347" spans="2:10" x14ac:dyDescent="0.35">
      <c r="B3347" s="18">
        <v>1360003</v>
      </c>
      <c r="C3347" s="19" t="s">
        <v>5070</v>
      </c>
      <c r="D3347" s="5" t="s">
        <v>8</v>
      </c>
      <c r="E3347" s="19" t="s">
        <v>6471</v>
      </c>
      <c r="F3347" s="34" t="s">
        <v>3574</v>
      </c>
      <c r="G3347" s="27">
        <v>59.37</v>
      </c>
      <c r="H3347" s="1" t="s">
        <v>774</v>
      </c>
      <c r="I3347" s="20">
        <v>1</v>
      </c>
      <c r="J3347" s="36">
        <v>0.06</v>
      </c>
    </row>
    <row r="3348" spans="2:10" x14ac:dyDescent="0.35">
      <c r="B3348" s="18" t="s">
        <v>4078</v>
      </c>
      <c r="C3348" s="19" t="s">
        <v>5071</v>
      </c>
      <c r="D3348" s="5" t="s">
        <v>8</v>
      </c>
      <c r="E3348" s="19" t="s">
        <v>6472</v>
      </c>
      <c r="F3348" s="34" t="s">
        <v>3574</v>
      </c>
      <c r="G3348" s="27">
        <v>1507.82</v>
      </c>
      <c r="H3348" s="1" t="s">
        <v>774</v>
      </c>
      <c r="I3348" s="20">
        <v>1</v>
      </c>
      <c r="J3348" s="36">
        <v>0.06</v>
      </c>
    </row>
    <row r="3349" spans="2:10" x14ac:dyDescent="0.35">
      <c r="B3349" s="18" t="s">
        <v>4079</v>
      </c>
      <c r="C3349" s="19" t="s">
        <v>5072</v>
      </c>
      <c r="D3349" s="5" t="s">
        <v>8</v>
      </c>
      <c r="E3349" s="19" t="s">
        <v>6473</v>
      </c>
      <c r="F3349" s="34" t="s">
        <v>3574</v>
      </c>
      <c r="G3349" s="27">
        <v>1926.65</v>
      </c>
      <c r="H3349" s="1" t="s">
        <v>774</v>
      </c>
      <c r="I3349" s="20">
        <v>1</v>
      </c>
      <c r="J3349" s="36">
        <v>0.06</v>
      </c>
    </row>
    <row r="3350" spans="2:10" x14ac:dyDescent="0.35">
      <c r="B3350" s="18">
        <v>4001164</v>
      </c>
      <c r="C3350" s="19" t="s">
        <v>5073</v>
      </c>
      <c r="D3350" s="5" t="s">
        <v>8</v>
      </c>
      <c r="E3350" s="19" t="s">
        <v>6474</v>
      </c>
      <c r="F3350" s="34" t="s">
        <v>3574</v>
      </c>
      <c r="G3350" s="27">
        <v>88.22</v>
      </c>
      <c r="H3350" s="1" t="s">
        <v>774</v>
      </c>
      <c r="I3350" s="20">
        <v>1</v>
      </c>
      <c r="J3350" s="36">
        <v>0.06</v>
      </c>
    </row>
    <row r="3351" spans="2:10" x14ac:dyDescent="0.35">
      <c r="B3351" s="18">
        <v>3604243</v>
      </c>
      <c r="C3351" s="19" t="s">
        <v>5074</v>
      </c>
      <c r="D3351" s="5" t="s">
        <v>8</v>
      </c>
      <c r="E3351" s="19" t="s">
        <v>6475</v>
      </c>
      <c r="F3351" s="34" t="s">
        <v>3574</v>
      </c>
      <c r="G3351" s="27">
        <v>77.19</v>
      </c>
      <c r="H3351" s="1" t="s">
        <v>774</v>
      </c>
      <c r="I3351" s="20">
        <v>1</v>
      </c>
      <c r="J3351" s="36">
        <v>0.06</v>
      </c>
    </row>
    <row r="3352" spans="2:10" x14ac:dyDescent="0.35">
      <c r="B3352" s="18">
        <v>1360297</v>
      </c>
      <c r="C3352" s="19" t="s">
        <v>5075</v>
      </c>
      <c r="D3352" s="5" t="s">
        <v>8</v>
      </c>
      <c r="E3352" s="19" t="s">
        <v>6476</v>
      </c>
      <c r="F3352" s="34" t="s">
        <v>3574</v>
      </c>
      <c r="G3352" s="27">
        <v>172.05</v>
      </c>
      <c r="H3352" s="1" t="s">
        <v>774</v>
      </c>
      <c r="I3352" s="20">
        <v>1</v>
      </c>
      <c r="J3352" s="36">
        <v>0.06</v>
      </c>
    </row>
    <row r="3353" spans="2:10" x14ac:dyDescent="0.35">
      <c r="B3353" s="18">
        <v>1360696</v>
      </c>
      <c r="C3353" s="19" t="s">
        <v>5076</v>
      </c>
      <c r="D3353" s="5" t="s">
        <v>8</v>
      </c>
      <c r="E3353" s="19" t="s">
        <v>6477</v>
      </c>
      <c r="F3353" s="34" t="s">
        <v>3574</v>
      </c>
      <c r="G3353" s="27">
        <v>41.66</v>
      </c>
      <c r="H3353" s="1" t="s">
        <v>774</v>
      </c>
      <c r="I3353" s="20">
        <v>1</v>
      </c>
      <c r="J3353" s="36">
        <v>0.06</v>
      </c>
    </row>
    <row r="3354" spans="2:10" x14ac:dyDescent="0.35">
      <c r="B3354" s="18">
        <v>4001050</v>
      </c>
      <c r="C3354" s="19" t="s">
        <v>5076</v>
      </c>
      <c r="D3354" s="5" t="s">
        <v>8</v>
      </c>
      <c r="E3354" s="19" t="s">
        <v>6478</v>
      </c>
      <c r="F3354" s="34" t="s">
        <v>3574</v>
      </c>
      <c r="G3354" s="27">
        <v>43.97</v>
      </c>
      <c r="H3354" s="1" t="s">
        <v>774</v>
      </c>
      <c r="I3354" s="20">
        <v>1</v>
      </c>
      <c r="J3354" s="36">
        <v>0.06</v>
      </c>
    </row>
    <row r="3355" spans="2:10" x14ac:dyDescent="0.35">
      <c r="B3355" s="18">
        <v>4001777</v>
      </c>
      <c r="C3355" s="19" t="s">
        <v>5077</v>
      </c>
      <c r="D3355" s="5" t="s">
        <v>8</v>
      </c>
      <c r="E3355" s="19" t="s">
        <v>6479</v>
      </c>
      <c r="F3355" s="34" t="s">
        <v>3574</v>
      </c>
      <c r="G3355" s="27">
        <v>65.45</v>
      </c>
      <c r="H3355" s="1" t="s">
        <v>774</v>
      </c>
      <c r="I3355" s="20">
        <v>1</v>
      </c>
      <c r="J3355" s="36">
        <v>0.06</v>
      </c>
    </row>
    <row r="3356" spans="2:10" x14ac:dyDescent="0.35">
      <c r="B3356" s="18">
        <v>1301250</v>
      </c>
      <c r="C3356" s="19" t="s">
        <v>5078</v>
      </c>
      <c r="D3356" s="5" t="s">
        <v>8</v>
      </c>
      <c r="E3356" s="19" t="s">
        <v>6480</v>
      </c>
      <c r="F3356" s="34" t="s">
        <v>3574</v>
      </c>
      <c r="G3356" s="27">
        <v>73.069999999999993</v>
      </c>
      <c r="H3356" s="1" t="s">
        <v>774</v>
      </c>
      <c r="I3356" s="20">
        <v>1</v>
      </c>
      <c r="J3356" s="36">
        <v>0.06</v>
      </c>
    </row>
    <row r="3357" spans="2:10" x14ac:dyDescent="0.35">
      <c r="B3357" s="18">
        <v>1301254</v>
      </c>
      <c r="C3357" s="19" t="s">
        <v>5079</v>
      </c>
      <c r="D3357" s="5" t="s">
        <v>8</v>
      </c>
      <c r="E3357" s="19" t="s">
        <v>6481</v>
      </c>
      <c r="F3357" s="34" t="s">
        <v>3574</v>
      </c>
      <c r="G3357" s="27">
        <v>91.74</v>
      </c>
      <c r="H3357" s="1" t="s">
        <v>774</v>
      </c>
      <c r="I3357" s="20">
        <v>1</v>
      </c>
      <c r="J3357" s="36">
        <v>0.06</v>
      </c>
    </row>
    <row r="3358" spans="2:10" x14ac:dyDescent="0.35">
      <c r="B3358" s="18">
        <v>1301263</v>
      </c>
      <c r="C3358" s="19" t="s">
        <v>5073</v>
      </c>
      <c r="D3358" s="5" t="s">
        <v>8</v>
      </c>
      <c r="E3358" s="19" t="s">
        <v>6482</v>
      </c>
      <c r="F3358" s="34" t="s">
        <v>3574</v>
      </c>
      <c r="G3358" s="27">
        <v>142.4</v>
      </c>
      <c r="H3358" s="1" t="s">
        <v>774</v>
      </c>
      <c r="I3358" s="20">
        <v>1</v>
      </c>
      <c r="J3358" s="36">
        <v>0.06</v>
      </c>
    </row>
    <row r="3359" spans="2:10" x14ac:dyDescent="0.35">
      <c r="B3359" s="18">
        <v>4001040</v>
      </c>
      <c r="C3359" s="19" t="s">
        <v>5080</v>
      </c>
      <c r="D3359" s="5" t="s">
        <v>8</v>
      </c>
      <c r="E3359" s="19" t="s">
        <v>6483</v>
      </c>
      <c r="F3359" s="34" t="s">
        <v>3574</v>
      </c>
      <c r="G3359" s="27">
        <v>220.95</v>
      </c>
      <c r="H3359" s="1" t="s">
        <v>774</v>
      </c>
      <c r="I3359" s="20">
        <v>1</v>
      </c>
      <c r="J3359" s="36">
        <v>0.06</v>
      </c>
    </row>
    <row r="3360" spans="2:10" x14ac:dyDescent="0.35">
      <c r="B3360" s="18" t="s">
        <v>4080</v>
      </c>
      <c r="C3360" s="19" t="s">
        <v>5081</v>
      </c>
      <c r="D3360" s="5" t="s">
        <v>8</v>
      </c>
      <c r="E3360" s="19" t="s">
        <v>6484</v>
      </c>
      <c r="F3360" s="34" t="s">
        <v>3574</v>
      </c>
      <c r="G3360" s="27">
        <v>5.1100000000000003</v>
      </c>
      <c r="H3360" s="1" t="s">
        <v>774</v>
      </c>
      <c r="I3360" s="20">
        <v>1</v>
      </c>
      <c r="J3360" s="36">
        <v>0.06</v>
      </c>
    </row>
    <row r="3361" spans="2:10" x14ac:dyDescent="0.35">
      <c r="B3361" s="18">
        <v>1360387</v>
      </c>
      <c r="C3361" s="19" t="s">
        <v>5082</v>
      </c>
      <c r="D3361" s="5" t="s">
        <v>8</v>
      </c>
      <c r="E3361" s="19" t="s">
        <v>6485</v>
      </c>
      <c r="F3361" s="34" t="s">
        <v>3574</v>
      </c>
      <c r="G3361" s="27">
        <v>46</v>
      </c>
      <c r="H3361" s="1" t="s">
        <v>774</v>
      </c>
      <c r="I3361" s="20">
        <v>1</v>
      </c>
      <c r="J3361" s="36">
        <v>0.06</v>
      </c>
    </row>
    <row r="3362" spans="2:10" x14ac:dyDescent="0.35">
      <c r="B3362" s="18">
        <v>1304070</v>
      </c>
      <c r="C3362" s="19" t="s">
        <v>5083</v>
      </c>
      <c r="D3362" s="5" t="s">
        <v>8</v>
      </c>
      <c r="E3362" s="19" t="s">
        <v>6486</v>
      </c>
      <c r="F3362" s="34" t="s">
        <v>3574</v>
      </c>
      <c r="G3362" s="27">
        <v>18.940000000000001</v>
      </c>
      <c r="H3362" s="1" t="s">
        <v>774</v>
      </c>
      <c r="I3362" s="20">
        <v>1</v>
      </c>
      <c r="J3362" s="36">
        <v>0.06</v>
      </c>
    </row>
    <row r="3363" spans="2:10" x14ac:dyDescent="0.35">
      <c r="B3363" s="18">
        <v>1301258</v>
      </c>
      <c r="C3363" s="19" t="s">
        <v>5084</v>
      </c>
      <c r="D3363" s="5" t="s">
        <v>8</v>
      </c>
      <c r="E3363" s="19" t="s">
        <v>6487</v>
      </c>
      <c r="F3363" s="34" t="s">
        <v>3574</v>
      </c>
      <c r="G3363" s="27">
        <v>30</v>
      </c>
      <c r="H3363" s="1" t="s">
        <v>774</v>
      </c>
      <c r="I3363" s="20">
        <v>1</v>
      </c>
      <c r="J3363" s="36">
        <v>0.06</v>
      </c>
    </row>
    <row r="3364" spans="2:10" x14ac:dyDescent="0.35">
      <c r="B3364" s="18">
        <v>1301259</v>
      </c>
      <c r="C3364" s="19" t="s">
        <v>5085</v>
      </c>
      <c r="D3364" s="5" t="s">
        <v>8</v>
      </c>
      <c r="E3364" s="19" t="s">
        <v>6488</v>
      </c>
      <c r="F3364" s="34" t="s">
        <v>3574</v>
      </c>
      <c r="G3364" s="27">
        <v>30</v>
      </c>
      <c r="H3364" s="1" t="s">
        <v>774</v>
      </c>
      <c r="I3364" s="20">
        <v>1</v>
      </c>
      <c r="J3364" s="36">
        <v>0.06</v>
      </c>
    </row>
    <row r="3365" spans="2:10" x14ac:dyDescent="0.35">
      <c r="B3365" s="18">
        <v>4001304</v>
      </c>
      <c r="C3365" s="19" t="s">
        <v>5086</v>
      </c>
      <c r="D3365" s="5" t="s">
        <v>8</v>
      </c>
      <c r="E3365" s="19" t="s">
        <v>6489</v>
      </c>
      <c r="F3365" s="34" t="s">
        <v>3574</v>
      </c>
      <c r="G3365" s="27">
        <v>9.42</v>
      </c>
      <c r="H3365" s="1" t="s">
        <v>774</v>
      </c>
      <c r="I3365" s="20">
        <v>1</v>
      </c>
      <c r="J3365" s="36">
        <v>0.06</v>
      </c>
    </row>
    <row r="3366" spans="2:10" x14ac:dyDescent="0.35">
      <c r="B3366" s="18">
        <v>1304078</v>
      </c>
      <c r="C3366" s="19" t="s">
        <v>5087</v>
      </c>
      <c r="D3366" s="5" t="s">
        <v>8</v>
      </c>
      <c r="E3366" s="19" t="s">
        <v>6490</v>
      </c>
      <c r="F3366" s="34" t="s">
        <v>3574</v>
      </c>
      <c r="G3366" s="27">
        <v>3.78</v>
      </c>
      <c r="H3366" s="1" t="s">
        <v>774</v>
      </c>
      <c r="I3366" s="20">
        <v>1</v>
      </c>
      <c r="J3366" s="36">
        <v>0.06</v>
      </c>
    </row>
    <row r="3367" spans="2:10" x14ac:dyDescent="0.35">
      <c r="B3367" s="18">
        <v>1304080</v>
      </c>
      <c r="C3367" s="19" t="s">
        <v>5087</v>
      </c>
      <c r="D3367" s="5" t="s">
        <v>8</v>
      </c>
      <c r="E3367" s="19" t="s">
        <v>6491</v>
      </c>
      <c r="F3367" s="34" t="s">
        <v>3574</v>
      </c>
      <c r="G3367" s="27">
        <v>15.8</v>
      </c>
      <c r="H3367" s="1" t="s">
        <v>774</v>
      </c>
      <c r="I3367" s="20">
        <v>1</v>
      </c>
      <c r="J3367" s="36">
        <v>0.06</v>
      </c>
    </row>
    <row r="3368" spans="2:10" x14ac:dyDescent="0.35">
      <c r="B3368" s="18">
        <v>1304081</v>
      </c>
      <c r="C3368" s="19" t="s">
        <v>5088</v>
      </c>
      <c r="D3368" s="5" t="s">
        <v>8</v>
      </c>
      <c r="E3368" s="19" t="s">
        <v>6492</v>
      </c>
      <c r="F3368" s="34" t="s">
        <v>3574</v>
      </c>
      <c r="G3368" s="27">
        <v>25.64</v>
      </c>
      <c r="H3368" s="1" t="s">
        <v>774</v>
      </c>
      <c r="I3368" s="20">
        <v>1</v>
      </c>
      <c r="J3368" s="36">
        <v>0.06</v>
      </c>
    </row>
    <row r="3369" spans="2:10" x14ac:dyDescent="0.35">
      <c r="B3369" s="18">
        <v>1585146</v>
      </c>
      <c r="C3369" s="19" t="s">
        <v>5089</v>
      </c>
      <c r="D3369" s="5" t="s">
        <v>8</v>
      </c>
      <c r="E3369" s="19" t="s">
        <v>6493</v>
      </c>
      <c r="F3369" s="34" t="s">
        <v>3574</v>
      </c>
      <c r="G3369" s="27">
        <v>34.65</v>
      </c>
      <c r="H3369" s="1" t="s">
        <v>774</v>
      </c>
      <c r="I3369" s="20">
        <v>1</v>
      </c>
      <c r="J3369" s="36">
        <v>0.06</v>
      </c>
    </row>
    <row r="3370" spans="2:10" x14ac:dyDescent="0.35">
      <c r="B3370" s="18">
        <v>1348029</v>
      </c>
      <c r="C3370" s="19" t="s">
        <v>5090</v>
      </c>
      <c r="D3370" s="5" t="s">
        <v>8</v>
      </c>
      <c r="E3370" s="19" t="s">
        <v>6494</v>
      </c>
      <c r="F3370" s="34" t="s">
        <v>3574</v>
      </c>
      <c r="G3370" s="27">
        <v>9.7100000000000009</v>
      </c>
      <c r="H3370" s="1" t="s">
        <v>774</v>
      </c>
      <c r="I3370" s="20">
        <v>1</v>
      </c>
      <c r="J3370" s="36">
        <v>0.06</v>
      </c>
    </row>
    <row r="3371" spans="2:10" x14ac:dyDescent="0.35">
      <c r="B3371" s="18" t="s">
        <v>4081</v>
      </c>
      <c r="C3371" s="19" t="s">
        <v>5091</v>
      </c>
      <c r="D3371" s="5" t="s">
        <v>8</v>
      </c>
      <c r="E3371" s="19" t="s">
        <v>6495</v>
      </c>
      <c r="F3371" s="34" t="s">
        <v>3574</v>
      </c>
      <c r="G3371" s="27">
        <v>75.67</v>
      </c>
      <c r="H3371" s="1" t="s">
        <v>774</v>
      </c>
      <c r="I3371" s="20">
        <v>1</v>
      </c>
      <c r="J3371" s="36">
        <v>0.06</v>
      </c>
    </row>
    <row r="3372" spans="2:10" x14ac:dyDescent="0.35">
      <c r="B3372" s="18" t="s">
        <v>4082</v>
      </c>
      <c r="C3372" s="19" t="s">
        <v>5092</v>
      </c>
      <c r="D3372" s="5" t="s">
        <v>8</v>
      </c>
      <c r="E3372" s="19" t="s">
        <v>6496</v>
      </c>
      <c r="F3372" s="34" t="s">
        <v>3574</v>
      </c>
      <c r="G3372" s="27">
        <v>75.709999999999994</v>
      </c>
      <c r="H3372" s="1" t="s">
        <v>774</v>
      </c>
      <c r="I3372" s="20">
        <v>1</v>
      </c>
      <c r="J3372" s="36">
        <v>0.06</v>
      </c>
    </row>
    <row r="3373" spans="2:10" x14ac:dyDescent="0.35">
      <c r="B3373" s="18">
        <v>4001163</v>
      </c>
      <c r="C3373" s="19" t="s">
        <v>5093</v>
      </c>
      <c r="D3373" s="5" t="s">
        <v>8</v>
      </c>
      <c r="E3373" s="19" t="s">
        <v>6497</v>
      </c>
      <c r="F3373" s="34" t="s">
        <v>3574</v>
      </c>
      <c r="G3373" s="27">
        <v>5.54</v>
      </c>
      <c r="H3373" s="1" t="s">
        <v>774</v>
      </c>
      <c r="I3373" s="20">
        <v>1</v>
      </c>
      <c r="J3373" s="36">
        <v>0.06</v>
      </c>
    </row>
    <row r="3374" spans="2:10" x14ac:dyDescent="0.35">
      <c r="B3374" s="18">
        <v>1503883</v>
      </c>
      <c r="C3374" s="19" t="s">
        <v>5094</v>
      </c>
      <c r="D3374" s="5" t="s">
        <v>8</v>
      </c>
      <c r="E3374" s="19" t="s">
        <v>6498</v>
      </c>
      <c r="F3374" s="34" t="s">
        <v>3574</v>
      </c>
      <c r="G3374" s="27">
        <v>9.5500000000000007</v>
      </c>
      <c r="H3374" s="1" t="s">
        <v>774</v>
      </c>
      <c r="I3374" s="20">
        <v>1</v>
      </c>
      <c r="J3374" s="36">
        <v>0.06</v>
      </c>
    </row>
    <row r="3375" spans="2:10" x14ac:dyDescent="0.35">
      <c r="B3375" s="18">
        <v>1503884</v>
      </c>
      <c r="C3375" s="19" t="s">
        <v>5095</v>
      </c>
      <c r="D3375" s="5" t="s">
        <v>8</v>
      </c>
      <c r="E3375" s="19" t="s">
        <v>6499</v>
      </c>
      <c r="F3375" s="34" t="s">
        <v>3574</v>
      </c>
      <c r="G3375" s="27">
        <v>11.02</v>
      </c>
      <c r="H3375" s="1" t="s">
        <v>774</v>
      </c>
      <c r="I3375" s="20">
        <v>1</v>
      </c>
      <c r="J3375" s="36">
        <v>0.06</v>
      </c>
    </row>
    <row r="3376" spans="2:10" x14ac:dyDescent="0.35">
      <c r="B3376" s="18">
        <v>1503716</v>
      </c>
      <c r="C3376" s="19" t="s">
        <v>5096</v>
      </c>
      <c r="D3376" s="5" t="s">
        <v>8</v>
      </c>
      <c r="E3376" s="19" t="s">
        <v>6500</v>
      </c>
      <c r="F3376" s="34" t="s">
        <v>3574</v>
      </c>
      <c r="G3376" s="27">
        <v>5.03</v>
      </c>
      <c r="H3376" s="1" t="s">
        <v>774</v>
      </c>
      <c r="I3376" s="20">
        <v>1</v>
      </c>
      <c r="J3376" s="36">
        <v>0.06</v>
      </c>
    </row>
    <row r="3377" spans="2:10" x14ac:dyDescent="0.35">
      <c r="B3377" s="18">
        <v>1800647</v>
      </c>
      <c r="C3377" s="19" t="s">
        <v>5097</v>
      </c>
      <c r="D3377" s="5" t="s">
        <v>8</v>
      </c>
      <c r="E3377" s="19" t="s">
        <v>6501</v>
      </c>
      <c r="F3377" s="34" t="s">
        <v>3574</v>
      </c>
      <c r="G3377" s="27">
        <v>126.89</v>
      </c>
      <c r="H3377" s="1" t="s">
        <v>774</v>
      </c>
      <c r="I3377" s="20">
        <v>1</v>
      </c>
      <c r="J3377" s="36">
        <v>0.06</v>
      </c>
    </row>
    <row r="3378" spans="2:10" x14ac:dyDescent="0.35">
      <c r="B3378" s="18">
        <v>1800496</v>
      </c>
      <c r="C3378" s="19" t="s">
        <v>5098</v>
      </c>
      <c r="D3378" s="5" t="s">
        <v>8</v>
      </c>
      <c r="E3378" s="19" t="s">
        <v>6502</v>
      </c>
      <c r="F3378" s="34" t="s">
        <v>3574</v>
      </c>
      <c r="G3378" s="27">
        <v>108.97</v>
      </c>
      <c r="H3378" s="1" t="s">
        <v>774</v>
      </c>
      <c r="I3378" s="20">
        <v>1</v>
      </c>
      <c r="J3378" s="36">
        <v>0.06</v>
      </c>
    </row>
    <row r="3379" spans="2:10" x14ac:dyDescent="0.35">
      <c r="B3379" s="18">
        <v>4001165</v>
      </c>
      <c r="C3379" s="19" t="s">
        <v>5099</v>
      </c>
      <c r="D3379" s="5" t="s">
        <v>8</v>
      </c>
      <c r="E3379" s="19" t="s">
        <v>6503</v>
      </c>
      <c r="F3379" s="34" t="s">
        <v>3574</v>
      </c>
      <c r="G3379" s="27">
        <v>99.5</v>
      </c>
      <c r="H3379" s="1" t="s">
        <v>774</v>
      </c>
      <c r="I3379" s="20">
        <v>1</v>
      </c>
      <c r="J3379" s="36">
        <v>0.06</v>
      </c>
    </row>
    <row r="3380" spans="2:10" x14ac:dyDescent="0.35">
      <c r="B3380" s="18">
        <v>4001653</v>
      </c>
      <c r="C3380" s="19" t="s">
        <v>5099</v>
      </c>
      <c r="D3380" s="5" t="s">
        <v>8</v>
      </c>
      <c r="E3380" s="19" t="s">
        <v>6504</v>
      </c>
      <c r="F3380" s="34" t="s">
        <v>3574</v>
      </c>
      <c r="G3380" s="27">
        <v>111.81</v>
      </c>
      <c r="H3380" s="1" t="s">
        <v>774</v>
      </c>
      <c r="I3380" s="20">
        <v>1</v>
      </c>
      <c r="J3380" s="36">
        <v>0.06</v>
      </c>
    </row>
    <row r="3381" spans="2:10" x14ac:dyDescent="0.35">
      <c r="B3381" s="18">
        <v>1304067</v>
      </c>
      <c r="C3381" s="19" t="s">
        <v>5099</v>
      </c>
      <c r="D3381" s="5" t="s">
        <v>8</v>
      </c>
      <c r="E3381" s="19" t="s">
        <v>6505</v>
      </c>
      <c r="F3381" s="34" t="s">
        <v>3574</v>
      </c>
      <c r="G3381" s="27">
        <v>96.19</v>
      </c>
      <c r="H3381" s="1" t="s">
        <v>774</v>
      </c>
      <c r="I3381" s="20">
        <v>1</v>
      </c>
      <c r="J3381" s="36">
        <v>0.06</v>
      </c>
    </row>
    <row r="3382" spans="2:10" x14ac:dyDescent="0.35">
      <c r="B3382" s="18" t="s">
        <v>4083</v>
      </c>
      <c r="C3382" s="19" t="s">
        <v>5100</v>
      </c>
      <c r="D3382" s="5" t="s">
        <v>8</v>
      </c>
      <c r="E3382" s="19" t="s">
        <v>6506</v>
      </c>
      <c r="F3382" s="34" t="s">
        <v>3574</v>
      </c>
      <c r="G3382" s="27">
        <v>96.59</v>
      </c>
      <c r="H3382" s="1" t="s">
        <v>774</v>
      </c>
      <c r="I3382" s="20">
        <v>1</v>
      </c>
      <c r="J3382" s="36">
        <v>0.06</v>
      </c>
    </row>
    <row r="3383" spans="2:10" x14ac:dyDescent="0.35">
      <c r="B3383" s="18" t="s">
        <v>4084</v>
      </c>
      <c r="C3383" s="19" t="s">
        <v>5101</v>
      </c>
      <c r="D3383" s="5" t="s">
        <v>8</v>
      </c>
      <c r="E3383" s="19" t="s">
        <v>6507</v>
      </c>
      <c r="F3383" s="34" t="s">
        <v>3574</v>
      </c>
      <c r="G3383" s="27">
        <v>180.88</v>
      </c>
      <c r="H3383" s="1" t="s">
        <v>774</v>
      </c>
      <c r="I3383" s="20">
        <v>1</v>
      </c>
      <c r="J3383" s="36">
        <v>0.06</v>
      </c>
    </row>
    <row r="3384" spans="2:10" x14ac:dyDescent="0.35">
      <c r="B3384" s="18">
        <v>1800541</v>
      </c>
      <c r="C3384" s="19" t="s">
        <v>5102</v>
      </c>
      <c r="D3384" s="5" t="s">
        <v>8</v>
      </c>
      <c r="E3384" s="19" t="s">
        <v>6508</v>
      </c>
      <c r="F3384" s="34" t="s">
        <v>3574</v>
      </c>
      <c r="G3384" s="27">
        <v>154.72</v>
      </c>
      <c r="H3384" s="1" t="s">
        <v>774</v>
      </c>
      <c r="I3384" s="20">
        <v>1</v>
      </c>
      <c r="J3384" s="36">
        <v>0.06</v>
      </c>
    </row>
    <row r="3385" spans="2:10" x14ac:dyDescent="0.35">
      <c r="B3385" s="18">
        <v>1304068</v>
      </c>
      <c r="C3385" s="19" t="s">
        <v>5103</v>
      </c>
      <c r="D3385" s="5" t="s">
        <v>8</v>
      </c>
      <c r="E3385" s="19" t="s">
        <v>6509</v>
      </c>
      <c r="F3385" s="34" t="s">
        <v>3574</v>
      </c>
      <c r="G3385" s="27">
        <v>154.72</v>
      </c>
      <c r="H3385" s="1" t="s">
        <v>774</v>
      </c>
      <c r="I3385" s="20">
        <v>1</v>
      </c>
      <c r="J3385" s="36">
        <v>0.06</v>
      </c>
    </row>
    <row r="3386" spans="2:10" x14ac:dyDescent="0.35">
      <c r="B3386" s="18">
        <v>2001974</v>
      </c>
      <c r="C3386" s="19" t="s">
        <v>5104</v>
      </c>
      <c r="D3386" s="5" t="s">
        <v>8</v>
      </c>
      <c r="E3386" s="19" t="s">
        <v>6510</v>
      </c>
      <c r="F3386" s="34" t="s">
        <v>3574</v>
      </c>
      <c r="G3386" s="27">
        <v>120.27</v>
      </c>
      <c r="H3386" s="1" t="s">
        <v>774</v>
      </c>
      <c r="I3386" s="20">
        <v>1</v>
      </c>
      <c r="J3386" s="36">
        <v>0.06</v>
      </c>
    </row>
    <row r="3387" spans="2:10" x14ac:dyDescent="0.35">
      <c r="B3387" s="18" t="s">
        <v>4085</v>
      </c>
      <c r="C3387" s="19" t="s">
        <v>5105</v>
      </c>
      <c r="D3387" s="5" t="s">
        <v>8</v>
      </c>
      <c r="E3387" s="19" t="s">
        <v>6511</v>
      </c>
      <c r="F3387" s="34" t="s">
        <v>3574</v>
      </c>
      <c r="G3387" s="27">
        <v>116.85</v>
      </c>
      <c r="H3387" s="1" t="s">
        <v>774</v>
      </c>
      <c r="I3387" s="20">
        <v>1</v>
      </c>
      <c r="J3387" s="36">
        <v>0.06</v>
      </c>
    </row>
    <row r="3388" spans="2:10" x14ac:dyDescent="0.35">
      <c r="B3388" s="18">
        <v>1800605</v>
      </c>
      <c r="C3388" s="19" t="s">
        <v>5106</v>
      </c>
      <c r="D3388" s="5" t="s">
        <v>8</v>
      </c>
      <c r="E3388" s="19" t="s">
        <v>6512</v>
      </c>
      <c r="F3388" s="34" t="s">
        <v>3574</v>
      </c>
      <c r="G3388" s="27">
        <v>252.2</v>
      </c>
      <c r="H3388" s="1" t="s">
        <v>774</v>
      </c>
      <c r="I3388" s="20">
        <v>1</v>
      </c>
      <c r="J3388" s="36">
        <v>0.06</v>
      </c>
    </row>
    <row r="3389" spans="2:10" x14ac:dyDescent="0.35">
      <c r="B3389" s="18">
        <v>1360923</v>
      </c>
      <c r="C3389" s="19" t="s">
        <v>5107</v>
      </c>
      <c r="D3389" s="5" t="s">
        <v>8</v>
      </c>
      <c r="E3389" s="19" t="s">
        <v>6513</v>
      </c>
      <c r="F3389" s="34" t="s">
        <v>3574</v>
      </c>
      <c r="G3389" s="27">
        <v>129.80000000000001</v>
      </c>
      <c r="H3389" s="1" t="s">
        <v>774</v>
      </c>
      <c r="I3389" s="20">
        <v>1</v>
      </c>
      <c r="J3389" s="36">
        <v>0.06</v>
      </c>
    </row>
    <row r="3390" spans="2:10" x14ac:dyDescent="0.35">
      <c r="B3390" s="18">
        <v>800003898</v>
      </c>
      <c r="C3390" s="19" t="s">
        <v>5108</v>
      </c>
      <c r="D3390" s="5" t="s">
        <v>8</v>
      </c>
      <c r="E3390" s="19" t="s">
        <v>6514</v>
      </c>
      <c r="F3390" s="34" t="s">
        <v>3574</v>
      </c>
      <c r="G3390" s="27">
        <v>153.13999999999999</v>
      </c>
      <c r="H3390" s="1" t="s">
        <v>774</v>
      </c>
      <c r="I3390" s="20">
        <v>1</v>
      </c>
      <c r="J3390" s="36">
        <v>0.06</v>
      </c>
    </row>
    <row r="3391" spans="2:10" x14ac:dyDescent="0.35">
      <c r="B3391" s="18">
        <v>800003899</v>
      </c>
      <c r="C3391" s="19" t="s">
        <v>5109</v>
      </c>
      <c r="D3391" s="5" t="s">
        <v>8</v>
      </c>
      <c r="E3391" s="19" t="s">
        <v>6515</v>
      </c>
      <c r="F3391" s="34" t="s">
        <v>3574</v>
      </c>
      <c r="G3391" s="27">
        <v>163.72999999999999</v>
      </c>
      <c r="H3391" s="1" t="s">
        <v>774</v>
      </c>
      <c r="I3391" s="20">
        <v>1</v>
      </c>
      <c r="J3391" s="36">
        <v>0.06</v>
      </c>
    </row>
    <row r="3392" spans="2:10" x14ac:dyDescent="0.35">
      <c r="B3392" s="18">
        <v>4001263</v>
      </c>
      <c r="C3392" s="19" t="s">
        <v>5103</v>
      </c>
      <c r="D3392" s="5" t="s">
        <v>8</v>
      </c>
      <c r="E3392" s="19" t="s">
        <v>6516</v>
      </c>
      <c r="F3392" s="34" t="s">
        <v>3574</v>
      </c>
      <c r="G3392" s="27">
        <v>151.12</v>
      </c>
      <c r="H3392" s="1" t="s">
        <v>774</v>
      </c>
      <c r="I3392" s="20">
        <v>1</v>
      </c>
      <c r="J3392" s="36">
        <v>0.06</v>
      </c>
    </row>
    <row r="3393" spans="2:10" x14ac:dyDescent="0.35">
      <c r="B3393" s="18">
        <v>1301249</v>
      </c>
      <c r="C3393" s="19" t="s">
        <v>5093</v>
      </c>
      <c r="D3393" s="5" t="s">
        <v>8</v>
      </c>
      <c r="E3393" s="19" t="s">
        <v>6517</v>
      </c>
      <c r="F3393" s="34" t="s">
        <v>3574</v>
      </c>
      <c r="G3393" s="27">
        <v>3.94</v>
      </c>
      <c r="H3393" s="1" t="s">
        <v>774</v>
      </c>
      <c r="I3393" s="20">
        <v>1</v>
      </c>
      <c r="J3393" s="36">
        <v>0.06</v>
      </c>
    </row>
    <row r="3394" spans="2:10" x14ac:dyDescent="0.35">
      <c r="B3394" s="18">
        <v>1301256</v>
      </c>
      <c r="C3394" s="19" t="s">
        <v>5110</v>
      </c>
      <c r="D3394" s="5" t="s">
        <v>8</v>
      </c>
      <c r="E3394" s="19" t="s">
        <v>6518</v>
      </c>
      <c r="F3394" s="34" t="s">
        <v>3574</v>
      </c>
      <c r="G3394" s="27">
        <v>8.99</v>
      </c>
      <c r="H3394" s="1" t="s">
        <v>774</v>
      </c>
      <c r="I3394" s="20">
        <v>1</v>
      </c>
      <c r="J3394" s="36">
        <v>0.06</v>
      </c>
    </row>
    <row r="3395" spans="2:10" x14ac:dyDescent="0.35">
      <c r="B3395" s="18">
        <v>1301202</v>
      </c>
      <c r="C3395" s="19" t="s">
        <v>5111</v>
      </c>
      <c r="D3395" s="5" t="s">
        <v>8</v>
      </c>
      <c r="E3395" s="19" t="s">
        <v>6519</v>
      </c>
      <c r="F3395" s="34" t="s">
        <v>3574</v>
      </c>
      <c r="G3395" s="27">
        <v>3.75</v>
      </c>
      <c r="H3395" s="1" t="s">
        <v>774</v>
      </c>
      <c r="I3395" s="20">
        <v>1</v>
      </c>
      <c r="J3395" s="36">
        <v>0.06</v>
      </c>
    </row>
    <row r="3396" spans="2:10" x14ac:dyDescent="0.35">
      <c r="B3396" s="18">
        <v>1301203</v>
      </c>
      <c r="C3396" s="19" t="s">
        <v>5112</v>
      </c>
      <c r="D3396" s="5" t="s">
        <v>8</v>
      </c>
      <c r="E3396" s="19" t="s">
        <v>6520</v>
      </c>
      <c r="F3396" s="34" t="s">
        <v>3574</v>
      </c>
      <c r="G3396" s="27">
        <v>9.64</v>
      </c>
      <c r="H3396" s="1" t="s">
        <v>774</v>
      </c>
      <c r="I3396" s="20">
        <v>1</v>
      </c>
      <c r="J3396" s="36">
        <v>0.06</v>
      </c>
    </row>
    <row r="3397" spans="2:10" x14ac:dyDescent="0.35">
      <c r="B3397" s="18">
        <v>1304056</v>
      </c>
      <c r="C3397" s="19" t="s">
        <v>5099</v>
      </c>
      <c r="D3397" s="5" t="s">
        <v>8</v>
      </c>
      <c r="E3397" s="19" t="s">
        <v>6521</v>
      </c>
      <c r="F3397" s="34" t="s">
        <v>3574</v>
      </c>
      <c r="G3397" s="27">
        <v>79.25</v>
      </c>
      <c r="H3397" s="1" t="s">
        <v>774</v>
      </c>
      <c r="I3397" s="20">
        <v>1</v>
      </c>
      <c r="J3397" s="36">
        <v>0.06</v>
      </c>
    </row>
    <row r="3398" spans="2:10" x14ac:dyDescent="0.35">
      <c r="B3398" s="18">
        <v>1301200</v>
      </c>
      <c r="C3398" s="19" t="s">
        <v>4548</v>
      </c>
      <c r="D3398" s="5" t="s">
        <v>8</v>
      </c>
      <c r="E3398" s="19" t="s">
        <v>6522</v>
      </c>
      <c r="F3398" s="34" t="s">
        <v>3574</v>
      </c>
      <c r="G3398" s="27">
        <v>64.400000000000006</v>
      </c>
      <c r="H3398" s="1" t="s">
        <v>774</v>
      </c>
      <c r="I3398" s="20">
        <v>1</v>
      </c>
      <c r="J3398" s="36">
        <v>0.06</v>
      </c>
    </row>
    <row r="3399" spans="2:10" x14ac:dyDescent="0.35">
      <c r="B3399" s="18" t="s">
        <v>4086</v>
      </c>
      <c r="C3399" s="19" t="s">
        <v>5113</v>
      </c>
      <c r="D3399" s="5" t="s">
        <v>8</v>
      </c>
      <c r="E3399" s="19" t="s">
        <v>6523</v>
      </c>
      <c r="F3399" s="34" t="s">
        <v>3574</v>
      </c>
      <c r="G3399" s="27">
        <v>92.06</v>
      </c>
      <c r="H3399" s="1" t="s">
        <v>774</v>
      </c>
      <c r="I3399" s="20">
        <v>1</v>
      </c>
      <c r="J3399" s="36">
        <v>0.06</v>
      </c>
    </row>
    <row r="3400" spans="2:10" x14ac:dyDescent="0.35">
      <c r="B3400" s="18">
        <v>1304076</v>
      </c>
      <c r="C3400" s="19" t="s">
        <v>5114</v>
      </c>
      <c r="D3400" s="5" t="s">
        <v>8</v>
      </c>
      <c r="E3400" s="19" t="s">
        <v>6524</v>
      </c>
      <c r="F3400" s="34" t="s">
        <v>3574</v>
      </c>
      <c r="G3400" s="27">
        <v>150.05000000000001</v>
      </c>
      <c r="H3400" s="1" t="s">
        <v>774</v>
      </c>
      <c r="I3400" s="20">
        <v>1</v>
      </c>
      <c r="J3400" s="36">
        <v>0.06</v>
      </c>
    </row>
    <row r="3401" spans="2:10" x14ac:dyDescent="0.35">
      <c r="B3401" s="18">
        <v>4001776</v>
      </c>
      <c r="C3401" s="19" t="s">
        <v>5115</v>
      </c>
      <c r="D3401" s="5" t="s">
        <v>8</v>
      </c>
      <c r="E3401" s="19" t="s">
        <v>6525</v>
      </c>
      <c r="F3401" s="34" t="s">
        <v>3574</v>
      </c>
      <c r="G3401" s="27">
        <v>121.74</v>
      </c>
      <c r="H3401" s="1" t="s">
        <v>774</v>
      </c>
      <c r="I3401" s="20">
        <v>1</v>
      </c>
      <c r="J3401" s="36">
        <v>0.06</v>
      </c>
    </row>
    <row r="3402" spans="2:10" x14ac:dyDescent="0.35">
      <c r="B3402" s="18">
        <v>1304077</v>
      </c>
      <c r="C3402" s="19" t="s">
        <v>5103</v>
      </c>
      <c r="D3402" s="5" t="s">
        <v>8</v>
      </c>
      <c r="E3402" s="19" t="s">
        <v>6526</v>
      </c>
      <c r="F3402" s="34" t="s">
        <v>3574</v>
      </c>
      <c r="G3402" s="27">
        <v>124.74</v>
      </c>
      <c r="H3402" s="1" t="s">
        <v>774</v>
      </c>
      <c r="I3402" s="20">
        <v>1</v>
      </c>
      <c r="J3402" s="36">
        <v>0.06</v>
      </c>
    </row>
    <row r="3403" spans="2:10" x14ac:dyDescent="0.35">
      <c r="B3403" s="18" t="s">
        <v>4087</v>
      </c>
      <c r="C3403" s="19" t="s">
        <v>5116</v>
      </c>
      <c r="D3403" s="5" t="s">
        <v>8</v>
      </c>
      <c r="E3403" s="19" t="s">
        <v>6527</v>
      </c>
      <c r="F3403" s="34" t="s">
        <v>3574</v>
      </c>
      <c r="G3403" s="27">
        <v>116.7</v>
      </c>
      <c r="H3403" s="1" t="s">
        <v>774</v>
      </c>
      <c r="I3403" s="20">
        <v>1</v>
      </c>
      <c r="J3403" s="36">
        <v>0.06</v>
      </c>
    </row>
    <row r="3404" spans="2:10" x14ac:dyDescent="0.35">
      <c r="B3404" s="18">
        <v>1800554</v>
      </c>
      <c r="C3404" s="19" t="s">
        <v>5117</v>
      </c>
      <c r="D3404" s="5" t="s">
        <v>8</v>
      </c>
      <c r="E3404" s="19" t="s">
        <v>6528</v>
      </c>
      <c r="F3404" s="34" t="s">
        <v>3574</v>
      </c>
      <c r="G3404" s="27">
        <v>326.7</v>
      </c>
      <c r="H3404" s="1" t="s">
        <v>774</v>
      </c>
      <c r="I3404" s="20">
        <v>1</v>
      </c>
      <c r="J3404" s="36">
        <v>0.06</v>
      </c>
    </row>
    <row r="3405" spans="2:10" x14ac:dyDescent="0.35">
      <c r="B3405" s="18" t="s">
        <v>4088</v>
      </c>
      <c r="C3405" s="19" t="s">
        <v>5118</v>
      </c>
      <c r="D3405" s="5" t="s">
        <v>8</v>
      </c>
      <c r="E3405" s="19" t="s">
        <v>6529</v>
      </c>
      <c r="F3405" s="34" t="s">
        <v>3574</v>
      </c>
      <c r="G3405" s="27">
        <v>71.930000000000007</v>
      </c>
      <c r="H3405" s="1" t="s">
        <v>774</v>
      </c>
      <c r="I3405" s="20">
        <v>1</v>
      </c>
      <c r="J3405" s="36">
        <v>0.06</v>
      </c>
    </row>
    <row r="3406" spans="2:10" x14ac:dyDescent="0.35">
      <c r="B3406" s="18" t="s">
        <v>4089</v>
      </c>
      <c r="C3406" s="19" t="s">
        <v>5119</v>
      </c>
      <c r="D3406" s="5" t="s">
        <v>8</v>
      </c>
      <c r="E3406" s="19" t="s">
        <v>6530</v>
      </c>
      <c r="F3406" s="34" t="s">
        <v>3574</v>
      </c>
      <c r="G3406" s="27">
        <v>28.95</v>
      </c>
      <c r="H3406" s="1" t="s">
        <v>774</v>
      </c>
      <c r="I3406" s="20">
        <v>1</v>
      </c>
      <c r="J3406" s="36">
        <v>0.06</v>
      </c>
    </row>
    <row r="3407" spans="2:10" x14ac:dyDescent="0.35">
      <c r="B3407" s="18" t="s">
        <v>4090</v>
      </c>
      <c r="C3407" s="19" t="s">
        <v>5120</v>
      </c>
      <c r="D3407" s="5" t="s">
        <v>8</v>
      </c>
      <c r="E3407" s="19" t="s">
        <v>6531</v>
      </c>
      <c r="F3407" s="34" t="s">
        <v>3574</v>
      </c>
      <c r="G3407" s="27">
        <v>195.42</v>
      </c>
      <c r="H3407" s="1" t="s">
        <v>774</v>
      </c>
      <c r="I3407" s="20">
        <v>1</v>
      </c>
      <c r="J3407" s="36">
        <v>0.06</v>
      </c>
    </row>
    <row r="3408" spans="2:10" x14ac:dyDescent="0.35">
      <c r="B3408" s="18">
        <v>1361012</v>
      </c>
      <c r="C3408" s="19" t="s">
        <v>5121</v>
      </c>
      <c r="D3408" s="5" t="s">
        <v>8</v>
      </c>
      <c r="E3408" s="19" t="s">
        <v>6532</v>
      </c>
      <c r="F3408" s="34" t="s">
        <v>3574</v>
      </c>
      <c r="G3408" s="27">
        <v>5.6</v>
      </c>
      <c r="H3408" s="1" t="s">
        <v>3554</v>
      </c>
      <c r="I3408" s="18">
        <v>100</v>
      </c>
      <c r="J3408" s="36">
        <v>0.06</v>
      </c>
    </row>
    <row r="3409" spans="2:10" x14ac:dyDescent="0.35">
      <c r="B3409" s="18">
        <v>4001506</v>
      </c>
      <c r="C3409" s="19" t="s">
        <v>5122</v>
      </c>
      <c r="D3409" s="5" t="s">
        <v>8</v>
      </c>
      <c r="E3409" s="19" t="s">
        <v>6533</v>
      </c>
      <c r="F3409" s="34" t="s">
        <v>3574</v>
      </c>
      <c r="G3409" s="27">
        <v>28.2</v>
      </c>
      <c r="H3409" s="1" t="s">
        <v>3554</v>
      </c>
      <c r="I3409" s="18">
        <v>20</v>
      </c>
      <c r="J3409" s="36">
        <v>0.06</v>
      </c>
    </row>
    <row r="3410" spans="2:10" x14ac:dyDescent="0.35">
      <c r="B3410" s="18" t="s">
        <v>4091</v>
      </c>
      <c r="C3410" s="19" t="s">
        <v>5123</v>
      </c>
      <c r="D3410" s="5" t="s">
        <v>8</v>
      </c>
      <c r="E3410" s="19" t="s">
        <v>6534</v>
      </c>
      <c r="F3410" s="34" t="s">
        <v>3574</v>
      </c>
      <c r="G3410" s="27">
        <v>41.83</v>
      </c>
      <c r="H3410" s="1" t="s">
        <v>774</v>
      </c>
      <c r="I3410" s="20">
        <v>1</v>
      </c>
      <c r="J3410" s="36">
        <v>0.06</v>
      </c>
    </row>
    <row r="3411" spans="2:10" x14ac:dyDescent="0.35">
      <c r="B3411" s="18" t="s">
        <v>4092</v>
      </c>
      <c r="C3411" s="19" t="s">
        <v>5124</v>
      </c>
      <c r="D3411" s="5" t="s">
        <v>8</v>
      </c>
      <c r="E3411" s="19" t="s">
        <v>6534</v>
      </c>
      <c r="F3411" s="34" t="s">
        <v>3574</v>
      </c>
      <c r="G3411" s="27">
        <v>41.83</v>
      </c>
      <c r="H3411" s="1" t="s">
        <v>774</v>
      </c>
      <c r="I3411" s="20">
        <v>1</v>
      </c>
      <c r="J3411" s="36">
        <v>0.06</v>
      </c>
    </row>
    <row r="3412" spans="2:10" x14ac:dyDescent="0.35">
      <c r="B3412" s="18" t="s">
        <v>4093</v>
      </c>
      <c r="C3412" s="19" t="s">
        <v>5125</v>
      </c>
      <c r="D3412" s="5" t="s">
        <v>8</v>
      </c>
      <c r="E3412" s="19" t="s">
        <v>6535</v>
      </c>
      <c r="F3412" s="34" t="s">
        <v>3574</v>
      </c>
      <c r="G3412" s="27">
        <v>776</v>
      </c>
      <c r="H3412" s="1" t="s">
        <v>774</v>
      </c>
      <c r="I3412" s="20">
        <v>1</v>
      </c>
      <c r="J3412" s="36">
        <v>0.06</v>
      </c>
    </row>
    <row r="3413" spans="2:10" x14ac:dyDescent="0.35">
      <c r="B3413" s="18">
        <v>4002170</v>
      </c>
      <c r="C3413" s="19" t="s">
        <v>5126</v>
      </c>
      <c r="D3413" s="5" t="s">
        <v>8</v>
      </c>
      <c r="E3413" s="19" t="s">
        <v>6536</v>
      </c>
      <c r="F3413" s="34" t="s">
        <v>3574</v>
      </c>
      <c r="G3413" s="27">
        <v>1.429</v>
      </c>
      <c r="H3413" s="1" t="s">
        <v>3554</v>
      </c>
      <c r="I3413" s="18">
        <v>100</v>
      </c>
      <c r="J3413" s="36">
        <v>0.06</v>
      </c>
    </row>
    <row r="3414" spans="2:10" x14ac:dyDescent="0.35">
      <c r="B3414" s="18">
        <v>4002455</v>
      </c>
      <c r="C3414" s="19" t="s">
        <v>5127</v>
      </c>
      <c r="D3414" s="5" t="s">
        <v>8</v>
      </c>
      <c r="E3414" s="19" t="s">
        <v>6537</v>
      </c>
      <c r="F3414" s="34" t="s">
        <v>3574</v>
      </c>
      <c r="G3414" s="27">
        <v>3.6850000000000001</v>
      </c>
      <c r="H3414" s="1" t="s">
        <v>3554</v>
      </c>
      <c r="I3414" s="18">
        <v>100</v>
      </c>
      <c r="J3414" s="36">
        <v>0.06</v>
      </c>
    </row>
    <row r="3415" spans="2:10" x14ac:dyDescent="0.35">
      <c r="B3415" s="18">
        <v>4002055</v>
      </c>
      <c r="C3415" s="19" t="s">
        <v>5128</v>
      </c>
      <c r="D3415" s="5" t="s">
        <v>8</v>
      </c>
      <c r="E3415" s="19" t="s">
        <v>6538</v>
      </c>
      <c r="F3415" s="34" t="s">
        <v>3574</v>
      </c>
      <c r="G3415" s="27">
        <v>22.99</v>
      </c>
      <c r="H3415" s="1" t="s">
        <v>3554</v>
      </c>
      <c r="I3415" s="18">
        <v>20</v>
      </c>
      <c r="J3415" s="36">
        <v>0.06</v>
      </c>
    </row>
    <row r="3416" spans="2:10" x14ac:dyDescent="0.35">
      <c r="B3416" s="18">
        <v>3604720</v>
      </c>
      <c r="C3416" s="19" t="s">
        <v>5129</v>
      </c>
      <c r="D3416" s="5" t="s">
        <v>8</v>
      </c>
      <c r="E3416" s="19" t="s">
        <v>6539</v>
      </c>
      <c r="F3416" s="34" t="s">
        <v>3574</v>
      </c>
      <c r="G3416" s="27">
        <v>2.42</v>
      </c>
      <c r="H3416" s="1" t="s">
        <v>774</v>
      </c>
      <c r="I3416" s="20">
        <v>1</v>
      </c>
      <c r="J3416" s="36">
        <v>0.06</v>
      </c>
    </row>
    <row r="3417" spans="2:10" x14ac:dyDescent="0.35">
      <c r="B3417" s="18" t="s">
        <v>4094</v>
      </c>
      <c r="C3417" s="19" t="s">
        <v>5130</v>
      </c>
      <c r="D3417" s="5" t="s">
        <v>8</v>
      </c>
      <c r="E3417" s="19" t="s">
        <v>6540</v>
      </c>
      <c r="F3417" s="34" t="s">
        <v>3574</v>
      </c>
      <c r="G3417" s="27">
        <v>38.81</v>
      </c>
      <c r="H3417" s="1" t="s">
        <v>774</v>
      </c>
      <c r="I3417" s="20">
        <v>1</v>
      </c>
      <c r="J3417" s="36">
        <v>0.06</v>
      </c>
    </row>
    <row r="3418" spans="2:10" x14ac:dyDescent="0.35">
      <c r="B3418" s="18">
        <v>3010148</v>
      </c>
      <c r="C3418" s="19" t="s">
        <v>5131</v>
      </c>
      <c r="D3418" s="5" t="s">
        <v>8</v>
      </c>
      <c r="E3418" s="19" t="s">
        <v>6541</v>
      </c>
      <c r="F3418" s="34" t="s">
        <v>3574</v>
      </c>
      <c r="G3418" s="27">
        <v>65.69</v>
      </c>
      <c r="H3418" s="1" t="s">
        <v>774</v>
      </c>
      <c r="I3418" s="20">
        <v>1</v>
      </c>
      <c r="J3418" s="36">
        <v>0.06</v>
      </c>
    </row>
    <row r="3419" spans="2:10" x14ac:dyDescent="0.35">
      <c r="B3419" s="18" t="s">
        <v>4095</v>
      </c>
      <c r="C3419" s="19" t="s">
        <v>5132</v>
      </c>
      <c r="D3419" s="5" t="s">
        <v>8</v>
      </c>
      <c r="E3419" s="19" t="s">
        <v>6542</v>
      </c>
      <c r="F3419" s="34" t="s">
        <v>3574</v>
      </c>
      <c r="G3419" s="27">
        <v>133.88999999999999</v>
      </c>
      <c r="H3419" s="1" t="s">
        <v>774</v>
      </c>
      <c r="I3419" s="20">
        <v>1</v>
      </c>
      <c r="J3419" s="36">
        <v>0.06</v>
      </c>
    </row>
    <row r="3420" spans="2:10" x14ac:dyDescent="0.35">
      <c r="B3420" s="18">
        <v>1504395</v>
      </c>
      <c r="C3420" s="19" t="s">
        <v>5133</v>
      </c>
      <c r="D3420" s="5" t="s">
        <v>8</v>
      </c>
      <c r="E3420" s="19" t="s">
        <v>6543</v>
      </c>
      <c r="F3420" s="34" t="s">
        <v>3574</v>
      </c>
      <c r="G3420" s="27">
        <v>236.25</v>
      </c>
      <c r="H3420" s="1" t="s">
        <v>774</v>
      </c>
      <c r="I3420" s="20">
        <v>1</v>
      </c>
      <c r="J3420" s="36">
        <v>0.06</v>
      </c>
    </row>
    <row r="3421" spans="2:10" x14ac:dyDescent="0.35">
      <c r="B3421" s="18" t="s">
        <v>4096</v>
      </c>
      <c r="C3421" s="19" t="s">
        <v>5134</v>
      </c>
      <c r="D3421" s="5" t="s">
        <v>8</v>
      </c>
      <c r="E3421" s="19" t="s">
        <v>6543</v>
      </c>
      <c r="F3421" s="34" t="s">
        <v>3574</v>
      </c>
      <c r="G3421" s="27">
        <v>236.25</v>
      </c>
      <c r="H3421" s="1" t="s">
        <v>774</v>
      </c>
      <c r="I3421" s="20">
        <v>1</v>
      </c>
      <c r="J3421" s="36">
        <v>0.06</v>
      </c>
    </row>
    <row r="3422" spans="2:10" x14ac:dyDescent="0.35">
      <c r="B3422" s="18">
        <v>1360869</v>
      </c>
      <c r="C3422" s="19" t="s">
        <v>5135</v>
      </c>
      <c r="D3422" s="5" t="s">
        <v>8</v>
      </c>
      <c r="E3422" s="19" t="s">
        <v>6544</v>
      </c>
      <c r="F3422" s="34" t="s">
        <v>3574</v>
      </c>
      <c r="G3422" s="27">
        <v>147.26</v>
      </c>
      <c r="H3422" s="1" t="s">
        <v>774</v>
      </c>
      <c r="I3422" s="20">
        <v>1</v>
      </c>
      <c r="J3422" s="36">
        <v>0.06</v>
      </c>
    </row>
    <row r="3423" spans="2:10" x14ac:dyDescent="0.35">
      <c r="B3423" s="18">
        <v>1260659</v>
      </c>
      <c r="C3423" s="19" t="s">
        <v>5136</v>
      </c>
      <c r="D3423" s="5" t="s">
        <v>8</v>
      </c>
      <c r="E3423" s="19" t="s">
        <v>6545</v>
      </c>
      <c r="F3423" s="34" t="s">
        <v>3574</v>
      </c>
      <c r="G3423" s="27">
        <v>414.68</v>
      </c>
      <c r="H3423" s="1" t="s">
        <v>774</v>
      </c>
      <c r="I3423" s="20">
        <v>1</v>
      </c>
      <c r="J3423" s="36">
        <v>0.06</v>
      </c>
    </row>
    <row r="3424" spans="2:10" x14ac:dyDescent="0.35">
      <c r="B3424" s="18" t="s">
        <v>4097</v>
      </c>
      <c r="C3424" s="19" t="s">
        <v>5137</v>
      </c>
      <c r="D3424" s="5" t="s">
        <v>8</v>
      </c>
      <c r="E3424" s="19" t="s">
        <v>6546</v>
      </c>
      <c r="F3424" s="34" t="s">
        <v>3574</v>
      </c>
      <c r="G3424" s="27">
        <v>110.5</v>
      </c>
      <c r="H3424" s="1" t="s">
        <v>774</v>
      </c>
      <c r="I3424" s="20">
        <v>1</v>
      </c>
      <c r="J3424" s="36">
        <v>0.06</v>
      </c>
    </row>
    <row r="3425" spans="2:10" x14ac:dyDescent="0.35">
      <c r="B3425" s="18" t="s">
        <v>4098</v>
      </c>
      <c r="C3425" s="19" t="s">
        <v>5138</v>
      </c>
      <c r="D3425" s="5" t="s">
        <v>8</v>
      </c>
      <c r="E3425" s="19" t="s">
        <v>6547</v>
      </c>
      <c r="F3425" s="34" t="s">
        <v>3574</v>
      </c>
      <c r="G3425" s="27">
        <v>28.35</v>
      </c>
      <c r="H3425" s="1" t="s">
        <v>774</v>
      </c>
      <c r="I3425" s="20">
        <v>1</v>
      </c>
      <c r="J3425" s="36">
        <v>0.06</v>
      </c>
    </row>
    <row r="3426" spans="2:10" x14ac:dyDescent="0.35">
      <c r="B3426" s="18">
        <v>1502082</v>
      </c>
      <c r="C3426" s="19" t="s">
        <v>5139</v>
      </c>
      <c r="D3426" s="5" t="s">
        <v>8</v>
      </c>
      <c r="E3426" s="19" t="s">
        <v>6548</v>
      </c>
      <c r="F3426" s="34" t="s">
        <v>3574</v>
      </c>
      <c r="G3426" s="27">
        <v>84.9</v>
      </c>
      <c r="H3426" s="1" t="s">
        <v>774</v>
      </c>
      <c r="I3426" s="20">
        <v>1</v>
      </c>
      <c r="J3426" s="36">
        <v>0.06</v>
      </c>
    </row>
    <row r="3427" spans="2:10" x14ac:dyDescent="0.35">
      <c r="B3427" s="18">
        <v>1502125</v>
      </c>
      <c r="C3427" s="19" t="s">
        <v>5140</v>
      </c>
      <c r="D3427" s="5" t="s">
        <v>8</v>
      </c>
      <c r="E3427" s="19" t="s">
        <v>6549</v>
      </c>
      <c r="F3427" s="34" t="s">
        <v>3574</v>
      </c>
      <c r="G3427" s="27">
        <v>77.19</v>
      </c>
      <c r="H3427" s="1" t="s">
        <v>774</v>
      </c>
      <c r="I3427" s="20">
        <v>1</v>
      </c>
      <c r="J3427" s="36">
        <v>0.06</v>
      </c>
    </row>
    <row r="3428" spans="2:10" x14ac:dyDescent="0.35">
      <c r="B3428" s="18">
        <v>1502081</v>
      </c>
      <c r="C3428" s="19" t="s">
        <v>5141</v>
      </c>
      <c r="D3428" s="5" t="s">
        <v>8</v>
      </c>
      <c r="E3428" s="19" t="s">
        <v>6550</v>
      </c>
      <c r="F3428" s="34" t="s">
        <v>3574</v>
      </c>
      <c r="G3428" s="27">
        <v>173.19</v>
      </c>
      <c r="H3428" s="1" t="s">
        <v>774</v>
      </c>
      <c r="I3428" s="20">
        <v>1</v>
      </c>
      <c r="J3428" s="36">
        <v>0.06</v>
      </c>
    </row>
    <row r="3429" spans="2:10" x14ac:dyDescent="0.35">
      <c r="B3429" s="18">
        <v>1502064</v>
      </c>
      <c r="C3429" s="19" t="s">
        <v>5142</v>
      </c>
      <c r="D3429" s="5" t="s">
        <v>8</v>
      </c>
      <c r="E3429" s="19" t="s">
        <v>6551</v>
      </c>
      <c r="F3429" s="34" t="s">
        <v>3574</v>
      </c>
      <c r="G3429" s="27">
        <v>129.01</v>
      </c>
      <c r="H3429" s="1" t="s">
        <v>774</v>
      </c>
      <c r="I3429" s="20">
        <v>1</v>
      </c>
      <c r="J3429" s="36">
        <v>0.06</v>
      </c>
    </row>
    <row r="3430" spans="2:10" x14ac:dyDescent="0.35">
      <c r="B3430" s="18">
        <v>1502277</v>
      </c>
      <c r="C3430" s="19" t="s">
        <v>5143</v>
      </c>
      <c r="D3430" s="5" t="s">
        <v>8</v>
      </c>
      <c r="E3430" s="19" t="s">
        <v>6552</v>
      </c>
      <c r="F3430" s="34" t="s">
        <v>3574</v>
      </c>
      <c r="G3430" s="27">
        <v>306</v>
      </c>
      <c r="H3430" s="1" t="s">
        <v>774</v>
      </c>
      <c r="I3430" s="20">
        <v>1</v>
      </c>
      <c r="J3430" s="36">
        <v>0.06</v>
      </c>
    </row>
    <row r="3431" spans="2:10" x14ac:dyDescent="0.35">
      <c r="B3431" s="18">
        <v>3010194</v>
      </c>
      <c r="C3431" s="19" t="s">
        <v>5144</v>
      </c>
      <c r="D3431" s="5" t="s">
        <v>8</v>
      </c>
      <c r="E3431" s="19" t="s">
        <v>6553</v>
      </c>
      <c r="F3431" s="34" t="s">
        <v>3574</v>
      </c>
      <c r="G3431" s="27">
        <v>1.19</v>
      </c>
      <c r="H3431" s="1" t="s">
        <v>774</v>
      </c>
      <c r="I3431" s="20">
        <v>1</v>
      </c>
      <c r="J3431" s="36">
        <v>0.06</v>
      </c>
    </row>
    <row r="3432" spans="2:10" x14ac:dyDescent="0.35">
      <c r="B3432" s="18">
        <v>3603632</v>
      </c>
      <c r="C3432" s="19" t="s">
        <v>5145</v>
      </c>
      <c r="D3432" s="5" t="s">
        <v>8</v>
      </c>
      <c r="E3432" s="19" t="s">
        <v>6554</v>
      </c>
      <c r="F3432" s="34" t="s">
        <v>3574</v>
      </c>
      <c r="G3432" s="27">
        <v>0.89</v>
      </c>
      <c r="H3432" s="1" t="s">
        <v>774</v>
      </c>
      <c r="I3432" s="20">
        <v>1</v>
      </c>
      <c r="J3432" s="36">
        <v>0.06</v>
      </c>
    </row>
    <row r="3433" spans="2:10" x14ac:dyDescent="0.35">
      <c r="B3433" s="18">
        <v>1502083</v>
      </c>
      <c r="C3433" s="19" t="s">
        <v>5146</v>
      </c>
      <c r="D3433" s="5" t="s">
        <v>8</v>
      </c>
      <c r="E3433" s="19" t="s">
        <v>6555</v>
      </c>
      <c r="F3433" s="34" t="s">
        <v>3574</v>
      </c>
      <c r="G3433" s="27">
        <v>3.4</v>
      </c>
      <c r="H3433" s="1" t="s">
        <v>774</v>
      </c>
      <c r="I3433" s="20">
        <v>1</v>
      </c>
      <c r="J3433" s="36">
        <v>0.06</v>
      </c>
    </row>
    <row r="3434" spans="2:10" x14ac:dyDescent="0.35">
      <c r="B3434" s="18" t="s">
        <v>4099</v>
      </c>
      <c r="C3434" s="19" t="s">
        <v>5147</v>
      </c>
      <c r="D3434" s="5" t="s">
        <v>8</v>
      </c>
      <c r="E3434" s="19" t="s">
        <v>6556</v>
      </c>
      <c r="F3434" s="34" t="s">
        <v>3574</v>
      </c>
      <c r="G3434" s="27">
        <v>3.76</v>
      </c>
      <c r="H3434" s="1" t="s">
        <v>774</v>
      </c>
      <c r="I3434" s="20">
        <v>1</v>
      </c>
      <c r="J3434" s="36">
        <v>0.06</v>
      </c>
    </row>
    <row r="3435" spans="2:10" x14ac:dyDescent="0.35">
      <c r="B3435" s="18">
        <v>1411285</v>
      </c>
      <c r="C3435" s="19" t="s">
        <v>5148</v>
      </c>
      <c r="D3435" s="5" t="s">
        <v>8</v>
      </c>
      <c r="E3435" s="19" t="s">
        <v>6557</v>
      </c>
      <c r="F3435" s="34" t="s">
        <v>3574</v>
      </c>
      <c r="G3435" s="27">
        <v>1.58</v>
      </c>
      <c r="H3435" s="1" t="s">
        <v>774</v>
      </c>
      <c r="I3435" s="20">
        <v>1</v>
      </c>
      <c r="J3435" s="36">
        <v>0.06</v>
      </c>
    </row>
    <row r="3436" spans="2:10" x14ac:dyDescent="0.35">
      <c r="B3436" s="18" t="s">
        <v>4100</v>
      </c>
      <c r="C3436" s="19" t="s">
        <v>5149</v>
      </c>
      <c r="D3436" s="5" t="s">
        <v>8</v>
      </c>
      <c r="E3436" s="19" t="s">
        <v>6557</v>
      </c>
      <c r="F3436" s="34" t="s">
        <v>3574</v>
      </c>
      <c r="G3436" s="27">
        <v>1.58</v>
      </c>
      <c r="H3436" s="1" t="s">
        <v>774</v>
      </c>
      <c r="I3436" s="20">
        <v>1</v>
      </c>
      <c r="J3436" s="36">
        <v>0.06</v>
      </c>
    </row>
    <row r="3437" spans="2:10" x14ac:dyDescent="0.35">
      <c r="B3437" s="18">
        <v>1503293</v>
      </c>
      <c r="C3437" s="19" t="s">
        <v>5150</v>
      </c>
      <c r="D3437" s="5" t="s">
        <v>8</v>
      </c>
      <c r="E3437" s="19" t="s">
        <v>6558</v>
      </c>
      <c r="F3437" s="34" t="s">
        <v>3574</v>
      </c>
      <c r="G3437" s="27">
        <v>280.25</v>
      </c>
      <c r="H3437" s="1" t="s">
        <v>774</v>
      </c>
      <c r="I3437" s="20">
        <v>1</v>
      </c>
      <c r="J3437" s="36">
        <v>0.06</v>
      </c>
    </row>
    <row r="3438" spans="2:10" x14ac:dyDescent="0.35">
      <c r="B3438" s="18" t="s">
        <v>4101</v>
      </c>
      <c r="C3438" s="19" t="s">
        <v>5151</v>
      </c>
      <c r="D3438" s="5" t="s">
        <v>8</v>
      </c>
      <c r="E3438" s="19" t="s">
        <v>6559</v>
      </c>
      <c r="F3438" s="34" t="s">
        <v>3574</v>
      </c>
      <c r="G3438" s="27">
        <v>196.07999999999998</v>
      </c>
      <c r="H3438" s="1" t="s">
        <v>774</v>
      </c>
      <c r="I3438" s="20">
        <v>1</v>
      </c>
      <c r="J3438" s="36">
        <v>0.06</v>
      </c>
    </row>
    <row r="3439" spans="2:10" x14ac:dyDescent="0.35">
      <c r="B3439" s="18">
        <v>1586425</v>
      </c>
      <c r="C3439" s="19" t="s">
        <v>5152</v>
      </c>
      <c r="D3439" s="5" t="s">
        <v>8</v>
      </c>
      <c r="E3439" s="19" t="s">
        <v>6560</v>
      </c>
      <c r="F3439" s="34" t="s">
        <v>3574</v>
      </c>
      <c r="G3439" s="27">
        <v>1.387</v>
      </c>
      <c r="H3439" s="1" t="s">
        <v>3554</v>
      </c>
      <c r="I3439" s="18">
        <v>20</v>
      </c>
      <c r="J3439" s="36">
        <v>0.06</v>
      </c>
    </row>
    <row r="3440" spans="2:10" x14ac:dyDescent="0.35">
      <c r="B3440" s="18">
        <v>1502425</v>
      </c>
      <c r="C3440" s="19" t="s">
        <v>5153</v>
      </c>
      <c r="D3440" s="5" t="s">
        <v>8</v>
      </c>
      <c r="E3440" s="19" t="s">
        <v>6561</v>
      </c>
      <c r="F3440" s="34" t="s">
        <v>3574</v>
      </c>
      <c r="G3440" s="27">
        <v>21.09</v>
      </c>
      <c r="H3440" s="1" t="s">
        <v>774</v>
      </c>
      <c r="I3440" s="20">
        <v>1</v>
      </c>
      <c r="J3440" s="36">
        <v>0.06</v>
      </c>
    </row>
    <row r="3441" spans="2:10" x14ac:dyDescent="0.35">
      <c r="B3441" s="18">
        <v>1503741</v>
      </c>
      <c r="C3441" s="19" t="s">
        <v>5154</v>
      </c>
      <c r="D3441" s="5" t="s">
        <v>8</v>
      </c>
      <c r="E3441" s="19" t="s">
        <v>6562</v>
      </c>
      <c r="F3441" s="34" t="s">
        <v>3574</v>
      </c>
      <c r="G3441" s="27">
        <v>1.0549999999999999</v>
      </c>
      <c r="H3441" s="1" t="s">
        <v>3554</v>
      </c>
      <c r="I3441" s="18">
        <v>20</v>
      </c>
      <c r="J3441" s="36">
        <v>0.06</v>
      </c>
    </row>
    <row r="3442" spans="2:10" x14ac:dyDescent="0.35">
      <c r="B3442" s="18">
        <v>1350006</v>
      </c>
      <c r="C3442" s="19" t="s">
        <v>5155</v>
      </c>
      <c r="D3442" s="5" t="s">
        <v>8</v>
      </c>
      <c r="E3442" s="19" t="s">
        <v>6563</v>
      </c>
      <c r="F3442" s="34" t="s">
        <v>3574</v>
      </c>
      <c r="G3442" s="27">
        <v>5.8000000000000003E-2</v>
      </c>
      <c r="H3442" s="1" t="s">
        <v>3554</v>
      </c>
      <c r="I3442" s="18">
        <v>100</v>
      </c>
      <c r="J3442" s="36">
        <v>0.06</v>
      </c>
    </row>
    <row r="3443" spans="2:10" x14ac:dyDescent="0.35">
      <c r="B3443" s="18">
        <v>1360159</v>
      </c>
      <c r="C3443" s="19" t="s">
        <v>5156</v>
      </c>
      <c r="D3443" s="5" t="s">
        <v>8</v>
      </c>
      <c r="E3443" s="19" t="s">
        <v>6563</v>
      </c>
      <c r="F3443" s="34" t="s">
        <v>3574</v>
      </c>
      <c r="G3443" s="27">
        <v>5.8000000000000003E-2</v>
      </c>
      <c r="H3443" s="1" t="s">
        <v>3554</v>
      </c>
      <c r="I3443" s="18">
        <v>100</v>
      </c>
      <c r="J3443" s="36">
        <v>0.06</v>
      </c>
    </row>
    <row r="3444" spans="2:10" x14ac:dyDescent="0.35">
      <c r="B3444" s="18" t="s">
        <v>4102</v>
      </c>
      <c r="C3444" s="19" t="s">
        <v>5157</v>
      </c>
      <c r="D3444" s="5" t="s">
        <v>8</v>
      </c>
      <c r="E3444" s="19" t="s">
        <v>6564</v>
      </c>
      <c r="F3444" s="34" t="s">
        <v>3574</v>
      </c>
      <c r="G3444" s="27">
        <v>1.169</v>
      </c>
      <c r="H3444" s="1" t="s">
        <v>3554</v>
      </c>
      <c r="I3444" s="18">
        <v>20</v>
      </c>
      <c r="J3444" s="36">
        <v>0.06</v>
      </c>
    </row>
    <row r="3445" spans="2:10" x14ac:dyDescent="0.35">
      <c r="B3445" s="18" t="s">
        <v>4103</v>
      </c>
      <c r="C3445" s="19" t="s">
        <v>5158</v>
      </c>
      <c r="D3445" s="5" t="s">
        <v>8</v>
      </c>
      <c r="E3445" s="19" t="s">
        <v>6565</v>
      </c>
      <c r="F3445" s="34" t="s">
        <v>3574</v>
      </c>
      <c r="G3445" s="27">
        <v>2.0670000000000002</v>
      </c>
      <c r="H3445" s="1" t="s">
        <v>3554</v>
      </c>
      <c r="I3445" s="18">
        <v>20</v>
      </c>
      <c r="J3445" s="36">
        <v>0.06</v>
      </c>
    </row>
    <row r="3446" spans="2:10" x14ac:dyDescent="0.35">
      <c r="B3446" s="18">
        <v>3603401</v>
      </c>
      <c r="C3446" s="19" t="s">
        <v>5159</v>
      </c>
      <c r="D3446" s="5" t="s">
        <v>8</v>
      </c>
      <c r="E3446" s="19" t="s">
        <v>6566</v>
      </c>
      <c r="F3446" s="34" t="s">
        <v>3574</v>
      </c>
      <c r="G3446" s="27">
        <v>204.43999999999997</v>
      </c>
      <c r="H3446" s="1" t="s">
        <v>774</v>
      </c>
      <c r="I3446" s="20">
        <v>1</v>
      </c>
      <c r="J3446" s="36">
        <v>0.06</v>
      </c>
    </row>
    <row r="3447" spans="2:10" x14ac:dyDescent="0.35">
      <c r="B3447" s="18" t="s">
        <v>4104</v>
      </c>
      <c r="C3447" s="19" t="s">
        <v>5160</v>
      </c>
      <c r="D3447" s="5" t="s">
        <v>8</v>
      </c>
      <c r="E3447" s="19" t="s">
        <v>6567</v>
      </c>
      <c r="F3447" s="34" t="s">
        <v>3574</v>
      </c>
      <c r="G3447" s="27">
        <v>66</v>
      </c>
      <c r="H3447" s="1" t="s">
        <v>774</v>
      </c>
      <c r="I3447" s="20">
        <v>1</v>
      </c>
      <c r="J3447" s="36">
        <v>0.06</v>
      </c>
    </row>
    <row r="3448" spans="2:10" x14ac:dyDescent="0.35">
      <c r="B3448" s="18">
        <v>1503596</v>
      </c>
      <c r="C3448" s="19" t="s">
        <v>5161</v>
      </c>
      <c r="D3448" s="5" t="s">
        <v>8</v>
      </c>
      <c r="E3448" s="19" t="s">
        <v>6568</v>
      </c>
      <c r="F3448" s="34" t="s">
        <v>3574</v>
      </c>
      <c r="G3448" s="27">
        <v>4.3170000000000002</v>
      </c>
      <c r="H3448" s="1" t="s">
        <v>3554</v>
      </c>
      <c r="I3448" s="18">
        <v>20</v>
      </c>
      <c r="J3448" s="36">
        <v>0.06</v>
      </c>
    </row>
    <row r="3449" spans="2:10" x14ac:dyDescent="0.35">
      <c r="B3449" s="18">
        <v>1504100</v>
      </c>
      <c r="C3449" s="19" t="s">
        <v>5162</v>
      </c>
      <c r="D3449" s="5" t="s">
        <v>8</v>
      </c>
      <c r="E3449" s="19" t="s">
        <v>6569</v>
      </c>
      <c r="F3449" s="34" t="s">
        <v>3574</v>
      </c>
      <c r="G3449" s="27">
        <v>4.7789999999999999</v>
      </c>
      <c r="H3449" s="1" t="s">
        <v>3554</v>
      </c>
      <c r="I3449" s="18">
        <v>20</v>
      </c>
      <c r="J3449" s="36">
        <v>0.06</v>
      </c>
    </row>
    <row r="3450" spans="2:10" x14ac:dyDescent="0.35">
      <c r="B3450" s="18" t="s">
        <v>4105</v>
      </c>
      <c r="C3450" s="19" t="s">
        <v>5163</v>
      </c>
      <c r="D3450" s="5" t="s">
        <v>8</v>
      </c>
      <c r="E3450" s="19" t="s">
        <v>6570</v>
      </c>
      <c r="F3450" s="34" t="s">
        <v>3574</v>
      </c>
      <c r="G3450" s="27">
        <v>401.38</v>
      </c>
      <c r="H3450" s="1" t="s">
        <v>774</v>
      </c>
      <c r="I3450" s="20">
        <v>1</v>
      </c>
      <c r="J3450" s="36">
        <v>0.06</v>
      </c>
    </row>
    <row r="3451" spans="2:10" x14ac:dyDescent="0.35">
      <c r="B3451" s="18">
        <v>1504095</v>
      </c>
      <c r="C3451" s="19" t="s">
        <v>5164</v>
      </c>
      <c r="D3451" s="5" t="s">
        <v>8</v>
      </c>
      <c r="E3451" s="19" t="s">
        <v>6571</v>
      </c>
      <c r="F3451" s="34" t="s">
        <v>3574</v>
      </c>
      <c r="G3451" s="27">
        <v>5.2069999999999999</v>
      </c>
      <c r="H3451" s="1" t="s">
        <v>3554</v>
      </c>
      <c r="I3451" s="18">
        <v>20</v>
      </c>
      <c r="J3451" s="36">
        <v>0.06</v>
      </c>
    </row>
    <row r="3452" spans="2:10" x14ac:dyDescent="0.35">
      <c r="B3452" s="18" t="s">
        <v>4106</v>
      </c>
      <c r="C3452" s="19" t="s">
        <v>5165</v>
      </c>
      <c r="D3452" s="5" t="s">
        <v>8</v>
      </c>
      <c r="E3452" s="19" t="s">
        <v>6572</v>
      </c>
      <c r="F3452" s="34" t="s">
        <v>3574</v>
      </c>
      <c r="G3452" s="27">
        <v>150.96</v>
      </c>
      <c r="H3452" s="1" t="s">
        <v>774</v>
      </c>
      <c r="I3452" s="20">
        <v>1</v>
      </c>
      <c r="J3452" s="36">
        <v>0.06</v>
      </c>
    </row>
    <row r="3453" spans="2:10" x14ac:dyDescent="0.35">
      <c r="B3453" s="18">
        <v>1504397</v>
      </c>
      <c r="C3453" s="19" t="s">
        <v>5166</v>
      </c>
      <c r="D3453" s="5" t="s">
        <v>8</v>
      </c>
      <c r="E3453" s="19" t="s">
        <v>6573</v>
      </c>
      <c r="F3453" s="34" t="s">
        <v>3574</v>
      </c>
      <c r="G3453" s="27">
        <v>48.59</v>
      </c>
      <c r="H3453" s="1" t="s">
        <v>774</v>
      </c>
      <c r="I3453" s="20">
        <v>1</v>
      </c>
      <c r="J3453" s="36">
        <v>0.06</v>
      </c>
    </row>
    <row r="3454" spans="2:10" x14ac:dyDescent="0.35">
      <c r="B3454" s="18" t="s">
        <v>4107</v>
      </c>
      <c r="C3454" s="19" t="s">
        <v>5167</v>
      </c>
      <c r="D3454" s="5" t="s">
        <v>8</v>
      </c>
      <c r="E3454" s="19" t="s">
        <v>6574</v>
      </c>
      <c r="F3454" s="34" t="s">
        <v>3574</v>
      </c>
      <c r="G3454" s="27">
        <v>79.709999999999994</v>
      </c>
      <c r="H3454" s="1" t="s">
        <v>774</v>
      </c>
      <c r="I3454" s="20">
        <v>1</v>
      </c>
      <c r="J3454" s="36">
        <v>0.06</v>
      </c>
    </row>
    <row r="3455" spans="2:10" x14ac:dyDescent="0.35">
      <c r="B3455" s="18">
        <v>1503888</v>
      </c>
      <c r="C3455" s="19" t="s">
        <v>5168</v>
      </c>
      <c r="D3455" s="5" t="s">
        <v>8</v>
      </c>
      <c r="E3455" s="19" t="s">
        <v>6575</v>
      </c>
      <c r="F3455" s="34" t="s">
        <v>3574</v>
      </c>
      <c r="G3455" s="27">
        <v>117.81</v>
      </c>
      <c r="H3455" s="1" t="s">
        <v>774</v>
      </c>
      <c r="I3455" s="20">
        <v>1</v>
      </c>
      <c r="J3455" s="36">
        <v>0.06</v>
      </c>
    </row>
    <row r="3456" spans="2:10" x14ac:dyDescent="0.35">
      <c r="B3456" s="18">
        <v>1503885</v>
      </c>
      <c r="C3456" s="19" t="s">
        <v>5168</v>
      </c>
      <c r="D3456" s="5" t="s">
        <v>8</v>
      </c>
      <c r="E3456" s="19" t="s">
        <v>6576</v>
      </c>
      <c r="F3456" s="34" t="s">
        <v>3574</v>
      </c>
      <c r="G3456" s="27">
        <v>115.43</v>
      </c>
      <c r="H3456" s="1" t="s">
        <v>774</v>
      </c>
      <c r="I3456" s="20">
        <v>1</v>
      </c>
      <c r="J3456" s="36">
        <v>0.06</v>
      </c>
    </row>
    <row r="3457" spans="2:10" x14ac:dyDescent="0.35">
      <c r="B3457" s="18" t="s">
        <v>4108</v>
      </c>
      <c r="C3457" s="19" t="s">
        <v>5165</v>
      </c>
      <c r="D3457" s="5" t="s">
        <v>8</v>
      </c>
      <c r="E3457" s="19" t="s">
        <v>6577</v>
      </c>
      <c r="F3457" s="34" t="s">
        <v>3574</v>
      </c>
      <c r="G3457" s="27">
        <v>169.43</v>
      </c>
      <c r="H3457" s="1" t="s">
        <v>774</v>
      </c>
      <c r="I3457" s="20">
        <v>1</v>
      </c>
      <c r="J3457" s="36">
        <v>0.06</v>
      </c>
    </row>
    <row r="3458" spans="2:10" x14ac:dyDescent="0.35">
      <c r="B3458" s="18">
        <v>1503887</v>
      </c>
      <c r="C3458" s="19" t="s">
        <v>5168</v>
      </c>
      <c r="D3458" s="5" t="s">
        <v>8</v>
      </c>
      <c r="E3458" s="19" t="s">
        <v>6578</v>
      </c>
      <c r="F3458" s="34" t="s">
        <v>3574</v>
      </c>
      <c r="G3458" s="27">
        <v>115.43</v>
      </c>
      <c r="H3458" s="1" t="s">
        <v>774</v>
      </c>
      <c r="I3458" s="20">
        <v>1</v>
      </c>
      <c r="J3458" s="36">
        <v>0.06</v>
      </c>
    </row>
    <row r="3459" spans="2:10" x14ac:dyDescent="0.35">
      <c r="B3459" s="18">
        <v>1503886</v>
      </c>
      <c r="C3459" s="19" t="s">
        <v>5168</v>
      </c>
      <c r="D3459" s="5" t="s">
        <v>8</v>
      </c>
      <c r="E3459" s="19" t="s">
        <v>6579</v>
      </c>
      <c r="F3459" s="34" t="s">
        <v>3574</v>
      </c>
      <c r="G3459" s="27">
        <v>115.6</v>
      </c>
      <c r="H3459" s="1" t="s">
        <v>774</v>
      </c>
      <c r="I3459" s="20">
        <v>1</v>
      </c>
      <c r="J3459" s="36">
        <v>0.06</v>
      </c>
    </row>
    <row r="3460" spans="2:10" x14ac:dyDescent="0.35">
      <c r="B3460" s="18" t="s">
        <v>4109</v>
      </c>
      <c r="C3460" s="19" t="s">
        <v>5169</v>
      </c>
      <c r="D3460" s="5" t="s">
        <v>8</v>
      </c>
      <c r="E3460" s="19" t="s">
        <v>6580</v>
      </c>
      <c r="F3460" s="34" t="s">
        <v>3574</v>
      </c>
      <c r="G3460" s="27">
        <v>238.07</v>
      </c>
      <c r="H3460" s="1" t="s">
        <v>774</v>
      </c>
      <c r="I3460" s="20">
        <v>1</v>
      </c>
      <c r="J3460" s="36">
        <v>0.06</v>
      </c>
    </row>
    <row r="3461" spans="2:10" x14ac:dyDescent="0.35">
      <c r="B3461" s="18" t="s">
        <v>4110</v>
      </c>
      <c r="C3461" s="19" t="s">
        <v>5125</v>
      </c>
      <c r="D3461" s="5" t="s">
        <v>8</v>
      </c>
      <c r="E3461" s="19" t="s">
        <v>6581</v>
      </c>
      <c r="F3461" s="34" t="s">
        <v>3574</v>
      </c>
      <c r="G3461" s="27">
        <v>280.02999999999997</v>
      </c>
      <c r="H3461" s="1" t="s">
        <v>774</v>
      </c>
      <c r="I3461" s="20">
        <v>1</v>
      </c>
      <c r="J3461" s="36">
        <v>0.06</v>
      </c>
    </row>
    <row r="3462" spans="2:10" x14ac:dyDescent="0.35">
      <c r="B3462" s="18" t="s">
        <v>4111</v>
      </c>
      <c r="C3462" s="19" t="s">
        <v>5125</v>
      </c>
      <c r="D3462" s="5" t="s">
        <v>8</v>
      </c>
      <c r="E3462" s="19" t="s">
        <v>6582</v>
      </c>
      <c r="F3462" s="34" t="s">
        <v>3574</v>
      </c>
      <c r="G3462" s="27">
        <v>592.16</v>
      </c>
      <c r="H3462" s="1" t="s">
        <v>774</v>
      </c>
      <c r="I3462" s="20">
        <v>1</v>
      </c>
      <c r="J3462" s="36">
        <v>0.06</v>
      </c>
    </row>
    <row r="3463" spans="2:10" x14ac:dyDescent="0.35">
      <c r="B3463" s="18">
        <v>1800382</v>
      </c>
      <c r="C3463" s="19" t="s">
        <v>5170</v>
      </c>
      <c r="D3463" s="5" t="s">
        <v>8</v>
      </c>
      <c r="E3463" s="19" t="s">
        <v>6583</v>
      </c>
      <c r="F3463" s="34" t="s">
        <v>3574</v>
      </c>
      <c r="G3463" s="27">
        <v>864.12</v>
      </c>
      <c r="H3463" s="1" t="s">
        <v>774</v>
      </c>
      <c r="I3463" s="20">
        <v>1</v>
      </c>
      <c r="J3463" s="36">
        <v>0.06</v>
      </c>
    </row>
    <row r="3464" spans="2:10" x14ac:dyDescent="0.35">
      <c r="B3464" s="18">
        <v>3602680</v>
      </c>
      <c r="C3464" s="19" t="s">
        <v>5171</v>
      </c>
      <c r="D3464" s="5" t="s">
        <v>8</v>
      </c>
      <c r="E3464" s="19" t="s">
        <v>6584</v>
      </c>
      <c r="F3464" s="34" t="s">
        <v>3574</v>
      </c>
      <c r="G3464" s="27">
        <v>578.16999999999996</v>
      </c>
      <c r="H3464" s="1" t="s">
        <v>774</v>
      </c>
      <c r="I3464" s="20">
        <v>1</v>
      </c>
      <c r="J3464" s="36">
        <v>0.06</v>
      </c>
    </row>
    <row r="3465" spans="2:10" x14ac:dyDescent="0.35">
      <c r="B3465" s="18">
        <v>1800379</v>
      </c>
      <c r="C3465" s="19" t="s">
        <v>5172</v>
      </c>
      <c r="D3465" s="5" t="s">
        <v>8</v>
      </c>
      <c r="E3465" s="19" t="s">
        <v>6585</v>
      </c>
      <c r="F3465" s="34" t="s">
        <v>3574</v>
      </c>
      <c r="G3465" s="27">
        <v>785.7</v>
      </c>
      <c r="H3465" s="1" t="s">
        <v>774</v>
      </c>
      <c r="I3465" s="20">
        <v>1</v>
      </c>
      <c r="J3465" s="36">
        <v>0.06</v>
      </c>
    </row>
    <row r="3466" spans="2:10" x14ac:dyDescent="0.35">
      <c r="B3466" s="18" t="s">
        <v>4112</v>
      </c>
      <c r="C3466" s="19" t="s">
        <v>5173</v>
      </c>
      <c r="D3466" s="5" t="s">
        <v>8</v>
      </c>
      <c r="E3466" s="19" t="s">
        <v>6586</v>
      </c>
      <c r="F3466" s="34" t="s">
        <v>3574</v>
      </c>
      <c r="G3466" s="27">
        <v>79.06</v>
      </c>
      <c r="H3466" s="1" t="s">
        <v>774</v>
      </c>
      <c r="I3466" s="20">
        <v>1</v>
      </c>
      <c r="J3466" s="36">
        <v>0.06</v>
      </c>
    </row>
    <row r="3467" spans="2:10" x14ac:dyDescent="0.35">
      <c r="B3467" s="18">
        <v>800003134</v>
      </c>
      <c r="C3467" s="19" t="s">
        <v>5174</v>
      </c>
      <c r="D3467" s="5" t="s">
        <v>8</v>
      </c>
      <c r="E3467" s="19" t="s">
        <v>6587</v>
      </c>
      <c r="F3467" s="34" t="s">
        <v>3574</v>
      </c>
      <c r="G3467" s="27">
        <v>9.5500000000000007</v>
      </c>
      <c r="H3467" s="1" t="s">
        <v>774</v>
      </c>
      <c r="I3467" s="20">
        <v>1</v>
      </c>
      <c r="J3467" s="36">
        <v>0.06</v>
      </c>
    </row>
    <row r="3468" spans="2:10" x14ac:dyDescent="0.35">
      <c r="B3468" s="18">
        <v>3604083</v>
      </c>
      <c r="C3468" s="19" t="s">
        <v>5175</v>
      </c>
      <c r="D3468" s="5" t="s">
        <v>8</v>
      </c>
      <c r="E3468" s="19" t="s">
        <v>6588</v>
      </c>
      <c r="F3468" s="34" t="s">
        <v>3574</v>
      </c>
      <c r="G3468" s="27">
        <v>1407.07</v>
      </c>
      <c r="H3468" s="1" t="s">
        <v>774</v>
      </c>
      <c r="I3468" s="20">
        <v>1</v>
      </c>
      <c r="J3468" s="36">
        <v>0.06</v>
      </c>
    </row>
    <row r="3469" spans="2:10" x14ac:dyDescent="0.35">
      <c r="B3469" s="18" t="s">
        <v>4113</v>
      </c>
      <c r="C3469" s="19" t="s">
        <v>5176</v>
      </c>
      <c r="D3469" s="5" t="s">
        <v>8</v>
      </c>
      <c r="E3469" s="19" t="s">
        <v>6589</v>
      </c>
      <c r="F3469" s="34" t="s">
        <v>3574</v>
      </c>
      <c r="G3469" s="27">
        <v>43.89</v>
      </c>
      <c r="H3469" s="1" t="s">
        <v>774</v>
      </c>
      <c r="I3469" s="20">
        <v>1</v>
      </c>
      <c r="J3469" s="36">
        <v>0.06</v>
      </c>
    </row>
    <row r="3470" spans="2:10" x14ac:dyDescent="0.35">
      <c r="B3470" s="18" t="s">
        <v>4114</v>
      </c>
      <c r="C3470" s="19" t="s">
        <v>5177</v>
      </c>
      <c r="D3470" s="5" t="s">
        <v>8</v>
      </c>
      <c r="E3470" s="19" t="s">
        <v>6590</v>
      </c>
      <c r="F3470" s="34" t="s">
        <v>3574</v>
      </c>
      <c r="G3470" s="27">
        <v>27.93</v>
      </c>
      <c r="H3470" s="1" t="s">
        <v>774</v>
      </c>
      <c r="I3470" s="20">
        <v>1</v>
      </c>
      <c r="J3470" s="36">
        <v>0.06</v>
      </c>
    </row>
    <row r="3471" spans="2:10" x14ac:dyDescent="0.35">
      <c r="B3471" s="18">
        <v>800003256</v>
      </c>
      <c r="C3471" s="19" t="s">
        <v>5178</v>
      </c>
      <c r="D3471" s="5" t="s">
        <v>8</v>
      </c>
      <c r="E3471" s="19" t="s">
        <v>6591</v>
      </c>
      <c r="F3471" s="34" t="s">
        <v>3574</v>
      </c>
      <c r="G3471" s="27">
        <v>47.74</v>
      </c>
      <c r="H3471" s="1" t="s">
        <v>774</v>
      </c>
      <c r="I3471" s="20">
        <v>1</v>
      </c>
      <c r="J3471" s="36">
        <v>0.06</v>
      </c>
    </row>
    <row r="3472" spans="2:10" x14ac:dyDescent="0.35">
      <c r="B3472" s="18" t="s">
        <v>4115</v>
      </c>
      <c r="C3472" s="19" t="s">
        <v>5179</v>
      </c>
      <c r="D3472" s="5" t="s">
        <v>8</v>
      </c>
      <c r="E3472" s="19" t="s">
        <v>6592</v>
      </c>
      <c r="F3472" s="34" t="s">
        <v>3574</v>
      </c>
      <c r="G3472" s="27">
        <v>276.93</v>
      </c>
      <c r="H3472" s="1" t="s">
        <v>774</v>
      </c>
      <c r="I3472" s="20">
        <v>1</v>
      </c>
      <c r="J3472" s="36">
        <v>0.06</v>
      </c>
    </row>
    <row r="3473" spans="2:10" x14ac:dyDescent="0.35">
      <c r="B3473" s="18">
        <v>800001314</v>
      </c>
      <c r="C3473" s="19" t="s">
        <v>5180</v>
      </c>
      <c r="D3473" s="5" t="s">
        <v>8</v>
      </c>
      <c r="E3473" s="19" t="s">
        <v>6593</v>
      </c>
      <c r="F3473" s="34" t="s">
        <v>3574</v>
      </c>
      <c r="G3473" s="27">
        <v>321.47999999999996</v>
      </c>
      <c r="H3473" s="1" t="s">
        <v>774</v>
      </c>
      <c r="I3473" s="20">
        <v>1</v>
      </c>
      <c r="J3473" s="36">
        <v>0.06</v>
      </c>
    </row>
    <row r="3474" spans="2:10" x14ac:dyDescent="0.35">
      <c r="B3474" s="18" t="s">
        <v>4116</v>
      </c>
      <c r="C3474" s="19" t="s">
        <v>5181</v>
      </c>
      <c r="D3474" s="5" t="s">
        <v>8</v>
      </c>
      <c r="E3474" s="19" t="s">
        <v>6594</v>
      </c>
      <c r="F3474" s="34" t="s">
        <v>3574</v>
      </c>
      <c r="G3474" s="27">
        <v>134.93</v>
      </c>
      <c r="H3474" s="1" t="s">
        <v>774</v>
      </c>
      <c r="I3474" s="20">
        <v>1</v>
      </c>
      <c r="J3474" s="36">
        <v>0.06</v>
      </c>
    </row>
    <row r="3475" spans="2:10" x14ac:dyDescent="0.35">
      <c r="B3475" s="18">
        <v>4020137</v>
      </c>
      <c r="C3475" s="19" t="s">
        <v>5182</v>
      </c>
      <c r="D3475" s="5" t="s">
        <v>8</v>
      </c>
      <c r="E3475" s="19" t="s">
        <v>6595</v>
      </c>
      <c r="F3475" s="34" t="s">
        <v>3574</v>
      </c>
      <c r="G3475" s="27">
        <v>15.56</v>
      </c>
      <c r="H3475" s="1" t="s">
        <v>774</v>
      </c>
      <c r="I3475" s="20">
        <v>1</v>
      </c>
      <c r="J3475" s="36">
        <v>0.06</v>
      </c>
    </row>
    <row r="3476" spans="2:10" x14ac:dyDescent="0.35">
      <c r="B3476" s="18">
        <v>1800642</v>
      </c>
      <c r="C3476" s="19" t="s">
        <v>5183</v>
      </c>
      <c r="D3476" s="5" t="s">
        <v>8</v>
      </c>
      <c r="E3476" s="19" t="s">
        <v>6596</v>
      </c>
      <c r="F3476" s="34" t="s">
        <v>3574</v>
      </c>
      <c r="G3476" s="27">
        <v>26.38</v>
      </c>
      <c r="H3476" s="1" t="s">
        <v>774</v>
      </c>
      <c r="I3476" s="20">
        <v>1</v>
      </c>
      <c r="J3476" s="36">
        <v>0.06</v>
      </c>
    </row>
    <row r="3477" spans="2:10" x14ac:dyDescent="0.35">
      <c r="B3477" s="18">
        <v>1800555</v>
      </c>
      <c r="C3477" s="19" t="s">
        <v>5184</v>
      </c>
      <c r="D3477" s="5" t="s">
        <v>8</v>
      </c>
      <c r="E3477" s="19" t="s">
        <v>6597</v>
      </c>
      <c r="F3477" s="34" t="s">
        <v>3574</v>
      </c>
      <c r="G3477" s="27">
        <v>22.04</v>
      </c>
      <c r="H3477" s="1" t="s">
        <v>774</v>
      </c>
      <c r="I3477" s="20">
        <v>1</v>
      </c>
      <c r="J3477" s="36">
        <v>0.06</v>
      </c>
    </row>
    <row r="3478" spans="2:10" x14ac:dyDescent="0.35">
      <c r="B3478" s="18">
        <v>4001256</v>
      </c>
      <c r="C3478" s="19" t="s">
        <v>5185</v>
      </c>
      <c r="D3478" s="5" t="s">
        <v>8</v>
      </c>
      <c r="E3478" s="19" t="s">
        <v>6598</v>
      </c>
      <c r="F3478" s="34" t="s">
        <v>3574</v>
      </c>
      <c r="G3478" s="27">
        <v>15.56</v>
      </c>
      <c r="H3478" s="1" t="s">
        <v>774</v>
      </c>
      <c r="I3478" s="20">
        <v>1</v>
      </c>
      <c r="J3478" s="36">
        <v>0.06</v>
      </c>
    </row>
    <row r="3479" spans="2:10" x14ac:dyDescent="0.35">
      <c r="B3479" s="18">
        <v>1800599</v>
      </c>
      <c r="C3479" s="19" t="s">
        <v>5186</v>
      </c>
      <c r="D3479" s="5" t="s">
        <v>8</v>
      </c>
      <c r="E3479" s="19" t="s">
        <v>6599</v>
      </c>
      <c r="F3479" s="34" t="s">
        <v>3574</v>
      </c>
      <c r="G3479" s="27">
        <v>28.41</v>
      </c>
      <c r="H3479" s="1" t="s">
        <v>774</v>
      </c>
      <c r="I3479" s="20">
        <v>1</v>
      </c>
      <c r="J3479" s="36">
        <v>0.06</v>
      </c>
    </row>
    <row r="3480" spans="2:10" x14ac:dyDescent="0.35">
      <c r="B3480" s="18">
        <v>1304154</v>
      </c>
      <c r="C3480" s="19" t="s">
        <v>5187</v>
      </c>
      <c r="D3480" s="5" t="s">
        <v>8</v>
      </c>
      <c r="E3480" s="19" t="s">
        <v>6600</v>
      </c>
      <c r="F3480" s="34" t="s">
        <v>3574</v>
      </c>
      <c r="G3480" s="27">
        <v>16.03</v>
      </c>
      <c r="H3480" s="1" t="s">
        <v>774</v>
      </c>
      <c r="I3480" s="20">
        <v>1</v>
      </c>
      <c r="J3480" s="36">
        <v>0.06</v>
      </c>
    </row>
    <row r="3481" spans="2:10" x14ac:dyDescent="0.35">
      <c r="B3481" s="18" t="s">
        <v>4117</v>
      </c>
      <c r="C3481" s="19" t="s">
        <v>5188</v>
      </c>
      <c r="D3481" s="5" t="s">
        <v>8</v>
      </c>
      <c r="E3481" s="19" t="s">
        <v>6601</v>
      </c>
      <c r="F3481" s="34" t="s">
        <v>3574</v>
      </c>
      <c r="G3481" s="27">
        <v>33.35</v>
      </c>
      <c r="H3481" s="1" t="s">
        <v>774</v>
      </c>
      <c r="I3481" s="20">
        <v>1</v>
      </c>
      <c r="J3481" s="36">
        <v>0.06</v>
      </c>
    </row>
    <row r="3482" spans="2:10" x14ac:dyDescent="0.35">
      <c r="B3482" s="18">
        <v>800004638</v>
      </c>
      <c r="C3482" s="19" t="s">
        <v>5189</v>
      </c>
      <c r="D3482" s="5" t="s">
        <v>8</v>
      </c>
      <c r="E3482" s="19" t="s">
        <v>6602</v>
      </c>
      <c r="F3482" s="34" t="s">
        <v>3574</v>
      </c>
      <c r="G3482" s="27">
        <v>113.15</v>
      </c>
      <c r="H3482" s="1" t="s">
        <v>774</v>
      </c>
      <c r="I3482" s="20">
        <v>1</v>
      </c>
      <c r="J3482" s="36">
        <v>0.06</v>
      </c>
    </row>
    <row r="3483" spans="2:10" x14ac:dyDescent="0.35">
      <c r="B3483" s="18">
        <v>2000621</v>
      </c>
      <c r="C3483" s="19" t="s">
        <v>5190</v>
      </c>
      <c r="D3483" s="5" t="s">
        <v>8</v>
      </c>
      <c r="E3483" s="19" t="s">
        <v>6603</v>
      </c>
      <c r="F3483" s="34" t="s">
        <v>3574</v>
      </c>
      <c r="G3483" s="27">
        <v>0.62</v>
      </c>
      <c r="H3483" s="1" t="s">
        <v>774</v>
      </c>
      <c r="I3483" s="20">
        <v>1</v>
      </c>
      <c r="J3483" s="36">
        <v>0.06</v>
      </c>
    </row>
    <row r="3484" spans="2:10" x14ac:dyDescent="0.35">
      <c r="B3484" s="18" t="s">
        <v>4118</v>
      </c>
      <c r="C3484" s="19" t="s">
        <v>5191</v>
      </c>
      <c r="D3484" s="5" t="s">
        <v>8</v>
      </c>
      <c r="E3484" s="19" t="s">
        <v>6604</v>
      </c>
      <c r="F3484" s="34" t="s">
        <v>3574</v>
      </c>
      <c r="G3484" s="27">
        <v>0.84</v>
      </c>
      <c r="H3484" s="1" t="s">
        <v>774</v>
      </c>
      <c r="I3484" s="20">
        <v>1</v>
      </c>
      <c r="J3484" s="36">
        <v>0.06</v>
      </c>
    </row>
    <row r="3485" spans="2:10" x14ac:dyDescent="0.35">
      <c r="B3485" s="18">
        <v>1301081</v>
      </c>
      <c r="C3485" s="19" t="s">
        <v>5099</v>
      </c>
      <c r="D3485" s="5" t="s">
        <v>8</v>
      </c>
      <c r="E3485" s="19" t="s">
        <v>6605</v>
      </c>
      <c r="F3485" s="34" t="s">
        <v>3574</v>
      </c>
      <c r="G3485" s="27">
        <v>77.319999999999993</v>
      </c>
      <c r="H3485" s="1" t="s">
        <v>774</v>
      </c>
      <c r="I3485" s="20">
        <v>1</v>
      </c>
      <c r="J3485" s="36">
        <v>0.06</v>
      </c>
    </row>
    <row r="3486" spans="2:10" x14ac:dyDescent="0.35">
      <c r="B3486" s="18" t="s">
        <v>4119</v>
      </c>
      <c r="C3486" s="19" t="s">
        <v>5173</v>
      </c>
      <c r="D3486" s="5" t="s">
        <v>8</v>
      </c>
      <c r="E3486" s="19" t="s">
        <v>6606</v>
      </c>
      <c r="F3486" s="34" t="s">
        <v>3574</v>
      </c>
      <c r="G3486" s="27">
        <v>132.88</v>
      </c>
      <c r="H3486" s="1" t="s">
        <v>774</v>
      </c>
      <c r="I3486" s="20">
        <v>1</v>
      </c>
      <c r="J3486" s="36">
        <v>0.06</v>
      </c>
    </row>
    <row r="3487" spans="2:10" x14ac:dyDescent="0.35">
      <c r="B3487" s="18" t="s">
        <v>4120</v>
      </c>
      <c r="C3487" s="19" t="s">
        <v>5173</v>
      </c>
      <c r="D3487" s="5" t="s">
        <v>8</v>
      </c>
      <c r="E3487" s="19" t="s">
        <v>6607</v>
      </c>
      <c r="F3487" s="34" t="s">
        <v>3574</v>
      </c>
      <c r="G3487" s="27">
        <v>101.55</v>
      </c>
      <c r="H3487" s="1" t="s">
        <v>774</v>
      </c>
      <c r="I3487" s="20">
        <v>1</v>
      </c>
      <c r="J3487" s="36">
        <v>0.06</v>
      </c>
    </row>
    <row r="3488" spans="2:10" x14ac:dyDescent="0.35">
      <c r="B3488" s="18">
        <v>1301093</v>
      </c>
      <c r="C3488" s="19" t="s">
        <v>4548</v>
      </c>
      <c r="D3488" s="5" t="s">
        <v>8</v>
      </c>
      <c r="E3488" s="19" t="s">
        <v>6608</v>
      </c>
      <c r="F3488" s="34" t="s">
        <v>3574</v>
      </c>
      <c r="G3488" s="27">
        <v>131.47</v>
      </c>
      <c r="H3488" s="1" t="s">
        <v>774</v>
      </c>
      <c r="I3488" s="20">
        <v>1</v>
      </c>
      <c r="J3488" s="36">
        <v>0.06</v>
      </c>
    </row>
    <row r="3489" spans="2:10" x14ac:dyDescent="0.35">
      <c r="B3489" s="18">
        <v>4002349</v>
      </c>
      <c r="C3489" s="19" t="s">
        <v>4548</v>
      </c>
      <c r="D3489" s="5" t="s">
        <v>8</v>
      </c>
      <c r="E3489" s="19" t="s">
        <v>6609</v>
      </c>
      <c r="F3489" s="34" t="s">
        <v>3574</v>
      </c>
      <c r="G3489" s="27">
        <v>152.85</v>
      </c>
      <c r="H3489" s="1" t="s">
        <v>774</v>
      </c>
      <c r="I3489" s="20">
        <v>1</v>
      </c>
      <c r="J3489" s="36">
        <v>0.06</v>
      </c>
    </row>
    <row r="3490" spans="2:10" x14ac:dyDescent="0.35">
      <c r="B3490" s="18" t="s">
        <v>4121</v>
      </c>
      <c r="C3490" s="19" t="s">
        <v>5192</v>
      </c>
      <c r="D3490" s="5" t="s">
        <v>8</v>
      </c>
      <c r="E3490" s="19" t="s">
        <v>6610</v>
      </c>
      <c r="F3490" s="34" t="s">
        <v>3574</v>
      </c>
      <c r="G3490" s="27">
        <v>143.43</v>
      </c>
      <c r="H3490" s="1" t="s">
        <v>774</v>
      </c>
      <c r="I3490" s="20">
        <v>1</v>
      </c>
      <c r="J3490" s="36">
        <v>0.06</v>
      </c>
    </row>
    <row r="3491" spans="2:10" x14ac:dyDescent="0.35">
      <c r="B3491" s="18">
        <v>3601357</v>
      </c>
      <c r="C3491" s="19" t="s">
        <v>5193</v>
      </c>
      <c r="D3491" s="5" t="s">
        <v>8</v>
      </c>
      <c r="E3491" s="19" t="s">
        <v>6611</v>
      </c>
      <c r="F3491" s="34" t="s">
        <v>3574</v>
      </c>
      <c r="G3491" s="27">
        <v>138.61000000000001</v>
      </c>
      <c r="H3491" s="1" t="s">
        <v>774</v>
      </c>
      <c r="I3491" s="20">
        <v>1</v>
      </c>
      <c r="J3491" s="36">
        <v>0.06</v>
      </c>
    </row>
    <row r="3492" spans="2:10" x14ac:dyDescent="0.35">
      <c r="B3492" s="18">
        <v>3010147</v>
      </c>
      <c r="C3492" s="19" t="s">
        <v>5194</v>
      </c>
      <c r="D3492" s="5" t="s">
        <v>8</v>
      </c>
      <c r="E3492" s="19" t="s">
        <v>6612</v>
      </c>
      <c r="F3492" s="34" t="s">
        <v>3574</v>
      </c>
      <c r="G3492" s="27">
        <v>58.65</v>
      </c>
      <c r="H3492" s="1" t="s">
        <v>774</v>
      </c>
      <c r="I3492" s="20">
        <v>1</v>
      </c>
      <c r="J3492" s="36">
        <v>0.06</v>
      </c>
    </row>
    <row r="3493" spans="2:10" x14ac:dyDescent="0.35">
      <c r="B3493" s="18">
        <v>3010167</v>
      </c>
      <c r="C3493" s="19" t="s">
        <v>5195</v>
      </c>
      <c r="D3493" s="5" t="s">
        <v>8</v>
      </c>
      <c r="E3493" s="19" t="s">
        <v>6613</v>
      </c>
      <c r="F3493" s="34" t="s">
        <v>3574</v>
      </c>
      <c r="G3493" s="27">
        <v>246.9</v>
      </c>
      <c r="H3493" s="1" t="s">
        <v>774</v>
      </c>
      <c r="I3493" s="20">
        <v>1</v>
      </c>
      <c r="J3493" s="36">
        <v>0.06</v>
      </c>
    </row>
    <row r="3494" spans="2:10" x14ac:dyDescent="0.35">
      <c r="B3494" s="18">
        <v>3010154</v>
      </c>
      <c r="C3494" s="19" t="s">
        <v>5196</v>
      </c>
      <c r="D3494" s="5" t="s">
        <v>8</v>
      </c>
      <c r="E3494" s="19" t="s">
        <v>6614</v>
      </c>
      <c r="F3494" s="34" t="s">
        <v>3574</v>
      </c>
      <c r="G3494" s="27">
        <v>513.03</v>
      </c>
      <c r="H3494" s="1" t="s">
        <v>774</v>
      </c>
      <c r="I3494" s="20">
        <v>1</v>
      </c>
      <c r="J3494" s="36">
        <v>0.06</v>
      </c>
    </row>
    <row r="3495" spans="2:10" x14ac:dyDescent="0.35">
      <c r="B3495" s="18">
        <v>800002921</v>
      </c>
      <c r="C3495" s="19" t="s">
        <v>5197</v>
      </c>
      <c r="D3495" s="5" t="s">
        <v>8</v>
      </c>
      <c r="E3495" s="19" t="s">
        <v>6615</v>
      </c>
      <c r="F3495" s="34" t="s">
        <v>3574</v>
      </c>
      <c r="G3495" s="27">
        <v>185.58</v>
      </c>
      <c r="H3495" s="1" t="s">
        <v>774</v>
      </c>
      <c r="I3495" s="20">
        <v>1</v>
      </c>
      <c r="J3495" s="36">
        <v>0.06</v>
      </c>
    </row>
    <row r="3496" spans="2:10" x14ac:dyDescent="0.35">
      <c r="B3496" s="18">
        <v>800001315</v>
      </c>
      <c r="C3496" s="19" t="s">
        <v>5198</v>
      </c>
      <c r="D3496" s="5" t="s">
        <v>8</v>
      </c>
      <c r="E3496" s="19" t="s">
        <v>6616</v>
      </c>
      <c r="F3496" s="34" t="s">
        <v>3574</v>
      </c>
      <c r="G3496" s="27">
        <v>199.11999999999998</v>
      </c>
      <c r="H3496" s="1" t="s">
        <v>774</v>
      </c>
      <c r="I3496" s="20">
        <v>1</v>
      </c>
      <c r="J3496" s="36">
        <v>0.06</v>
      </c>
    </row>
    <row r="3497" spans="2:10" x14ac:dyDescent="0.35">
      <c r="B3497" s="18">
        <v>200923</v>
      </c>
      <c r="C3497" s="19" t="s">
        <v>5199</v>
      </c>
      <c r="D3497" s="5" t="s">
        <v>8</v>
      </c>
      <c r="E3497" s="19" t="s">
        <v>6617</v>
      </c>
      <c r="F3497" s="34" t="s">
        <v>3574</v>
      </c>
      <c r="G3497" s="27">
        <v>120.84</v>
      </c>
      <c r="H3497" s="1" t="s">
        <v>774</v>
      </c>
      <c r="I3497" s="20">
        <v>1</v>
      </c>
      <c r="J3497" s="36">
        <v>0.06</v>
      </c>
    </row>
    <row r="3498" spans="2:10" x14ac:dyDescent="0.35">
      <c r="B3498" s="18" t="s">
        <v>4122</v>
      </c>
      <c r="C3498" s="19" t="s">
        <v>5101</v>
      </c>
      <c r="D3498" s="5" t="s">
        <v>8</v>
      </c>
      <c r="E3498" s="19" t="s">
        <v>6618</v>
      </c>
      <c r="F3498" s="34" t="s">
        <v>3574</v>
      </c>
      <c r="G3498" s="27">
        <v>122.77</v>
      </c>
      <c r="H3498" s="1" t="s">
        <v>774</v>
      </c>
      <c r="I3498" s="20">
        <v>1</v>
      </c>
      <c r="J3498" s="36">
        <v>0.06</v>
      </c>
    </row>
    <row r="3499" spans="2:10" x14ac:dyDescent="0.35">
      <c r="B3499" s="18">
        <v>1800621</v>
      </c>
      <c r="C3499" s="19" t="s">
        <v>5200</v>
      </c>
      <c r="D3499" s="5" t="s">
        <v>8</v>
      </c>
      <c r="E3499" s="19" t="s">
        <v>6619</v>
      </c>
      <c r="F3499" s="34" t="s">
        <v>3574</v>
      </c>
      <c r="G3499" s="27">
        <v>77.62</v>
      </c>
      <c r="H3499" s="1" t="s">
        <v>774</v>
      </c>
      <c r="I3499" s="20">
        <v>1</v>
      </c>
      <c r="J3499" s="36">
        <v>0.06</v>
      </c>
    </row>
    <row r="3500" spans="2:10" x14ac:dyDescent="0.35">
      <c r="B3500" s="18">
        <v>1360704</v>
      </c>
      <c r="C3500" s="19" t="s">
        <v>4548</v>
      </c>
      <c r="D3500" s="5" t="s">
        <v>8</v>
      </c>
      <c r="E3500" s="19" t="s">
        <v>6620</v>
      </c>
      <c r="F3500" s="34" t="s">
        <v>3574</v>
      </c>
      <c r="G3500" s="27">
        <v>62.26</v>
      </c>
      <c r="H3500" s="1" t="s">
        <v>774</v>
      </c>
      <c r="I3500" s="20">
        <v>1</v>
      </c>
      <c r="J3500" s="36">
        <v>0.06</v>
      </c>
    </row>
    <row r="3501" spans="2:10" x14ac:dyDescent="0.35">
      <c r="B3501" s="18">
        <v>1586700</v>
      </c>
      <c r="C3501" s="19" t="s">
        <v>5201</v>
      </c>
      <c r="D3501" s="5" t="s">
        <v>8</v>
      </c>
      <c r="E3501" s="19" t="s">
        <v>6621</v>
      </c>
      <c r="F3501" s="34" t="s">
        <v>3574</v>
      </c>
      <c r="G3501" s="27">
        <v>93.91</v>
      </c>
      <c r="H3501" s="1" t="s">
        <v>774</v>
      </c>
      <c r="I3501" s="20">
        <v>1</v>
      </c>
      <c r="J3501" s="36">
        <v>0.06</v>
      </c>
    </row>
    <row r="3502" spans="2:10" x14ac:dyDescent="0.35">
      <c r="B3502" s="18" t="s">
        <v>4123</v>
      </c>
      <c r="C3502" s="19" t="s">
        <v>5202</v>
      </c>
      <c r="D3502" s="5" t="s">
        <v>8</v>
      </c>
      <c r="E3502" s="19" t="s">
        <v>6622</v>
      </c>
      <c r="F3502" s="34" t="s">
        <v>3574</v>
      </c>
      <c r="G3502" s="27">
        <v>186.66</v>
      </c>
      <c r="H3502" s="1" t="s">
        <v>774</v>
      </c>
      <c r="I3502" s="20">
        <v>1</v>
      </c>
      <c r="J3502" s="36">
        <v>0.06</v>
      </c>
    </row>
    <row r="3503" spans="2:10" x14ac:dyDescent="0.35">
      <c r="B3503" s="18" t="s">
        <v>4124</v>
      </c>
      <c r="C3503" s="19" t="s">
        <v>5203</v>
      </c>
      <c r="D3503" s="5" t="s">
        <v>8</v>
      </c>
      <c r="E3503" s="19" t="s">
        <v>6623</v>
      </c>
      <c r="F3503" s="34" t="s">
        <v>3574</v>
      </c>
      <c r="G3503" s="27">
        <v>174.62</v>
      </c>
      <c r="H3503" s="1" t="s">
        <v>774</v>
      </c>
      <c r="I3503" s="20">
        <v>1</v>
      </c>
      <c r="J3503" s="36">
        <v>0.06</v>
      </c>
    </row>
    <row r="3504" spans="2:10" x14ac:dyDescent="0.35">
      <c r="B3504" s="18" t="s">
        <v>4125</v>
      </c>
      <c r="C3504" s="19" t="s">
        <v>5204</v>
      </c>
      <c r="D3504" s="5" t="s">
        <v>8</v>
      </c>
      <c r="E3504" s="19" t="s">
        <v>6624</v>
      </c>
      <c r="F3504" s="34" t="s">
        <v>3574</v>
      </c>
      <c r="G3504" s="27">
        <v>868.41</v>
      </c>
      <c r="H3504" s="1" t="s">
        <v>774</v>
      </c>
      <c r="I3504" s="20">
        <v>1</v>
      </c>
      <c r="J3504" s="36">
        <v>0.06</v>
      </c>
    </row>
    <row r="3505" spans="2:10" x14ac:dyDescent="0.35">
      <c r="B3505" s="18" t="s">
        <v>4126</v>
      </c>
      <c r="C3505" s="19" t="s">
        <v>5204</v>
      </c>
      <c r="D3505" s="5" t="s">
        <v>8</v>
      </c>
      <c r="E3505" s="19" t="s">
        <v>6625</v>
      </c>
      <c r="F3505" s="34" t="s">
        <v>3574</v>
      </c>
      <c r="G3505" s="27">
        <v>1828.73</v>
      </c>
      <c r="H3505" s="1" t="s">
        <v>774</v>
      </c>
      <c r="I3505" s="20">
        <v>1</v>
      </c>
      <c r="J3505" s="36">
        <v>0.06</v>
      </c>
    </row>
    <row r="3506" spans="2:10" x14ac:dyDescent="0.35">
      <c r="B3506" s="18" t="s">
        <v>4127</v>
      </c>
      <c r="C3506" s="19" t="s">
        <v>5204</v>
      </c>
      <c r="D3506" s="5" t="s">
        <v>8</v>
      </c>
      <c r="E3506" s="19" t="s">
        <v>6626</v>
      </c>
      <c r="F3506" s="34" t="s">
        <v>3574</v>
      </c>
      <c r="G3506" s="27">
        <v>2444.4</v>
      </c>
      <c r="H3506" s="1" t="s">
        <v>774</v>
      </c>
      <c r="I3506" s="20">
        <v>1</v>
      </c>
      <c r="J3506" s="36">
        <v>0.06</v>
      </c>
    </row>
    <row r="3507" spans="2:10" x14ac:dyDescent="0.35">
      <c r="B3507" s="18" t="s">
        <v>4128</v>
      </c>
      <c r="C3507" s="19" t="s">
        <v>5204</v>
      </c>
      <c r="D3507" s="5" t="s">
        <v>8</v>
      </c>
      <c r="E3507" s="19" t="s">
        <v>6627</v>
      </c>
      <c r="F3507" s="34" t="s">
        <v>3574</v>
      </c>
      <c r="G3507" s="27">
        <v>1907.66</v>
      </c>
      <c r="H3507" s="1" t="s">
        <v>774</v>
      </c>
      <c r="I3507" s="20">
        <v>1</v>
      </c>
      <c r="J3507" s="36">
        <v>0.06</v>
      </c>
    </row>
    <row r="3508" spans="2:10" x14ac:dyDescent="0.35">
      <c r="B3508" s="18" t="s">
        <v>4129</v>
      </c>
      <c r="C3508" s="19" t="s">
        <v>5204</v>
      </c>
      <c r="D3508" s="5" t="s">
        <v>8</v>
      </c>
      <c r="E3508" s="19" t="s">
        <v>6628</v>
      </c>
      <c r="F3508" s="34" t="s">
        <v>3574</v>
      </c>
      <c r="G3508" s="27">
        <v>2309.21</v>
      </c>
      <c r="H3508" s="1" t="s">
        <v>774</v>
      </c>
      <c r="I3508" s="20">
        <v>1</v>
      </c>
      <c r="J3508" s="36">
        <v>0.06</v>
      </c>
    </row>
    <row r="3509" spans="2:10" x14ac:dyDescent="0.35">
      <c r="B3509" s="18" t="s">
        <v>4130</v>
      </c>
      <c r="C3509" s="19" t="s">
        <v>5205</v>
      </c>
      <c r="D3509" s="5" t="s">
        <v>8</v>
      </c>
      <c r="E3509" s="19" t="s">
        <v>6629</v>
      </c>
      <c r="F3509" s="34" t="s">
        <v>3574</v>
      </c>
      <c r="G3509" s="27">
        <v>2813</v>
      </c>
      <c r="H3509" s="1" t="s">
        <v>774</v>
      </c>
      <c r="I3509" s="20">
        <v>1</v>
      </c>
      <c r="J3509" s="36">
        <v>0.06</v>
      </c>
    </row>
    <row r="3510" spans="2:10" x14ac:dyDescent="0.35">
      <c r="B3510" s="18" t="s">
        <v>4131</v>
      </c>
      <c r="C3510" s="19" t="s">
        <v>5204</v>
      </c>
      <c r="D3510" s="5" t="s">
        <v>8</v>
      </c>
      <c r="E3510" s="19" t="s">
        <v>6630</v>
      </c>
      <c r="F3510" s="34" t="s">
        <v>3574</v>
      </c>
      <c r="G3510" s="27">
        <v>3781.95</v>
      </c>
      <c r="H3510" s="1" t="s">
        <v>774</v>
      </c>
      <c r="I3510" s="20">
        <v>1</v>
      </c>
      <c r="J3510" s="36">
        <v>0.06</v>
      </c>
    </row>
    <row r="3511" spans="2:10" x14ac:dyDescent="0.35">
      <c r="B3511" s="18" t="s">
        <v>4132</v>
      </c>
      <c r="C3511" s="19" t="s">
        <v>5206</v>
      </c>
      <c r="D3511" s="5" t="s">
        <v>8</v>
      </c>
      <c r="E3511" s="19" t="s">
        <v>6631</v>
      </c>
      <c r="F3511" s="34" t="s">
        <v>3574</v>
      </c>
      <c r="G3511" s="27">
        <v>3500</v>
      </c>
      <c r="H3511" s="1" t="s">
        <v>774</v>
      </c>
      <c r="I3511" s="20">
        <v>1</v>
      </c>
      <c r="J3511" s="36">
        <v>0.06</v>
      </c>
    </row>
    <row r="3512" spans="2:10" x14ac:dyDescent="0.35">
      <c r="B3512" s="18" t="s">
        <v>4133</v>
      </c>
      <c r="C3512" s="19" t="s">
        <v>5204</v>
      </c>
      <c r="D3512" s="5" t="s">
        <v>8</v>
      </c>
      <c r="E3512" s="19" t="s">
        <v>6632</v>
      </c>
      <c r="F3512" s="34" t="s">
        <v>3574</v>
      </c>
      <c r="G3512" s="27">
        <v>1128.5999999999999</v>
      </c>
      <c r="H3512" s="1" t="s">
        <v>774</v>
      </c>
      <c r="I3512" s="20">
        <v>1</v>
      </c>
      <c r="J3512" s="36">
        <v>0.06</v>
      </c>
    </row>
    <row r="3513" spans="2:10" x14ac:dyDescent="0.35">
      <c r="B3513" s="18" t="s">
        <v>4134</v>
      </c>
      <c r="C3513" s="19" t="s">
        <v>5207</v>
      </c>
      <c r="D3513" s="5" t="s">
        <v>8</v>
      </c>
      <c r="E3513" s="19" t="s">
        <v>6633</v>
      </c>
      <c r="F3513" s="34" t="s">
        <v>3574</v>
      </c>
      <c r="G3513" s="27">
        <v>1385.56</v>
      </c>
      <c r="H3513" s="1" t="s">
        <v>774</v>
      </c>
      <c r="I3513" s="20">
        <v>1</v>
      </c>
      <c r="J3513" s="36">
        <v>0.06</v>
      </c>
    </row>
    <row r="3514" spans="2:10" x14ac:dyDescent="0.35">
      <c r="B3514" s="18" t="s">
        <v>4135</v>
      </c>
      <c r="C3514" s="19" t="s">
        <v>5208</v>
      </c>
      <c r="D3514" s="5" t="s">
        <v>8</v>
      </c>
      <c r="E3514" s="19" t="s">
        <v>6634</v>
      </c>
      <c r="F3514" s="34" t="s">
        <v>3574</v>
      </c>
      <c r="G3514" s="27">
        <v>2248.41</v>
      </c>
      <c r="H3514" s="1" t="s">
        <v>774</v>
      </c>
      <c r="I3514" s="20">
        <v>1</v>
      </c>
      <c r="J3514" s="36">
        <v>0.06</v>
      </c>
    </row>
    <row r="3515" spans="2:10" x14ac:dyDescent="0.35">
      <c r="B3515" s="18" t="s">
        <v>4136</v>
      </c>
      <c r="C3515" s="19" t="s">
        <v>5209</v>
      </c>
      <c r="D3515" s="5" t="s">
        <v>8</v>
      </c>
      <c r="E3515" s="19" t="s">
        <v>6635</v>
      </c>
      <c r="F3515" s="34" t="s">
        <v>3574</v>
      </c>
      <c r="G3515" s="27">
        <v>4799.26</v>
      </c>
      <c r="H3515" s="1" t="s">
        <v>774</v>
      </c>
      <c r="I3515" s="20">
        <v>1</v>
      </c>
      <c r="J3515" s="36">
        <v>0.06</v>
      </c>
    </row>
    <row r="3516" spans="2:10" x14ac:dyDescent="0.35">
      <c r="B3516" s="18" t="s">
        <v>4137</v>
      </c>
      <c r="C3516" s="19" t="s">
        <v>5204</v>
      </c>
      <c r="D3516" s="5" t="s">
        <v>8</v>
      </c>
      <c r="E3516" s="19" t="s">
        <v>6636</v>
      </c>
      <c r="F3516" s="34" t="s">
        <v>3574</v>
      </c>
      <c r="G3516" s="27">
        <v>3890</v>
      </c>
      <c r="H3516" s="1" t="s">
        <v>774</v>
      </c>
      <c r="I3516" s="20">
        <v>1</v>
      </c>
      <c r="J3516" s="36">
        <v>0.06</v>
      </c>
    </row>
    <row r="3517" spans="2:10" x14ac:dyDescent="0.35">
      <c r="B3517" s="18" t="s">
        <v>4138</v>
      </c>
      <c r="C3517" s="19" t="s">
        <v>5210</v>
      </c>
      <c r="D3517" s="5" t="s">
        <v>8</v>
      </c>
      <c r="E3517" s="19" t="s">
        <v>6637</v>
      </c>
      <c r="F3517" s="34" t="s">
        <v>3574</v>
      </c>
      <c r="G3517" s="27">
        <v>3007</v>
      </c>
      <c r="H3517" s="1" t="s">
        <v>774</v>
      </c>
      <c r="I3517" s="20">
        <v>1</v>
      </c>
      <c r="J3517" s="36">
        <v>0.06</v>
      </c>
    </row>
    <row r="3518" spans="2:10" x14ac:dyDescent="0.35">
      <c r="B3518" s="18" t="s">
        <v>4139</v>
      </c>
      <c r="C3518" s="19" t="s">
        <v>5211</v>
      </c>
      <c r="D3518" s="5" t="s">
        <v>8</v>
      </c>
      <c r="E3518" s="19" t="s">
        <v>6638</v>
      </c>
      <c r="F3518" s="34" t="s">
        <v>3574</v>
      </c>
      <c r="G3518" s="27">
        <v>3265.91</v>
      </c>
      <c r="H3518" s="1" t="s">
        <v>774</v>
      </c>
      <c r="I3518" s="20">
        <v>1</v>
      </c>
      <c r="J3518" s="36">
        <v>0.06</v>
      </c>
    </row>
    <row r="3519" spans="2:10" x14ac:dyDescent="0.35">
      <c r="B3519" s="18" t="s">
        <v>4140</v>
      </c>
      <c r="C3519" s="19" t="s">
        <v>5212</v>
      </c>
      <c r="D3519" s="5" t="s">
        <v>8</v>
      </c>
      <c r="E3519" s="19" t="s">
        <v>6639</v>
      </c>
      <c r="F3519" s="34" t="s">
        <v>3574</v>
      </c>
      <c r="G3519" s="27">
        <v>3007</v>
      </c>
      <c r="H3519" s="1" t="s">
        <v>774</v>
      </c>
      <c r="I3519" s="20">
        <v>1</v>
      </c>
      <c r="J3519" s="36">
        <v>0.06</v>
      </c>
    </row>
    <row r="3520" spans="2:10" x14ac:dyDescent="0.35">
      <c r="B3520" s="18" t="s">
        <v>4141</v>
      </c>
      <c r="C3520" s="19" t="s">
        <v>5213</v>
      </c>
      <c r="D3520" s="5" t="s">
        <v>8</v>
      </c>
      <c r="E3520" s="19" t="s">
        <v>6640</v>
      </c>
      <c r="F3520" s="34" t="s">
        <v>3574</v>
      </c>
      <c r="G3520" s="27">
        <v>63.87</v>
      </c>
      <c r="H3520" s="1" t="s">
        <v>774</v>
      </c>
      <c r="I3520" s="20">
        <v>1</v>
      </c>
      <c r="J3520" s="36">
        <v>0.06</v>
      </c>
    </row>
    <row r="3521" spans="2:10" x14ac:dyDescent="0.35">
      <c r="B3521" s="18">
        <v>1800553</v>
      </c>
      <c r="C3521" s="19" t="s">
        <v>5214</v>
      </c>
      <c r="D3521" s="5" t="s">
        <v>8</v>
      </c>
      <c r="E3521" s="19" t="s">
        <v>6641</v>
      </c>
      <c r="F3521" s="34" t="s">
        <v>3574</v>
      </c>
      <c r="G3521" s="27">
        <v>94.72</v>
      </c>
      <c r="H3521" s="1" t="s">
        <v>774</v>
      </c>
      <c r="I3521" s="20">
        <v>1</v>
      </c>
      <c r="J3521" s="36">
        <v>0.06</v>
      </c>
    </row>
    <row r="3522" spans="2:10" x14ac:dyDescent="0.35">
      <c r="B3522" s="18">
        <v>1800670</v>
      </c>
      <c r="C3522" s="19" t="s">
        <v>5215</v>
      </c>
      <c r="D3522" s="5" t="s">
        <v>8</v>
      </c>
      <c r="E3522" s="19" t="s">
        <v>6642</v>
      </c>
      <c r="F3522" s="34" t="s">
        <v>3574</v>
      </c>
      <c r="G3522" s="27">
        <v>94.72</v>
      </c>
      <c r="H3522" s="1" t="s">
        <v>774</v>
      </c>
      <c r="I3522" s="20">
        <v>1</v>
      </c>
      <c r="J3522" s="36">
        <v>0.06</v>
      </c>
    </row>
    <row r="3523" spans="2:10" x14ac:dyDescent="0.35">
      <c r="B3523" s="18" t="s">
        <v>4142</v>
      </c>
      <c r="C3523" s="19" t="s">
        <v>5216</v>
      </c>
      <c r="D3523" s="5" t="s">
        <v>8</v>
      </c>
      <c r="E3523" s="19" t="s">
        <v>6643</v>
      </c>
      <c r="F3523" s="34" t="s">
        <v>3574</v>
      </c>
      <c r="G3523" s="27">
        <v>89.8</v>
      </c>
      <c r="H3523" s="1" t="s">
        <v>774</v>
      </c>
      <c r="I3523" s="20">
        <v>1</v>
      </c>
      <c r="J3523" s="36">
        <v>0.06</v>
      </c>
    </row>
    <row r="3524" spans="2:10" x14ac:dyDescent="0.35">
      <c r="B3524" s="18">
        <v>1587028</v>
      </c>
      <c r="C3524" s="19" t="s">
        <v>5217</v>
      </c>
      <c r="D3524" s="5" t="s">
        <v>8</v>
      </c>
      <c r="E3524" s="19" t="s">
        <v>6644</v>
      </c>
      <c r="F3524" s="34" t="s">
        <v>3574</v>
      </c>
      <c r="G3524" s="27">
        <v>117.18</v>
      </c>
      <c r="H3524" s="1" t="s">
        <v>774</v>
      </c>
      <c r="I3524" s="20">
        <v>1</v>
      </c>
      <c r="J3524" s="36">
        <v>0.06</v>
      </c>
    </row>
    <row r="3525" spans="2:10" x14ac:dyDescent="0.35">
      <c r="B3525" s="18">
        <v>1360617</v>
      </c>
      <c r="C3525" s="19" t="s">
        <v>5218</v>
      </c>
      <c r="D3525" s="5" t="s">
        <v>8</v>
      </c>
      <c r="E3525" s="19" t="s">
        <v>6645</v>
      </c>
      <c r="F3525" s="34" t="s">
        <v>3574</v>
      </c>
      <c r="G3525" s="27">
        <v>73.349999999999994</v>
      </c>
      <c r="H3525" s="1" t="s">
        <v>774</v>
      </c>
      <c r="I3525" s="20">
        <v>1</v>
      </c>
      <c r="J3525" s="36">
        <v>0.06</v>
      </c>
    </row>
    <row r="3526" spans="2:10" x14ac:dyDescent="0.35">
      <c r="B3526" s="18">
        <v>800001329</v>
      </c>
      <c r="C3526" s="19" t="s">
        <v>5219</v>
      </c>
      <c r="D3526" s="5" t="s">
        <v>8</v>
      </c>
      <c r="E3526" s="19" t="s">
        <v>6646</v>
      </c>
      <c r="F3526" s="34" t="s">
        <v>3574</v>
      </c>
      <c r="G3526" s="27">
        <v>124.02</v>
      </c>
      <c r="H3526" s="1" t="s">
        <v>774</v>
      </c>
      <c r="I3526" s="20">
        <v>1</v>
      </c>
      <c r="J3526" s="36">
        <v>0.06</v>
      </c>
    </row>
    <row r="3527" spans="2:10" x14ac:dyDescent="0.35">
      <c r="B3527" s="18">
        <v>1361104</v>
      </c>
      <c r="C3527" s="19" t="s">
        <v>5220</v>
      </c>
      <c r="D3527" s="5" t="s">
        <v>8</v>
      </c>
      <c r="E3527" s="19" t="s">
        <v>6647</v>
      </c>
      <c r="F3527" s="34" t="s">
        <v>3574</v>
      </c>
      <c r="G3527" s="27">
        <v>57.46</v>
      </c>
      <c r="H3527" s="1" t="s">
        <v>774</v>
      </c>
      <c r="I3527" s="20">
        <v>1</v>
      </c>
      <c r="J3527" s="36">
        <v>0.06</v>
      </c>
    </row>
    <row r="3528" spans="2:10" x14ac:dyDescent="0.35">
      <c r="B3528" s="18">
        <v>1361113</v>
      </c>
      <c r="C3528" s="19" t="s">
        <v>5221</v>
      </c>
      <c r="D3528" s="5" t="s">
        <v>8</v>
      </c>
      <c r="E3528" s="19" t="s">
        <v>6648</v>
      </c>
      <c r="F3528" s="34" t="s">
        <v>3574</v>
      </c>
      <c r="G3528" s="27">
        <v>90.58</v>
      </c>
      <c r="H3528" s="1" t="s">
        <v>774</v>
      </c>
      <c r="I3528" s="20">
        <v>1</v>
      </c>
      <c r="J3528" s="36">
        <v>0.06</v>
      </c>
    </row>
    <row r="3529" spans="2:10" x14ac:dyDescent="0.35">
      <c r="B3529" s="18" t="s">
        <v>4143</v>
      </c>
      <c r="C3529" s="19" t="s">
        <v>4549</v>
      </c>
      <c r="D3529" s="5" t="s">
        <v>8</v>
      </c>
      <c r="E3529" s="19" t="s">
        <v>6649</v>
      </c>
      <c r="F3529" s="34" t="s">
        <v>3574</v>
      </c>
      <c r="G3529" s="27">
        <v>126.84</v>
      </c>
      <c r="H3529" s="1" t="s">
        <v>774</v>
      </c>
      <c r="I3529" s="20">
        <v>1</v>
      </c>
      <c r="J3529" s="36">
        <v>0.06</v>
      </c>
    </row>
    <row r="3530" spans="2:10" x14ac:dyDescent="0.35">
      <c r="B3530" s="18">
        <v>2002149</v>
      </c>
      <c r="C3530" s="19" t="s">
        <v>5222</v>
      </c>
      <c r="D3530" s="5" t="s">
        <v>8</v>
      </c>
      <c r="E3530" s="19" t="s">
        <v>6650</v>
      </c>
      <c r="F3530" s="34" t="s">
        <v>3574</v>
      </c>
      <c r="G3530" s="27">
        <v>9.41</v>
      </c>
      <c r="H3530" s="1" t="s">
        <v>774</v>
      </c>
      <c r="I3530" s="20">
        <v>1</v>
      </c>
      <c r="J3530" s="36">
        <v>0.06</v>
      </c>
    </row>
    <row r="3531" spans="2:10" x14ac:dyDescent="0.35">
      <c r="B3531" s="18">
        <v>800000992</v>
      </c>
      <c r="C3531" s="19" t="s">
        <v>5223</v>
      </c>
      <c r="D3531" s="5" t="s">
        <v>8</v>
      </c>
      <c r="E3531" s="19" t="s">
        <v>6651</v>
      </c>
      <c r="F3531" s="34" t="s">
        <v>3574</v>
      </c>
      <c r="G3531" s="27">
        <v>121.74</v>
      </c>
      <c r="H3531" s="1" t="s">
        <v>774</v>
      </c>
      <c r="I3531" s="20">
        <v>1</v>
      </c>
      <c r="J3531" s="36">
        <v>0.06</v>
      </c>
    </row>
    <row r="3532" spans="2:10" x14ac:dyDescent="0.35">
      <c r="B3532" s="18">
        <v>800000399</v>
      </c>
      <c r="C3532" s="19" t="s">
        <v>5224</v>
      </c>
      <c r="D3532" s="5" t="s">
        <v>8</v>
      </c>
      <c r="E3532" s="19" t="s">
        <v>6652</v>
      </c>
      <c r="F3532" s="34" t="s">
        <v>3574</v>
      </c>
      <c r="G3532" s="27">
        <v>124.93</v>
      </c>
      <c r="H3532" s="1" t="s">
        <v>774</v>
      </c>
      <c r="I3532" s="20">
        <v>1</v>
      </c>
      <c r="J3532" s="36">
        <v>0.06</v>
      </c>
    </row>
    <row r="3533" spans="2:10" x14ac:dyDescent="0.35">
      <c r="B3533" s="18">
        <v>1800671</v>
      </c>
      <c r="C3533" s="19" t="s">
        <v>5225</v>
      </c>
      <c r="D3533" s="5" t="s">
        <v>8</v>
      </c>
      <c r="E3533" s="19" t="s">
        <v>6653</v>
      </c>
      <c r="F3533" s="34" t="s">
        <v>3574</v>
      </c>
      <c r="G3533" s="27">
        <v>103.98</v>
      </c>
      <c r="H3533" s="1" t="s">
        <v>774</v>
      </c>
      <c r="I3533" s="20">
        <v>1</v>
      </c>
      <c r="J3533" s="36">
        <v>0.06</v>
      </c>
    </row>
    <row r="3534" spans="2:10" x14ac:dyDescent="0.35">
      <c r="B3534" s="18">
        <v>1800631</v>
      </c>
      <c r="C3534" s="19" t="s">
        <v>5226</v>
      </c>
      <c r="D3534" s="5" t="s">
        <v>8</v>
      </c>
      <c r="E3534" s="19" t="s">
        <v>6654</v>
      </c>
      <c r="F3534" s="34" t="s">
        <v>3574</v>
      </c>
      <c r="G3534" s="27">
        <v>66.36</v>
      </c>
      <c r="H3534" s="1" t="s">
        <v>774</v>
      </c>
      <c r="I3534" s="20">
        <v>1</v>
      </c>
      <c r="J3534" s="36">
        <v>0.06</v>
      </c>
    </row>
    <row r="3535" spans="2:10" x14ac:dyDescent="0.35">
      <c r="B3535" s="18" t="s">
        <v>4144</v>
      </c>
      <c r="C3535" s="19" t="s">
        <v>5227</v>
      </c>
      <c r="D3535" s="5" t="s">
        <v>8</v>
      </c>
      <c r="E3535" s="19" t="s">
        <v>6654</v>
      </c>
      <c r="F3535" s="34" t="s">
        <v>3574</v>
      </c>
      <c r="G3535" s="27">
        <v>66.36</v>
      </c>
      <c r="H3535" s="1" t="s">
        <v>774</v>
      </c>
      <c r="I3535" s="20">
        <v>1</v>
      </c>
      <c r="J3535" s="36">
        <v>0.06</v>
      </c>
    </row>
    <row r="3536" spans="2:10" x14ac:dyDescent="0.35">
      <c r="B3536" s="18">
        <v>1800626</v>
      </c>
      <c r="C3536" s="19" t="s">
        <v>5228</v>
      </c>
      <c r="D3536" s="5" t="s">
        <v>8</v>
      </c>
      <c r="E3536" s="19" t="s">
        <v>6655</v>
      </c>
      <c r="F3536" s="34" t="s">
        <v>3574</v>
      </c>
      <c r="G3536" s="27">
        <v>48.02</v>
      </c>
      <c r="H3536" s="1" t="s">
        <v>774</v>
      </c>
      <c r="I3536" s="20">
        <v>1</v>
      </c>
      <c r="J3536" s="36">
        <v>0.06</v>
      </c>
    </row>
    <row r="3537" spans="2:10" x14ac:dyDescent="0.35">
      <c r="B3537" s="18">
        <v>800000069</v>
      </c>
      <c r="C3537" s="19" t="s">
        <v>5229</v>
      </c>
      <c r="D3537" s="5" t="s">
        <v>8</v>
      </c>
      <c r="E3537" s="19" t="s">
        <v>6656</v>
      </c>
      <c r="F3537" s="34" t="s">
        <v>3574</v>
      </c>
      <c r="G3537" s="27">
        <v>93.289999999999992</v>
      </c>
      <c r="H3537" s="1" t="s">
        <v>774</v>
      </c>
      <c r="I3537" s="20">
        <v>1</v>
      </c>
      <c r="J3537" s="36">
        <v>0.06</v>
      </c>
    </row>
    <row r="3538" spans="2:10" x14ac:dyDescent="0.35">
      <c r="B3538" s="18">
        <v>1800623</v>
      </c>
      <c r="C3538" s="19" t="s">
        <v>5230</v>
      </c>
      <c r="D3538" s="5" t="s">
        <v>8</v>
      </c>
      <c r="E3538" s="19" t="s">
        <v>6657</v>
      </c>
      <c r="F3538" s="34" t="s">
        <v>3574</v>
      </c>
      <c r="G3538" s="27">
        <v>84.79</v>
      </c>
      <c r="H3538" s="1" t="s">
        <v>774</v>
      </c>
      <c r="I3538" s="20">
        <v>1</v>
      </c>
      <c r="J3538" s="36">
        <v>0.06</v>
      </c>
    </row>
    <row r="3539" spans="2:10" x14ac:dyDescent="0.35">
      <c r="B3539" s="18">
        <v>1800524</v>
      </c>
      <c r="C3539" s="19" t="s">
        <v>5231</v>
      </c>
      <c r="D3539" s="5" t="s">
        <v>8</v>
      </c>
      <c r="E3539" s="19" t="s">
        <v>6658</v>
      </c>
      <c r="F3539" s="34" t="s">
        <v>3574</v>
      </c>
      <c r="G3539" s="27">
        <v>62.42</v>
      </c>
      <c r="H3539" s="1" t="s">
        <v>774</v>
      </c>
      <c r="I3539" s="20">
        <v>1</v>
      </c>
      <c r="J3539" s="36">
        <v>0.06</v>
      </c>
    </row>
    <row r="3540" spans="2:10" x14ac:dyDescent="0.35">
      <c r="B3540" s="18">
        <v>1800538</v>
      </c>
      <c r="C3540" s="19" t="s">
        <v>5232</v>
      </c>
      <c r="D3540" s="5" t="s">
        <v>8</v>
      </c>
      <c r="E3540" s="19" t="s">
        <v>6659</v>
      </c>
      <c r="F3540" s="34" t="s">
        <v>3574</v>
      </c>
      <c r="G3540" s="27">
        <v>174.56</v>
      </c>
      <c r="H3540" s="1" t="s">
        <v>774</v>
      </c>
      <c r="I3540" s="20">
        <v>1</v>
      </c>
      <c r="J3540" s="36">
        <v>0.06</v>
      </c>
    </row>
    <row r="3541" spans="2:10" x14ac:dyDescent="0.35">
      <c r="B3541" s="18">
        <v>4002316</v>
      </c>
      <c r="C3541" s="19" t="s">
        <v>5233</v>
      </c>
      <c r="D3541" s="5" t="s">
        <v>8</v>
      </c>
      <c r="E3541" s="19" t="s">
        <v>6660</v>
      </c>
      <c r="F3541" s="34" t="s">
        <v>3574</v>
      </c>
      <c r="G3541" s="27">
        <v>174.9</v>
      </c>
      <c r="H3541" s="1" t="s">
        <v>774</v>
      </c>
      <c r="I3541" s="20">
        <v>1</v>
      </c>
      <c r="J3541" s="36">
        <v>0.06</v>
      </c>
    </row>
    <row r="3542" spans="2:10" x14ac:dyDescent="0.35">
      <c r="B3542" s="18">
        <v>800000327</v>
      </c>
      <c r="C3542" s="19" t="s">
        <v>5234</v>
      </c>
      <c r="D3542" s="5" t="s">
        <v>8</v>
      </c>
      <c r="E3542" s="19" t="s">
        <v>6661</v>
      </c>
      <c r="F3542" s="34" t="s">
        <v>3574</v>
      </c>
      <c r="G3542" s="27">
        <v>192.38</v>
      </c>
      <c r="H3542" s="1" t="s">
        <v>774</v>
      </c>
      <c r="I3542" s="20">
        <v>1</v>
      </c>
      <c r="J3542" s="36">
        <v>0.06</v>
      </c>
    </row>
    <row r="3543" spans="2:10" x14ac:dyDescent="0.35">
      <c r="B3543" s="18">
        <v>800002090</v>
      </c>
      <c r="C3543" s="19" t="s">
        <v>5235</v>
      </c>
      <c r="D3543" s="5" t="s">
        <v>8</v>
      </c>
      <c r="E3543" s="19" t="s">
        <v>6662</v>
      </c>
      <c r="F3543" s="34" t="s">
        <v>3574</v>
      </c>
      <c r="G3543" s="27">
        <v>192.61</v>
      </c>
      <c r="H3543" s="1" t="s">
        <v>774</v>
      </c>
      <c r="I3543" s="20">
        <v>1</v>
      </c>
      <c r="J3543" s="36">
        <v>0.06</v>
      </c>
    </row>
    <row r="3544" spans="2:10" x14ac:dyDescent="0.35">
      <c r="B3544" s="18">
        <v>1800634</v>
      </c>
      <c r="C3544" s="19" t="s">
        <v>5236</v>
      </c>
      <c r="D3544" s="5" t="s">
        <v>8</v>
      </c>
      <c r="E3544" s="19" t="s">
        <v>6663</v>
      </c>
      <c r="F3544" s="34" t="s">
        <v>3574</v>
      </c>
      <c r="G3544" s="27">
        <v>180.36</v>
      </c>
      <c r="H3544" s="1" t="s">
        <v>774</v>
      </c>
      <c r="I3544" s="20">
        <v>1</v>
      </c>
      <c r="J3544" s="36">
        <v>0.06</v>
      </c>
    </row>
    <row r="3545" spans="2:10" x14ac:dyDescent="0.35">
      <c r="B3545" s="18">
        <v>3604150</v>
      </c>
      <c r="C3545" s="19" t="s">
        <v>5237</v>
      </c>
      <c r="D3545" s="5" t="s">
        <v>8</v>
      </c>
      <c r="E3545" s="19" t="s">
        <v>6664</v>
      </c>
      <c r="F3545" s="34" t="s">
        <v>3574</v>
      </c>
      <c r="G3545" s="27">
        <v>188.1</v>
      </c>
      <c r="H3545" s="1" t="s">
        <v>774</v>
      </c>
      <c r="I3545" s="20">
        <v>1</v>
      </c>
      <c r="J3545" s="36">
        <v>0.06</v>
      </c>
    </row>
    <row r="3546" spans="2:10" x14ac:dyDescent="0.35">
      <c r="B3546" s="18">
        <v>1800614</v>
      </c>
      <c r="C3546" s="19" t="s">
        <v>5238</v>
      </c>
      <c r="D3546" s="5" t="s">
        <v>8</v>
      </c>
      <c r="E3546" s="19" t="s">
        <v>6665</v>
      </c>
      <c r="F3546" s="34" t="s">
        <v>3574</v>
      </c>
      <c r="G3546" s="27">
        <v>116.67</v>
      </c>
      <c r="H3546" s="1" t="s">
        <v>774</v>
      </c>
      <c r="I3546" s="20">
        <v>1</v>
      </c>
      <c r="J3546" s="36">
        <v>0.06</v>
      </c>
    </row>
    <row r="3547" spans="2:10" x14ac:dyDescent="0.35">
      <c r="B3547" s="18">
        <v>800004212</v>
      </c>
      <c r="C3547" s="19" t="s">
        <v>5239</v>
      </c>
      <c r="D3547" s="5" t="s">
        <v>8</v>
      </c>
      <c r="E3547" s="19" t="s">
        <v>6666</v>
      </c>
      <c r="F3547" s="34" t="s">
        <v>3574</v>
      </c>
      <c r="G3547" s="27">
        <v>165.63</v>
      </c>
      <c r="H3547" s="1" t="s">
        <v>774</v>
      </c>
      <c r="I3547" s="20">
        <v>1</v>
      </c>
      <c r="J3547" s="36">
        <v>0.06</v>
      </c>
    </row>
    <row r="3548" spans="2:10" x14ac:dyDescent="0.35">
      <c r="B3548" s="18">
        <v>800000991</v>
      </c>
      <c r="C3548" s="19" t="s">
        <v>5240</v>
      </c>
      <c r="D3548" s="5" t="s">
        <v>8</v>
      </c>
      <c r="E3548" s="19" t="s">
        <v>6667</v>
      </c>
      <c r="F3548" s="34" t="s">
        <v>3574</v>
      </c>
      <c r="G3548" s="27">
        <v>167.63</v>
      </c>
      <c r="H3548" s="1" t="s">
        <v>774</v>
      </c>
      <c r="I3548" s="20">
        <v>1</v>
      </c>
      <c r="J3548" s="36">
        <v>0.06</v>
      </c>
    </row>
    <row r="3549" spans="2:10" x14ac:dyDescent="0.35">
      <c r="B3549" s="18">
        <v>1800606</v>
      </c>
      <c r="C3549" s="19" t="s">
        <v>5241</v>
      </c>
      <c r="D3549" s="5" t="s">
        <v>8</v>
      </c>
      <c r="E3549" s="19" t="s">
        <v>6668</v>
      </c>
      <c r="F3549" s="34" t="s">
        <v>3574</v>
      </c>
      <c r="G3549" s="27">
        <v>160.22</v>
      </c>
      <c r="H3549" s="1" t="s">
        <v>774</v>
      </c>
      <c r="I3549" s="20">
        <v>1</v>
      </c>
      <c r="J3549" s="36">
        <v>0.06</v>
      </c>
    </row>
    <row r="3550" spans="2:10" x14ac:dyDescent="0.35">
      <c r="B3550" s="18">
        <v>1800604</v>
      </c>
      <c r="C3550" s="19" t="s">
        <v>5242</v>
      </c>
      <c r="D3550" s="5" t="s">
        <v>8</v>
      </c>
      <c r="E3550" s="19" t="s">
        <v>6669</v>
      </c>
      <c r="F3550" s="34" t="s">
        <v>3574</v>
      </c>
      <c r="G3550" s="27">
        <v>29.83</v>
      </c>
      <c r="H3550" s="1" t="s">
        <v>774</v>
      </c>
      <c r="I3550" s="20">
        <v>1</v>
      </c>
      <c r="J3550" s="36">
        <v>0.06</v>
      </c>
    </row>
    <row r="3551" spans="2:10" x14ac:dyDescent="0.35">
      <c r="B3551" s="18" t="s">
        <v>4145</v>
      </c>
      <c r="C3551" s="19" t="s">
        <v>5243</v>
      </c>
      <c r="D3551" s="5" t="s">
        <v>8</v>
      </c>
      <c r="E3551" s="19" t="s">
        <v>6670</v>
      </c>
      <c r="F3551" s="34" t="s">
        <v>3574</v>
      </c>
      <c r="G3551" s="27">
        <v>35.39</v>
      </c>
      <c r="H3551" s="1" t="s">
        <v>774</v>
      </c>
      <c r="I3551" s="20">
        <v>1</v>
      </c>
      <c r="J3551" s="36">
        <v>0.06</v>
      </c>
    </row>
    <row r="3552" spans="2:10" x14ac:dyDescent="0.35">
      <c r="B3552" s="18">
        <v>1800588</v>
      </c>
      <c r="C3552" s="19" t="s">
        <v>5244</v>
      </c>
      <c r="D3552" s="5" t="s">
        <v>8</v>
      </c>
      <c r="E3552" s="19" t="s">
        <v>6671</v>
      </c>
      <c r="F3552" s="34" t="s">
        <v>3574</v>
      </c>
      <c r="G3552" s="27">
        <v>41.09</v>
      </c>
      <c r="H3552" s="1" t="s">
        <v>774</v>
      </c>
      <c r="I3552" s="20">
        <v>1</v>
      </c>
      <c r="J3552" s="36">
        <v>0.06</v>
      </c>
    </row>
    <row r="3553" spans="2:10" x14ac:dyDescent="0.35">
      <c r="B3553" s="18" t="s">
        <v>4146</v>
      </c>
      <c r="C3553" s="19" t="s">
        <v>4772</v>
      </c>
      <c r="D3553" s="5" t="s">
        <v>8</v>
      </c>
      <c r="E3553" s="19" t="s">
        <v>6672</v>
      </c>
      <c r="F3553" s="34" t="s">
        <v>3574</v>
      </c>
      <c r="G3553" s="27">
        <v>2.8499999999999996</v>
      </c>
      <c r="H3553" s="1" t="s">
        <v>774</v>
      </c>
      <c r="I3553" s="20">
        <v>1</v>
      </c>
      <c r="J3553" s="36">
        <v>0.06</v>
      </c>
    </row>
    <row r="3554" spans="2:10" x14ac:dyDescent="0.35">
      <c r="B3554" s="18" t="s">
        <v>4147</v>
      </c>
      <c r="C3554" s="19" t="s">
        <v>5245</v>
      </c>
      <c r="D3554" s="5" t="s">
        <v>8</v>
      </c>
      <c r="E3554" s="19" t="s">
        <v>6673</v>
      </c>
      <c r="F3554" s="34" t="s">
        <v>3574</v>
      </c>
      <c r="G3554" s="27">
        <v>116.9</v>
      </c>
      <c r="H3554" s="1" t="s">
        <v>774</v>
      </c>
      <c r="I3554" s="20">
        <v>1</v>
      </c>
      <c r="J3554" s="36">
        <v>0.06</v>
      </c>
    </row>
    <row r="3555" spans="2:10" x14ac:dyDescent="0.35">
      <c r="B3555" s="18">
        <v>4020046</v>
      </c>
      <c r="C3555" s="19" t="s">
        <v>5246</v>
      </c>
      <c r="D3555" s="5" t="s">
        <v>8</v>
      </c>
      <c r="E3555" s="19" t="s">
        <v>6674</v>
      </c>
      <c r="F3555" s="34" t="s">
        <v>3574</v>
      </c>
      <c r="G3555" s="27">
        <v>70.069999999999993</v>
      </c>
      <c r="H3555" s="1" t="s">
        <v>774</v>
      </c>
      <c r="I3555" s="20">
        <v>1</v>
      </c>
      <c r="J3555" s="36">
        <v>0.06</v>
      </c>
    </row>
    <row r="3556" spans="2:10" x14ac:dyDescent="0.35">
      <c r="B3556" s="18">
        <v>800000693</v>
      </c>
      <c r="C3556" s="19" t="s">
        <v>5247</v>
      </c>
      <c r="D3556" s="5" t="s">
        <v>8</v>
      </c>
      <c r="E3556" s="19" t="s">
        <v>6675</v>
      </c>
      <c r="F3556" s="34" t="s">
        <v>3574</v>
      </c>
      <c r="G3556" s="27">
        <v>117.03999999999999</v>
      </c>
      <c r="H3556" s="1" t="s">
        <v>774</v>
      </c>
      <c r="I3556" s="20">
        <v>1</v>
      </c>
      <c r="J3556" s="36">
        <v>0.06</v>
      </c>
    </row>
    <row r="3557" spans="2:10" x14ac:dyDescent="0.35">
      <c r="B3557" s="18" t="s">
        <v>4148</v>
      </c>
      <c r="C3557" s="19" t="s">
        <v>5248</v>
      </c>
      <c r="D3557" s="5" t="s">
        <v>8</v>
      </c>
      <c r="E3557" s="19" t="s">
        <v>6676</v>
      </c>
      <c r="F3557" s="34" t="s">
        <v>3574</v>
      </c>
      <c r="G3557" s="27">
        <v>49.97</v>
      </c>
      <c r="H3557" s="1" t="s">
        <v>774</v>
      </c>
      <c r="I3557" s="20">
        <v>1</v>
      </c>
      <c r="J3557" s="36">
        <v>0.06</v>
      </c>
    </row>
    <row r="3558" spans="2:10" x14ac:dyDescent="0.35">
      <c r="B3558" s="18">
        <v>3604169</v>
      </c>
      <c r="C3558" s="19" t="s">
        <v>5249</v>
      </c>
      <c r="D3558" s="5" t="s">
        <v>8</v>
      </c>
      <c r="E3558" s="19" t="s">
        <v>6677</v>
      </c>
      <c r="F3558" s="34" t="s">
        <v>3574</v>
      </c>
      <c r="G3558" s="27">
        <v>58.24</v>
      </c>
      <c r="H3558" s="1" t="s">
        <v>774</v>
      </c>
      <c r="I3558" s="20">
        <v>1</v>
      </c>
      <c r="J3558" s="36">
        <v>0.06</v>
      </c>
    </row>
    <row r="3559" spans="2:10" x14ac:dyDescent="0.35">
      <c r="B3559" s="18">
        <v>3604292</v>
      </c>
      <c r="C3559" s="19" t="s">
        <v>5250</v>
      </c>
      <c r="D3559" s="5" t="s">
        <v>8</v>
      </c>
      <c r="E3559" s="19" t="s">
        <v>6678</v>
      </c>
      <c r="F3559" s="34" t="s">
        <v>3574</v>
      </c>
      <c r="G3559" s="27">
        <v>133.76</v>
      </c>
      <c r="H3559" s="1" t="s">
        <v>774</v>
      </c>
      <c r="I3559" s="20">
        <v>1</v>
      </c>
      <c r="J3559" s="36">
        <v>0.06</v>
      </c>
    </row>
    <row r="3560" spans="2:10" x14ac:dyDescent="0.35">
      <c r="B3560" s="18">
        <v>3603038</v>
      </c>
      <c r="C3560" s="19" t="s">
        <v>5251</v>
      </c>
      <c r="D3560" s="5" t="s">
        <v>8</v>
      </c>
      <c r="E3560" s="19" t="s">
        <v>6679</v>
      </c>
      <c r="F3560" s="34" t="s">
        <v>3574</v>
      </c>
      <c r="G3560" s="27">
        <v>1126.8</v>
      </c>
      <c r="H3560" s="1" t="s">
        <v>774</v>
      </c>
      <c r="I3560" s="20">
        <v>1</v>
      </c>
      <c r="J3560" s="36">
        <v>0.06</v>
      </c>
    </row>
    <row r="3561" spans="2:10" x14ac:dyDescent="0.35">
      <c r="B3561" s="18">
        <v>3603262</v>
      </c>
      <c r="C3561" s="19" t="s">
        <v>5252</v>
      </c>
      <c r="D3561" s="5" t="s">
        <v>8</v>
      </c>
      <c r="E3561" s="19" t="s">
        <v>6680</v>
      </c>
      <c r="F3561" s="34" t="s">
        <v>3574</v>
      </c>
      <c r="G3561" s="27">
        <v>3101.56</v>
      </c>
      <c r="H3561" s="1" t="s">
        <v>774</v>
      </c>
      <c r="I3561" s="20">
        <v>1</v>
      </c>
      <c r="J3561" s="36">
        <v>0.06</v>
      </c>
    </row>
    <row r="3562" spans="2:10" x14ac:dyDescent="0.35">
      <c r="B3562" s="18">
        <v>3604173</v>
      </c>
      <c r="C3562" s="19" t="s">
        <v>5253</v>
      </c>
      <c r="D3562" s="5" t="s">
        <v>8</v>
      </c>
      <c r="E3562" s="19" t="s">
        <v>6681</v>
      </c>
      <c r="F3562" s="34" t="s">
        <v>3574</v>
      </c>
      <c r="G3562" s="27">
        <v>2287.84</v>
      </c>
      <c r="H3562" s="1" t="s">
        <v>774</v>
      </c>
      <c r="I3562" s="20">
        <v>1</v>
      </c>
      <c r="J3562" s="36">
        <v>0.06</v>
      </c>
    </row>
    <row r="3563" spans="2:10" x14ac:dyDescent="0.35">
      <c r="B3563" s="18">
        <v>2101296</v>
      </c>
      <c r="C3563" s="19" t="s">
        <v>5254</v>
      </c>
      <c r="D3563" s="5" t="s">
        <v>8</v>
      </c>
      <c r="E3563" s="19" t="s">
        <v>6682</v>
      </c>
      <c r="F3563" s="34" t="s">
        <v>3574</v>
      </c>
      <c r="G3563" s="27">
        <v>1512.2099999999998</v>
      </c>
      <c r="H3563" s="1" t="s">
        <v>774</v>
      </c>
      <c r="I3563" s="20">
        <v>1</v>
      </c>
      <c r="J3563" s="36">
        <v>0.06</v>
      </c>
    </row>
    <row r="3564" spans="2:10" x14ac:dyDescent="0.35">
      <c r="B3564" s="18">
        <v>3604721</v>
      </c>
      <c r="C3564" s="19" t="s">
        <v>5255</v>
      </c>
      <c r="D3564" s="5" t="s">
        <v>8</v>
      </c>
      <c r="E3564" s="19" t="s">
        <v>6683</v>
      </c>
      <c r="F3564" s="34" t="s">
        <v>3574</v>
      </c>
      <c r="G3564" s="27">
        <v>139.13</v>
      </c>
      <c r="H3564" s="1" t="s">
        <v>774</v>
      </c>
      <c r="I3564" s="20">
        <v>1</v>
      </c>
      <c r="J3564" s="36">
        <v>0.06</v>
      </c>
    </row>
    <row r="3565" spans="2:10" x14ac:dyDescent="0.35">
      <c r="B3565" s="18">
        <v>4001269</v>
      </c>
      <c r="C3565" s="19" t="s">
        <v>5256</v>
      </c>
      <c r="D3565" s="5" t="s">
        <v>8</v>
      </c>
      <c r="E3565" s="19" t="s">
        <v>6684</v>
      </c>
      <c r="F3565" s="34" t="s">
        <v>3574</v>
      </c>
      <c r="G3565" s="27">
        <v>57.49</v>
      </c>
      <c r="H3565" s="1" t="s">
        <v>774</v>
      </c>
      <c r="I3565" s="20">
        <v>1</v>
      </c>
      <c r="J3565" s="36">
        <v>0.06</v>
      </c>
    </row>
    <row r="3566" spans="2:10" x14ac:dyDescent="0.35">
      <c r="B3566" s="18">
        <v>1361105</v>
      </c>
      <c r="C3566" s="19" t="s">
        <v>5257</v>
      </c>
      <c r="D3566" s="5" t="s">
        <v>8</v>
      </c>
      <c r="E3566" s="19" t="s">
        <v>6685</v>
      </c>
      <c r="F3566" s="34" t="s">
        <v>3574</v>
      </c>
      <c r="G3566" s="27">
        <v>104.7</v>
      </c>
      <c r="H3566" s="1" t="s">
        <v>774</v>
      </c>
      <c r="I3566" s="20">
        <v>1</v>
      </c>
      <c r="J3566" s="36">
        <v>0.06</v>
      </c>
    </row>
    <row r="3567" spans="2:10" x14ac:dyDescent="0.35">
      <c r="B3567" s="18">
        <v>1361114</v>
      </c>
      <c r="C3567" s="19" t="s">
        <v>5258</v>
      </c>
      <c r="D3567" s="5" t="s">
        <v>8</v>
      </c>
      <c r="E3567" s="19" t="s">
        <v>6686</v>
      </c>
      <c r="F3567" s="34" t="s">
        <v>3574</v>
      </c>
      <c r="G3567" s="27">
        <v>197.6</v>
      </c>
      <c r="H3567" s="1" t="s">
        <v>774</v>
      </c>
      <c r="I3567" s="20">
        <v>1</v>
      </c>
      <c r="J3567" s="36">
        <v>0.06</v>
      </c>
    </row>
    <row r="3568" spans="2:10" x14ac:dyDescent="0.35">
      <c r="B3568" s="18" t="s">
        <v>4149</v>
      </c>
      <c r="C3568" s="19" t="s">
        <v>5259</v>
      </c>
      <c r="D3568" s="5" t="s">
        <v>8</v>
      </c>
      <c r="E3568" s="19" t="s">
        <v>6687</v>
      </c>
      <c r="F3568" s="34" t="s">
        <v>3574</v>
      </c>
      <c r="G3568" s="27">
        <v>351.64</v>
      </c>
      <c r="H3568" s="1" t="s">
        <v>774</v>
      </c>
      <c r="I3568" s="20">
        <v>1</v>
      </c>
      <c r="J3568" s="36">
        <v>0.06</v>
      </c>
    </row>
    <row r="3569" spans="2:10" x14ac:dyDescent="0.35">
      <c r="B3569" s="18" t="s">
        <v>4150</v>
      </c>
      <c r="C3569" s="19" t="s">
        <v>5259</v>
      </c>
      <c r="D3569" s="5" t="s">
        <v>8</v>
      </c>
      <c r="E3569" s="19" t="s">
        <v>6688</v>
      </c>
      <c r="F3569" s="34" t="s">
        <v>3574</v>
      </c>
      <c r="G3569" s="27">
        <v>397.62</v>
      </c>
      <c r="H3569" s="1" t="s">
        <v>774</v>
      </c>
      <c r="I3569" s="20">
        <v>1</v>
      </c>
      <c r="J3569" s="36">
        <v>0.06</v>
      </c>
    </row>
    <row r="3570" spans="2:10" x14ac:dyDescent="0.35">
      <c r="B3570" s="18" t="s">
        <v>4151</v>
      </c>
      <c r="C3570" s="19" t="s">
        <v>5260</v>
      </c>
      <c r="D3570" s="5" t="s">
        <v>8</v>
      </c>
      <c r="E3570" s="19" t="s">
        <v>6689</v>
      </c>
      <c r="F3570" s="34" t="s">
        <v>3574</v>
      </c>
      <c r="G3570" s="27">
        <v>300.52999999999997</v>
      </c>
      <c r="H3570" s="1" t="s">
        <v>774</v>
      </c>
      <c r="I3570" s="20">
        <v>1</v>
      </c>
      <c r="J3570" s="36">
        <v>0.06</v>
      </c>
    </row>
    <row r="3571" spans="2:10" x14ac:dyDescent="0.35">
      <c r="B3571" s="18" t="s">
        <v>4152</v>
      </c>
      <c r="C3571" s="19" t="s">
        <v>5261</v>
      </c>
      <c r="D3571" s="5" t="s">
        <v>8</v>
      </c>
      <c r="E3571" s="19" t="s">
        <v>6690</v>
      </c>
      <c r="F3571" s="34" t="s">
        <v>3574</v>
      </c>
      <c r="G3571" s="27">
        <v>650.23</v>
      </c>
      <c r="H3571" s="1" t="s">
        <v>774</v>
      </c>
      <c r="I3571" s="20">
        <v>1</v>
      </c>
      <c r="J3571" s="36">
        <v>0.06</v>
      </c>
    </row>
    <row r="3572" spans="2:10" x14ac:dyDescent="0.35">
      <c r="B3572" s="18" t="s">
        <v>4153</v>
      </c>
      <c r="C3572" s="19" t="s">
        <v>5262</v>
      </c>
      <c r="D3572" s="5" t="s">
        <v>8</v>
      </c>
      <c r="E3572" s="19" t="s">
        <v>6691</v>
      </c>
      <c r="F3572" s="34" t="s">
        <v>3574</v>
      </c>
      <c r="G3572" s="27">
        <v>686.71</v>
      </c>
      <c r="H3572" s="1" t="s">
        <v>774</v>
      </c>
      <c r="I3572" s="20">
        <v>1</v>
      </c>
      <c r="J3572" s="36">
        <v>0.06</v>
      </c>
    </row>
    <row r="3573" spans="2:10" x14ac:dyDescent="0.35">
      <c r="B3573" s="18" t="s">
        <v>4154</v>
      </c>
      <c r="C3573" s="19" t="s">
        <v>5263</v>
      </c>
      <c r="D3573" s="5" t="s">
        <v>8</v>
      </c>
      <c r="E3573" s="19" t="s">
        <v>6692</v>
      </c>
      <c r="F3573" s="34" t="s">
        <v>3574</v>
      </c>
      <c r="G3573" s="27">
        <v>1777.5</v>
      </c>
      <c r="H3573" s="1" t="s">
        <v>774</v>
      </c>
      <c r="I3573" s="20">
        <v>1</v>
      </c>
      <c r="J3573" s="36">
        <v>0.06</v>
      </c>
    </row>
    <row r="3574" spans="2:10" x14ac:dyDescent="0.35">
      <c r="B3574" s="18" t="s">
        <v>4155</v>
      </c>
      <c r="C3574" s="19" t="s">
        <v>5264</v>
      </c>
      <c r="D3574" s="5" t="s">
        <v>8</v>
      </c>
      <c r="E3574" s="19" t="s">
        <v>6693</v>
      </c>
      <c r="F3574" s="34" t="s">
        <v>3574</v>
      </c>
      <c r="G3574" s="27">
        <v>554.52</v>
      </c>
      <c r="H3574" s="1" t="s">
        <v>774</v>
      </c>
      <c r="I3574" s="20">
        <v>1</v>
      </c>
      <c r="J3574" s="36">
        <v>0.06</v>
      </c>
    </row>
    <row r="3575" spans="2:10" x14ac:dyDescent="0.35">
      <c r="B3575" s="18" t="s">
        <v>4156</v>
      </c>
      <c r="C3575" s="19" t="s">
        <v>5265</v>
      </c>
      <c r="D3575" s="5" t="s">
        <v>8</v>
      </c>
      <c r="E3575" s="19" t="s">
        <v>6694</v>
      </c>
      <c r="F3575" s="34" t="s">
        <v>3574</v>
      </c>
      <c r="G3575" s="27">
        <v>772.92</v>
      </c>
      <c r="H3575" s="1" t="s">
        <v>774</v>
      </c>
      <c r="I3575" s="20">
        <v>1</v>
      </c>
      <c r="J3575" s="36">
        <v>0.06</v>
      </c>
    </row>
    <row r="3576" spans="2:10" x14ac:dyDescent="0.35">
      <c r="B3576" s="18" t="s">
        <v>4157</v>
      </c>
      <c r="C3576" s="19" t="s">
        <v>5266</v>
      </c>
      <c r="D3576" s="5" t="s">
        <v>8</v>
      </c>
      <c r="E3576" s="19" t="s">
        <v>6695</v>
      </c>
      <c r="F3576" s="34" t="s">
        <v>3574</v>
      </c>
      <c r="G3576" s="27">
        <v>978.85</v>
      </c>
      <c r="H3576" s="1" t="s">
        <v>774</v>
      </c>
      <c r="I3576" s="20">
        <v>1</v>
      </c>
      <c r="J3576" s="36">
        <v>0.06</v>
      </c>
    </row>
    <row r="3577" spans="2:10" x14ac:dyDescent="0.35">
      <c r="B3577" s="18" t="s">
        <v>4158</v>
      </c>
      <c r="C3577" s="19" t="s">
        <v>5267</v>
      </c>
      <c r="D3577" s="5" t="s">
        <v>8</v>
      </c>
      <c r="E3577" s="19" t="s">
        <v>6696</v>
      </c>
      <c r="F3577" s="34" t="s">
        <v>3574</v>
      </c>
      <c r="G3577" s="27">
        <v>835.48</v>
      </c>
      <c r="H3577" s="1" t="s">
        <v>774</v>
      </c>
      <c r="I3577" s="20">
        <v>1</v>
      </c>
      <c r="J3577" s="36">
        <v>0.06</v>
      </c>
    </row>
    <row r="3578" spans="2:10" x14ac:dyDescent="0.35">
      <c r="B3578" s="18" t="s">
        <v>4159</v>
      </c>
      <c r="C3578" s="19" t="s">
        <v>5268</v>
      </c>
      <c r="D3578" s="5" t="s">
        <v>8</v>
      </c>
      <c r="E3578" s="19" t="s">
        <v>6697</v>
      </c>
      <c r="F3578" s="34" t="s">
        <v>3574</v>
      </c>
      <c r="G3578" s="27">
        <v>1060.92</v>
      </c>
      <c r="H3578" s="1" t="s">
        <v>774</v>
      </c>
      <c r="I3578" s="20">
        <v>1</v>
      </c>
      <c r="J3578" s="36">
        <v>0.06</v>
      </c>
    </row>
    <row r="3579" spans="2:10" x14ac:dyDescent="0.35">
      <c r="B3579" s="18" t="s">
        <v>4160</v>
      </c>
      <c r="C3579" s="19" t="s">
        <v>5264</v>
      </c>
      <c r="D3579" s="5" t="s">
        <v>8</v>
      </c>
      <c r="E3579" s="19" t="s">
        <v>6698</v>
      </c>
      <c r="F3579" s="34" t="s">
        <v>3574</v>
      </c>
      <c r="G3579" s="27">
        <v>705.76</v>
      </c>
      <c r="H3579" s="1" t="s">
        <v>774</v>
      </c>
      <c r="I3579" s="20">
        <v>1</v>
      </c>
      <c r="J3579" s="36">
        <v>0.06</v>
      </c>
    </row>
    <row r="3580" spans="2:10" x14ac:dyDescent="0.35">
      <c r="B3580" s="18" t="s">
        <v>4161</v>
      </c>
      <c r="C3580" s="19" t="s">
        <v>5268</v>
      </c>
      <c r="D3580" s="5" t="s">
        <v>8</v>
      </c>
      <c r="E3580" s="19" t="s">
        <v>6699</v>
      </c>
      <c r="F3580" s="34" t="s">
        <v>3574</v>
      </c>
      <c r="G3580" s="27">
        <v>908.39</v>
      </c>
      <c r="H3580" s="1" t="s">
        <v>774</v>
      </c>
      <c r="I3580" s="20">
        <v>1</v>
      </c>
      <c r="J3580" s="36">
        <v>0.06</v>
      </c>
    </row>
    <row r="3581" spans="2:10" x14ac:dyDescent="0.35">
      <c r="B3581" s="18">
        <v>3604267</v>
      </c>
      <c r="C3581" s="19" t="s">
        <v>5269</v>
      </c>
      <c r="D3581" s="5" t="s">
        <v>8</v>
      </c>
      <c r="E3581" s="19" t="s">
        <v>6700</v>
      </c>
      <c r="F3581" s="34" t="s">
        <v>3574</v>
      </c>
      <c r="G3581" s="27">
        <v>108.63</v>
      </c>
      <c r="H3581" s="1" t="s">
        <v>774</v>
      </c>
      <c r="I3581" s="20">
        <v>1</v>
      </c>
      <c r="J3581" s="36">
        <v>0.06</v>
      </c>
    </row>
    <row r="3582" spans="2:10" x14ac:dyDescent="0.35">
      <c r="B3582" s="18">
        <v>3604406</v>
      </c>
      <c r="C3582" s="19" t="s">
        <v>5270</v>
      </c>
      <c r="D3582" s="5" t="s">
        <v>8</v>
      </c>
      <c r="E3582" s="19" t="s">
        <v>6701</v>
      </c>
      <c r="F3582" s="34" t="s">
        <v>3574</v>
      </c>
      <c r="G3582" s="27">
        <v>148.34</v>
      </c>
      <c r="H3582" s="1" t="s">
        <v>774</v>
      </c>
      <c r="I3582" s="20">
        <v>1</v>
      </c>
      <c r="J3582" s="36">
        <v>0.06</v>
      </c>
    </row>
    <row r="3583" spans="2:10" x14ac:dyDescent="0.35">
      <c r="B3583" s="18">
        <v>3602759</v>
      </c>
      <c r="C3583" s="19" t="s">
        <v>5271</v>
      </c>
      <c r="D3583" s="5" t="s">
        <v>8</v>
      </c>
      <c r="E3583" s="19" t="s">
        <v>6702</v>
      </c>
      <c r="F3583" s="34" t="s">
        <v>3574</v>
      </c>
      <c r="G3583" s="27">
        <v>186.49</v>
      </c>
      <c r="H3583" s="1" t="s">
        <v>774</v>
      </c>
      <c r="I3583" s="20">
        <v>1</v>
      </c>
      <c r="J3583" s="36">
        <v>0.06</v>
      </c>
    </row>
    <row r="3584" spans="2:10" x14ac:dyDescent="0.35">
      <c r="B3584" s="18" t="s">
        <v>4162</v>
      </c>
      <c r="C3584" s="19" t="s">
        <v>5272</v>
      </c>
      <c r="D3584" s="5" t="s">
        <v>8</v>
      </c>
      <c r="E3584" s="19" t="s">
        <v>6703</v>
      </c>
      <c r="F3584" s="34" t="s">
        <v>3574</v>
      </c>
      <c r="G3584" s="27">
        <v>14.52</v>
      </c>
      <c r="H3584" s="1" t="s">
        <v>774</v>
      </c>
      <c r="I3584" s="20">
        <v>1</v>
      </c>
      <c r="J3584" s="36">
        <v>0.06</v>
      </c>
    </row>
    <row r="3585" spans="2:10" x14ac:dyDescent="0.35">
      <c r="B3585" s="18" t="s">
        <v>4163</v>
      </c>
      <c r="C3585" s="19" t="s">
        <v>5273</v>
      </c>
      <c r="D3585" s="5" t="s">
        <v>8</v>
      </c>
      <c r="E3585" s="19" t="s">
        <v>6704</v>
      </c>
      <c r="F3585" s="34" t="s">
        <v>3574</v>
      </c>
      <c r="G3585" s="27">
        <v>7.75</v>
      </c>
      <c r="H3585" s="1" t="s">
        <v>774</v>
      </c>
      <c r="I3585" s="20">
        <v>1</v>
      </c>
      <c r="J3585" s="36">
        <v>0.06</v>
      </c>
    </row>
    <row r="3586" spans="2:10" x14ac:dyDescent="0.35">
      <c r="B3586" s="18" t="s">
        <v>4164</v>
      </c>
      <c r="C3586" s="19" t="s">
        <v>5274</v>
      </c>
      <c r="D3586" s="5" t="s">
        <v>8</v>
      </c>
      <c r="E3586" s="19" t="s">
        <v>6705</v>
      </c>
      <c r="F3586" s="34" t="s">
        <v>3574</v>
      </c>
      <c r="G3586" s="27">
        <v>13.16</v>
      </c>
      <c r="H3586" s="1" t="s">
        <v>774</v>
      </c>
      <c r="I3586" s="20">
        <v>1</v>
      </c>
      <c r="J3586" s="36">
        <v>0.06</v>
      </c>
    </row>
    <row r="3587" spans="2:10" x14ac:dyDescent="0.35">
      <c r="B3587" s="18" t="s">
        <v>4165</v>
      </c>
      <c r="C3587" s="19" t="s">
        <v>5275</v>
      </c>
      <c r="D3587" s="5" t="s">
        <v>8</v>
      </c>
      <c r="E3587" s="19" t="s">
        <v>6706</v>
      </c>
      <c r="F3587" s="34" t="s">
        <v>3574</v>
      </c>
      <c r="G3587" s="27">
        <v>70.489999999999995</v>
      </c>
      <c r="H3587" s="1" t="s">
        <v>774</v>
      </c>
      <c r="I3587" s="20">
        <v>1</v>
      </c>
      <c r="J3587" s="36">
        <v>0.06</v>
      </c>
    </row>
    <row r="3588" spans="2:10" x14ac:dyDescent="0.35">
      <c r="B3588" s="18">
        <v>3602760</v>
      </c>
      <c r="C3588" s="19" t="s">
        <v>5276</v>
      </c>
      <c r="D3588" s="5" t="s">
        <v>8</v>
      </c>
      <c r="E3588" s="19" t="s">
        <v>6707</v>
      </c>
      <c r="F3588" s="34" t="s">
        <v>3574</v>
      </c>
      <c r="G3588" s="27">
        <v>4.6100000000000003</v>
      </c>
      <c r="H3588" s="1" t="s">
        <v>774</v>
      </c>
      <c r="I3588" s="20">
        <v>1</v>
      </c>
      <c r="J3588" s="36">
        <v>0.06</v>
      </c>
    </row>
    <row r="3589" spans="2:10" x14ac:dyDescent="0.35">
      <c r="B3589" s="18" t="s">
        <v>4166</v>
      </c>
      <c r="C3589" s="19" t="s">
        <v>5277</v>
      </c>
      <c r="D3589" s="5" t="s">
        <v>8</v>
      </c>
      <c r="E3589" s="19" t="s">
        <v>6708</v>
      </c>
      <c r="F3589" s="34" t="s">
        <v>3574</v>
      </c>
      <c r="G3589" s="27">
        <v>5.96</v>
      </c>
      <c r="H3589" s="1" t="s">
        <v>774</v>
      </c>
      <c r="I3589" s="20">
        <v>1</v>
      </c>
      <c r="J3589" s="36">
        <v>0.06</v>
      </c>
    </row>
    <row r="3590" spans="2:10" x14ac:dyDescent="0.35">
      <c r="B3590" s="18">
        <v>3602761</v>
      </c>
      <c r="C3590" s="19" t="s">
        <v>5278</v>
      </c>
      <c r="D3590" s="5" t="s">
        <v>8</v>
      </c>
      <c r="E3590" s="19" t="s">
        <v>6709</v>
      </c>
      <c r="F3590" s="34" t="s">
        <v>3574</v>
      </c>
      <c r="G3590" s="27">
        <v>5.8</v>
      </c>
      <c r="H3590" s="1" t="s">
        <v>774</v>
      </c>
      <c r="I3590" s="20">
        <v>1</v>
      </c>
      <c r="J3590" s="36">
        <v>0.06</v>
      </c>
    </row>
    <row r="3591" spans="2:10" x14ac:dyDescent="0.35">
      <c r="B3591" s="18" t="s">
        <v>4167</v>
      </c>
      <c r="C3591" s="19" t="s">
        <v>5279</v>
      </c>
      <c r="D3591" s="5" t="s">
        <v>8</v>
      </c>
      <c r="E3591" s="19" t="s">
        <v>6710</v>
      </c>
      <c r="F3591" s="34" t="s">
        <v>3574</v>
      </c>
      <c r="G3591" s="27">
        <v>11.15</v>
      </c>
      <c r="H3591" s="1" t="s">
        <v>774</v>
      </c>
      <c r="I3591" s="20">
        <v>1</v>
      </c>
      <c r="J3591" s="36">
        <v>0.06</v>
      </c>
    </row>
    <row r="3592" spans="2:10" x14ac:dyDescent="0.35">
      <c r="B3592" s="18">
        <v>2002234</v>
      </c>
      <c r="C3592" s="19" t="s">
        <v>5280</v>
      </c>
      <c r="D3592" s="5" t="s">
        <v>8</v>
      </c>
      <c r="E3592" s="19" t="s">
        <v>6711</v>
      </c>
      <c r="F3592" s="34" t="s">
        <v>3574</v>
      </c>
      <c r="G3592" s="27">
        <v>13.35</v>
      </c>
      <c r="H3592" s="1" t="s">
        <v>774</v>
      </c>
      <c r="I3592" s="20">
        <v>1</v>
      </c>
      <c r="J3592" s="36">
        <v>0.06</v>
      </c>
    </row>
    <row r="3593" spans="2:10" x14ac:dyDescent="0.35">
      <c r="B3593" s="18">
        <v>1361103</v>
      </c>
      <c r="C3593" s="19" t="s">
        <v>5281</v>
      </c>
      <c r="D3593" s="5" t="s">
        <v>8</v>
      </c>
      <c r="E3593" s="19" t="s">
        <v>6712</v>
      </c>
      <c r="F3593" s="34" t="s">
        <v>3574</v>
      </c>
      <c r="G3593" s="27">
        <v>5.45</v>
      </c>
      <c r="H3593" s="1" t="s">
        <v>774</v>
      </c>
      <c r="I3593" s="20">
        <v>1</v>
      </c>
      <c r="J3593" s="36">
        <v>0.06</v>
      </c>
    </row>
    <row r="3594" spans="2:10" x14ac:dyDescent="0.35">
      <c r="B3594" s="18">
        <v>800000705</v>
      </c>
      <c r="C3594" s="19" t="s">
        <v>5282</v>
      </c>
      <c r="D3594" s="5" t="s">
        <v>8</v>
      </c>
      <c r="E3594" s="19" t="s">
        <v>6713</v>
      </c>
      <c r="F3594" s="34" t="s">
        <v>3574</v>
      </c>
      <c r="G3594" s="27">
        <v>15.01</v>
      </c>
      <c r="H3594" s="1" t="s">
        <v>774</v>
      </c>
      <c r="I3594" s="20">
        <v>1</v>
      </c>
      <c r="J3594" s="36">
        <v>0.06</v>
      </c>
    </row>
    <row r="3595" spans="2:10" x14ac:dyDescent="0.35">
      <c r="B3595" s="18" t="s">
        <v>4168</v>
      </c>
      <c r="C3595" s="19" t="s">
        <v>5283</v>
      </c>
      <c r="D3595" s="5" t="s">
        <v>8</v>
      </c>
      <c r="E3595" s="19" t="s">
        <v>6714</v>
      </c>
      <c r="F3595" s="34" t="s">
        <v>3574</v>
      </c>
      <c r="G3595" s="27">
        <v>19.100000000000001</v>
      </c>
      <c r="H3595" s="1" t="s">
        <v>774</v>
      </c>
      <c r="I3595" s="20">
        <v>1</v>
      </c>
      <c r="J3595" s="36">
        <v>0.06</v>
      </c>
    </row>
    <row r="3596" spans="2:10" x14ac:dyDescent="0.35">
      <c r="B3596" s="18" t="s">
        <v>4169</v>
      </c>
      <c r="C3596" s="19" t="s">
        <v>5284</v>
      </c>
      <c r="D3596" s="5" t="s">
        <v>8</v>
      </c>
      <c r="E3596" s="19" t="s">
        <v>6715</v>
      </c>
      <c r="F3596" s="34" t="s">
        <v>3574</v>
      </c>
      <c r="G3596" s="27">
        <v>184.73</v>
      </c>
      <c r="H3596" s="1" t="s">
        <v>774</v>
      </c>
      <c r="I3596" s="20">
        <v>1</v>
      </c>
      <c r="J3596" s="36">
        <v>0.06</v>
      </c>
    </row>
    <row r="3597" spans="2:10" x14ac:dyDescent="0.35">
      <c r="B3597" s="18">
        <v>1361120</v>
      </c>
      <c r="C3597" s="19" t="s">
        <v>5285</v>
      </c>
      <c r="D3597" s="5" t="s">
        <v>8</v>
      </c>
      <c r="E3597" s="19" t="s">
        <v>6716</v>
      </c>
      <c r="F3597" s="34" t="s">
        <v>3574</v>
      </c>
      <c r="G3597" s="27">
        <v>116.61</v>
      </c>
      <c r="H3597" s="1" t="s">
        <v>774</v>
      </c>
      <c r="I3597" s="20">
        <v>1</v>
      </c>
      <c r="J3597" s="36">
        <v>0.06</v>
      </c>
    </row>
    <row r="3598" spans="2:10" x14ac:dyDescent="0.35">
      <c r="B3598" s="18">
        <v>1800639</v>
      </c>
      <c r="C3598" s="19" t="s">
        <v>5286</v>
      </c>
      <c r="D3598" s="5" t="s">
        <v>8</v>
      </c>
      <c r="E3598" s="19" t="s">
        <v>6717</v>
      </c>
      <c r="F3598" s="34" t="s">
        <v>3574</v>
      </c>
      <c r="G3598" s="27">
        <v>97.23</v>
      </c>
      <c r="H3598" s="1" t="s">
        <v>774</v>
      </c>
      <c r="I3598" s="20">
        <v>1</v>
      </c>
      <c r="J3598" s="36">
        <v>0.06</v>
      </c>
    </row>
    <row r="3599" spans="2:10" x14ac:dyDescent="0.35">
      <c r="B3599" s="18">
        <v>1301014</v>
      </c>
      <c r="C3599" s="19" t="s">
        <v>4548</v>
      </c>
      <c r="D3599" s="5" t="s">
        <v>8</v>
      </c>
      <c r="E3599" s="19" t="s">
        <v>6718</v>
      </c>
      <c r="F3599" s="34" t="s">
        <v>3574</v>
      </c>
      <c r="G3599" s="27">
        <v>54.34</v>
      </c>
      <c r="H3599" s="1" t="s">
        <v>774</v>
      </c>
      <c r="I3599" s="20">
        <v>1</v>
      </c>
      <c r="J3599" s="36">
        <v>0.06</v>
      </c>
    </row>
    <row r="3600" spans="2:10" x14ac:dyDescent="0.35">
      <c r="B3600" s="18">
        <v>1301015</v>
      </c>
      <c r="C3600" s="19" t="s">
        <v>5287</v>
      </c>
      <c r="D3600" s="5" t="s">
        <v>8</v>
      </c>
      <c r="E3600" s="19" t="s">
        <v>6719</v>
      </c>
      <c r="F3600" s="34" t="s">
        <v>3574</v>
      </c>
      <c r="G3600" s="27">
        <v>124.47</v>
      </c>
      <c r="H3600" s="1" t="s">
        <v>774</v>
      </c>
      <c r="I3600" s="20">
        <v>1</v>
      </c>
      <c r="J3600" s="36">
        <v>0.06</v>
      </c>
    </row>
    <row r="3601" spans="2:10" x14ac:dyDescent="0.35">
      <c r="B3601" s="18">
        <v>1301052</v>
      </c>
      <c r="C3601" s="19" t="s">
        <v>5099</v>
      </c>
      <c r="D3601" s="5" t="s">
        <v>8</v>
      </c>
      <c r="E3601" s="19" t="s">
        <v>6720</v>
      </c>
      <c r="F3601" s="34" t="s">
        <v>3574</v>
      </c>
      <c r="G3601" s="27">
        <v>174.68</v>
      </c>
      <c r="H3601" s="1" t="s">
        <v>774</v>
      </c>
      <c r="I3601" s="20">
        <v>1</v>
      </c>
      <c r="J3601" s="36">
        <v>0.06</v>
      </c>
    </row>
    <row r="3602" spans="2:10" x14ac:dyDescent="0.35">
      <c r="B3602" s="18">
        <v>1301107</v>
      </c>
      <c r="C3602" s="19" t="s">
        <v>5103</v>
      </c>
      <c r="D3602" s="5" t="s">
        <v>8</v>
      </c>
      <c r="E3602" s="19" t="s">
        <v>6721</v>
      </c>
      <c r="F3602" s="34" t="s">
        <v>3574</v>
      </c>
      <c r="G3602" s="27">
        <v>366.56</v>
      </c>
      <c r="H3602" s="1" t="s">
        <v>774</v>
      </c>
      <c r="I3602" s="20">
        <v>1</v>
      </c>
      <c r="J3602" s="36">
        <v>0.06</v>
      </c>
    </row>
    <row r="3603" spans="2:10" x14ac:dyDescent="0.35">
      <c r="B3603" s="18">
        <v>1348011</v>
      </c>
      <c r="C3603" s="19" t="s">
        <v>5288</v>
      </c>
      <c r="D3603" s="5" t="s">
        <v>8</v>
      </c>
      <c r="E3603" s="19" t="s">
        <v>6722</v>
      </c>
      <c r="F3603" s="34" t="s">
        <v>3574</v>
      </c>
      <c r="G3603" s="27">
        <v>2.95</v>
      </c>
      <c r="H3603" s="1" t="s">
        <v>774</v>
      </c>
      <c r="I3603" s="20">
        <v>1</v>
      </c>
      <c r="J3603" s="36">
        <v>0.06</v>
      </c>
    </row>
    <row r="3604" spans="2:10" x14ac:dyDescent="0.35">
      <c r="B3604" s="18">
        <v>800004642</v>
      </c>
      <c r="C3604" s="19" t="s">
        <v>5289</v>
      </c>
      <c r="D3604" s="5" t="s">
        <v>8</v>
      </c>
      <c r="E3604" s="19" t="s">
        <v>6723</v>
      </c>
      <c r="F3604" s="34" t="s">
        <v>3574</v>
      </c>
      <c r="G3604" s="27">
        <v>12.26</v>
      </c>
      <c r="H3604" s="1" t="s">
        <v>774</v>
      </c>
      <c r="I3604" s="20">
        <v>1</v>
      </c>
      <c r="J3604" s="36">
        <v>0.06</v>
      </c>
    </row>
    <row r="3605" spans="2:10" x14ac:dyDescent="0.35">
      <c r="B3605" s="18">
        <v>800004643</v>
      </c>
      <c r="C3605" s="19" t="s">
        <v>5290</v>
      </c>
      <c r="D3605" s="5" t="s">
        <v>8</v>
      </c>
      <c r="E3605" s="19" t="s">
        <v>6724</v>
      </c>
      <c r="F3605" s="34" t="s">
        <v>3574</v>
      </c>
      <c r="G3605" s="27">
        <v>16.34</v>
      </c>
      <c r="H3605" s="1" t="s">
        <v>774</v>
      </c>
      <c r="I3605" s="20">
        <v>1</v>
      </c>
      <c r="J3605" s="36">
        <v>0.06</v>
      </c>
    </row>
    <row r="3606" spans="2:10" x14ac:dyDescent="0.35">
      <c r="B3606" s="18">
        <v>1325015</v>
      </c>
      <c r="C3606" s="19" t="s">
        <v>5291</v>
      </c>
      <c r="D3606" s="5" t="s">
        <v>8</v>
      </c>
      <c r="E3606" s="19" t="s">
        <v>6725</v>
      </c>
      <c r="F3606" s="34" t="s">
        <v>3574</v>
      </c>
      <c r="G3606" s="27">
        <v>12.23</v>
      </c>
      <c r="H3606" s="1" t="s">
        <v>774</v>
      </c>
      <c r="I3606" s="20">
        <v>1</v>
      </c>
      <c r="J3606" s="36">
        <v>0.06</v>
      </c>
    </row>
    <row r="3607" spans="2:10" x14ac:dyDescent="0.35">
      <c r="B3607" s="18">
        <v>1325030</v>
      </c>
      <c r="C3607" s="19" t="s">
        <v>5292</v>
      </c>
      <c r="D3607" s="5" t="s">
        <v>8</v>
      </c>
      <c r="E3607" s="19" t="s">
        <v>6726</v>
      </c>
      <c r="F3607" s="34" t="s">
        <v>3574</v>
      </c>
      <c r="G3607" s="27">
        <v>10.46</v>
      </c>
      <c r="H3607" s="1" t="s">
        <v>774</v>
      </c>
      <c r="I3607" s="20">
        <v>1</v>
      </c>
      <c r="J3607" s="36">
        <v>0.06</v>
      </c>
    </row>
    <row r="3608" spans="2:10" x14ac:dyDescent="0.35">
      <c r="B3608" s="18">
        <v>1325009</v>
      </c>
      <c r="C3608" s="19" t="s">
        <v>5293</v>
      </c>
      <c r="D3608" s="5" t="s">
        <v>8</v>
      </c>
      <c r="E3608" s="19" t="s">
        <v>6727</v>
      </c>
      <c r="F3608" s="34" t="s">
        <v>3574</v>
      </c>
      <c r="G3608" s="27">
        <v>10.01</v>
      </c>
      <c r="H3608" s="1" t="s">
        <v>774</v>
      </c>
      <c r="I3608" s="20">
        <v>1</v>
      </c>
      <c r="J3608" s="36">
        <v>0.06</v>
      </c>
    </row>
    <row r="3609" spans="2:10" x14ac:dyDescent="0.35">
      <c r="B3609" s="18">
        <v>4100887</v>
      </c>
      <c r="C3609" s="19" t="s">
        <v>5294</v>
      </c>
      <c r="D3609" s="5" t="s">
        <v>8</v>
      </c>
      <c r="E3609" s="19" t="s">
        <v>6728</v>
      </c>
      <c r="F3609" s="34" t="s">
        <v>3574</v>
      </c>
      <c r="G3609" s="27">
        <v>11.59</v>
      </c>
      <c r="H3609" s="1" t="s">
        <v>774</v>
      </c>
      <c r="I3609" s="20">
        <v>1</v>
      </c>
      <c r="J3609" s="36">
        <v>0.06</v>
      </c>
    </row>
    <row r="3610" spans="2:10" x14ac:dyDescent="0.35">
      <c r="B3610" s="18">
        <v>1360022</v>
      </c>
      <c r="C3610" s="19" t="s">
        <v>5295</v>
      </c>
      <c r="D3610" s="5" t="s">
        <v>8</v>
      </c>
      <c r="E3610" s="19" t="s">
        <v>6729</v>
      </c>
      <c r="F3610" s="34" t="s">
        <v>3574</v>
      </c>
      <c r="G3610" s="27">
        <v>39.299999999999997</v>
      </c>
      <c r="H3610" s="1" t="s">
        <v>774</v>
      </c>
      <c r="I3610" s="20">
        <v>1</v>
      </c>
      <c r="J3610" s="36">
        <v>0.06</v>
      </c>
    </row>
    <row r="3611" spans="2:10" x14ac:dyDescent="0.35">
      <c r="B3611" s="18">
        <v>3603293</v>
      </c>
      <c r="C3611" s="19" t="s">
        <v>5296</v>
      </c>
      <c r="D3611" s="5" t="s">
        <v>8</v>
      </c>
      <c r="E3611" s="19" t="s">
        <v>6730</v>
      </c>
      <c r="F3611" s="34" t="s">
        <v>3574</v>
      </c>
      <c r="G3611" s="27">
        <v>16.25</v>
      </c>
      <c r="H3611" s="1" t="s">
        <v>774</v>
      </c>
      <c r="I3611" s="20">
        <v>1</v>
      </c>
      <c r="J3611" s="36">
        <v>0.06</v>
      </c>
    </row>
    <row r="3612" spans="2:10" x14ac:dyDescent="0.35">
      <c r="B3612" s="18" t="s">
        <v>4170</v>
      </c>
      <c r="C3612" s="19" t="s">
        <v>5297</v>
      </c>
      <c r="D3612" s="5" t="s">
        <v>8</v>
      </c>
      <c r="E3612" s="19" t="s">
        <v>6730</v>
      </c>
      <c r="F3612" s="34" t="s">
        <v>3574</v>
      </c>
      <c r="G3612" s="27">
        <v>16.25</v>
      </c>
      <c r="H3612" s="1" t="s">
        <v>774</v>
      </c>
      <c r="I3612" s="20">
        <v>1</v>
      </c>
      <c r="J3612" s="36">
        <v>0.06</v>
      </c>
    </row>
    <row r="3613" spans="2:10" x14ac:dyDescent="0.35">
      <c r="B3613" s="18" t="s">
        <v>4171</v>
      </c>
      <c r="C3613" s="19" t="s">
        <v>5297</v>
      </c>
      <c r="D3613" s="5" t="s">
        <v>8</v>
      </c>
      <c r="E3613" s="19" t="s">
        <v>6731</v>
      </c>
      <c r="F3613" s="34" t="s">
        <v>3574</v>
      </c>
      <c r="G3613" s="27">
        <v>11.89</v>
      </c>
      <c r="H3613" s="1" t="s">
        <v>774</v>
      </c>
      <c r="I3613" s="20">
        <v>1</v>
      </c>
      <c r="J3613" s="36">
        <v>0.06</v>
      </c>
    </row>
    <row r="3614" spans="2:10" x14ac:dyDescent="0.35">
      <c r="B3614" s="18">
        <v>1260511</v>
      </c>
      <c r="C3614" s="19" t="s">
        <v>5298</v>
      </c>
      <c r="D3614" s="5" t="s">
        <v>8</v>
      </c>
      <c r="E3614" s="19" t="s">
        <v>6732</v>
      </c>
      <c r="F3614" s="34" t="s">
        <v>3574</v>
      </c>
      <c r="G3614" s="27">
        <v>32.44</v>
      </c>
      <c r="H3614" s="1" t="s">
        <v>774</v>
      </c>
      <c r="I3614" s="20">
        <v>1</v>
      </c>
      <c r="J3614" s="36">
        <v>0.06</v>
      </c>
    </row>
    <row r="3615" spans="2:10" x14ac:dyDescent="0.35">
      <c r="B3615" s="18">
        <v>1361040</v>
      </c>
      <c r="C3615" s="19" t="s">
        <v>5299</v>
      </c>
      <c r="D3615" s="5" t="s">
        <v>8</v>
      </c>
      <c r="E3615" s="19" t="s">
        <v>6733</v>
      </c>
      <c r="F3615" s="34" t="s">
        <v>3574</v>
      </c>
      <c r="G3615" s="27">
        <v>34.17</v>
      </c>
      <c r="H3615" s="1" t="s">
        <v>774</v>
      </c>
      <c r="I3615" s="20">
        <v>1</v>
      </c>
      <c r="J3615" s="36">
        <v>0.06</v>
      </c>
    </row>
    <row r="3616" spans="2:10" x14ac:dyDescent="0.35">
      <c r="B3616" s="18">
        <v>1360608</v>
      </c>
      <c r="C3616" s="19" t="s">
        <v>5300</v>
      </c>
      <c r="D3616" s="5" t="s">
        <v>8</v>
      </c>
      <c r="E3616" s="19" t="s">
        <v>6734</v>
      </c>
      <c r="F3616" s="34" t="s">
        <v>3574</v>
      </c>
      <c r="G3616" s="27">
        <v>32.020000000000003</v>
      </c>
      <c r="H3616" s="1" t="s">
        <v>774</v>
      </c>
      <c r="I3616" s="20">
        <v>1</v>
      </c>
      <c r="J3616" s="36">
        <v>0.06</v>
      </c>
    </row>
    <row r="3617" spans="2:10" x14ac:dyDescent="0.35">
      <c r="B3617" s="18">
        <v>4002140</v>
      </c>
      <c r="C3617" s="19" t="s">
        <v>5301</v>
      </c>
      <c r="D3617" s="5" t="s">
        <v>8</v>
      </c>
      <c r="E3617" s="19" t="s">
        <v>6735</v>
      </c>
      <c r="F3617" s="34" t="s">
        <v>3574</v>
      </c>
      <c r="G3617" s="27">
        <v>52.28</v>
      </c>
      <c r="H3617" s="1" t="s">
        <v>774</v>
      </c>
      <c r="I3617" s="20">
        <v>1</v>
      </c>
      <c r="J3617" s="36">
        <v>0.06</v>
      </c>
    </row>
    <row r="3618" spans="2:10" x14ac:dyDescent="0.35">
      <c r="B3618" s="18">
        <v>3603281</v>
      </c>
      <c r="C3618" s="19" t="s">
        <v>5296</v>
      </c>
      <c r="D3618" s="5" t="s">
        <v>8</v>
      </c>
      <c r="E3618" s="19" t="s">
        <v>6736</v>
      </c>
      <c r="F3618" s="34" t="s">
        <v>3574</v>
      </c>
      <c r="G3618" s="27">
        <v>22</v>
      </c>
      <c r="H3618" s="1" t="s">
        <v>774</v>
      </c>
      <c r="I3618" s="20">
        <v>1</v>
      </c>
      <c r="J3618" s="36">
        <v>0.06</v>
      </c>
    </row>
    <row r="3619" spans="2:10" x14ac:dyDescent="0.35">
      <c r="B3619" s="18">
        <v>4002535</v>
      </c>
      <c r="C3619" s="19" t="s">
        <v>5302</v>
      </c>
      <c r="D3619" s="5" t="s">
        <v>8</v>
      </c>
      <c r="E3619" s="19" t="s">
        <v>6737</v>
      </c>
      <c r="F3619" s="34" t="s">
        <v>3574</v>
      </c>
      <c r="G3619" s="27">
        <v>33.119999999999997</v>
      </c>
      <c r="H3619" s="1" t="s">
        <v>774</v>
      </c>
      <c r="I3619" s="20">
        <v>1</v>
      </c>
      <c r="J3619" s="36">
        <v>0.06</v>
      </c>
    </row>
    <row r="3620" spans="2:10" x14ac:dyDescent="0.35">
      <c r="B3620" s="18">
        <v>3010196</v>
      </c>
      <c r="C3620" s="19" t="s">
        <v>5303</v>
      </c>
      <c r="D3620" s="5" t="s">
        <v>8</v>
      </c>
      <c r="E3620" s="19" t="s">
        <v>6738</v>
      </c>
      <c r="F3620" s="34" t="s">
        <v>3574</v>
      </c>
      <c r="G3620" s="27">
        <v>53.34</v>
      </c>
      <c r="H3620" s="1" t="s">
        <v>774</v>
      </c>
      <c r="I3620" s="20">
        <v>1</v>
      </c>
      <c r="J3620" s="36">
        <v>0.06</v>
      </c>
    </row>
    <row r="3621" spans="2:10" x14ac:dyDescent="0.35">
      <c r="B3621" s="18">
        <v>800001662</v>
      </c>
      <c r="C3621" s="19" t="s">
        <v>5304</v>
      </c>
      <c r="D3621" s="5" t="s">
        <v>8</v>
      </c>
      <c r="E3621" s="19" t="s">
        <v>6739</v>
      </c>
      <c r="F3621" s="34" t="s">
        <v>3574</v>
      </c>
      <c r="G3621" s="27">
        <v>58.66</v>
      </c>
      <c r="H3621" s="1" t="s">
        <v>774</v>
      </c>
      <c r="I3621" s="20">
        <v>1</v>
      </c>
      <c r="J3621" s="36">
        <v>0.06</v>
      </c>
    </row>
    <row r="3622" spans="2:10" x14ac:dyDescent="0.35">
      <c r="B3622" s="18">
        <v>1262129</v>
      </c>
      <c r="C3622" s="19" t="s">
        <v>5305</v>
      </c>
      <c r="D3622" s="5" t="s">
        <v>8</v>
      </c>
      <c r="E3622" s="19" t="s">
        <v>6740</v>
      </c>
      <c r="F3622" s="34" t="s">
        <v>3574</v>
      </c>
      <c r="G3622" s="27">
        <v>34.93</v>
      </c>
      <c r="H3622" s="1" t="s">
        <v>774</v>
      </c>
      <c r="I3622" s="20">
        <v>1</v>
      </c>
      <c r="J3622" s="36">
        <v>0.06</v>
      </c>
    </row>
    <row r="3623" spans="2:10" x14ac:dyDescent="0.35">
      <c r="B3623" s="18">
        <v>1586421</v>
      </c>
      <c r="C3623" s="19" t="s">
        <v>5306</v>
      </c>
      <c r="D3623" s="5" t="s">
        <v>8</v>
      </c>
      <c r="E3623" s="19" t="s">
        <v>6741</v>
      </c>
      <c r="F3623" s="34" t="s">
        <v>3574</v>
      </c>
      <c r="G3623" s="27">
        <v>35.65</v>
      </c>
      <c r="H3623" s="1" t="s">
        <v>774</v>
      </c>
      <c r="I3623" s="20">
        <v>1</v>
      </c>
      <c r="J3623" s="36">
        <v>0.06</v>
      </c>
    </row>
    <row r="3624" spans="2:10" x14ac:dyDescent="0.35">
      <c r="B3624" s="18" t="s">
        <v>4172</v>
      </c>
      <c r="C3624" s="19" t="s">
        <v>5307</v>
      </c>
      <c r="D3624" s="5" t="s">
        <v>8</v>
      </c>
      <c r="E3624" s="19" t="s">
        <v>6742</v>
      </c>
      <c r="F3624" s="34" t="s">
        <v>3574</v>
      </c>
      <c r="G3624" s="27">
        <v>46.2</v>
      </c>
      <c r="H3624" s="1" t="s">
        <v>774</v>
      </c>
      <c r="I3624" s="20">
        <v>1</v>
      </c>
      <c r="J3624" s="36">
        <v>0.06</v>
      </c>
    </row>
    <row r="3625" spans="2:10" x14ac:dyDescent="0.35">
      <c r="B3625" s="18" t="s">
        <v>4173</v>
      </c>
      <c r="C3625" s="19" t="s">
        <v>5307</v>
      </c>
      <c r="D3625" s="5" t="s">
        <v>8</v>
      </c>
      <c r="E3625" s="19" t="s">
        <v>6743</v>
      </c>
      <c r="F3625" s="34" t="s">
        <v>3574</v>
      </c>
      <c r="G3625" s="27">
        <v>27.73</v>
      </c>
      <c r="H3625" s="1" t="s">
        <v>774</v>
      </c>
      <c r="I3625" s="20">
        <v>1</v>
      </c>
      <c r="J3625" s="36">
        <v>0.06</v>
      </c>
    </row>
    <row r="3626" spans="2:10" x14ac:dyDescent="0.35">
      <c r="B3626" s="18">
        <v>800002646</v>
      </c>
      <c r="C3626" s="19" t="s">
        <v>5308</v>
      </c>
      <c r="D3626" s="5" t="s">
        <v>8</v>
      </c>
      <c r="E3626" s="19" t="s">
        <v>6744</v>
      </c>
      <c r="F3626" s="34" t="s">
        <v>3574</v>
      </c>
      <c r="G3626" s="27">
        <v>38.619999999999997</v>
      </c>
      <c r="H3626" s="1" t="s">
        <v>774</v>
      </c>
      <c r="I3626" s="20">
        <v>1</v>
      </c>
      <c r="J3626" s="36">
        <v>0.06</v>
      </c>
    </row>
    <row r="3627" spans="2:10" x14ac:dyDescent="0.35">
      <c r="B3627" s="18" t="s">
        <v>4174</v>
      </c>
      <c r="C3627" s="19" t="s">
        <v>5309</v>
      </c>
      <c r="D3627" s="5" t="s">
        <v>8</v>
      </c>
      <c r="E3627" s="19" t="s">
        <v>6745</v>
      </c>
      <c r="F3627" s="34" t="s">
        <v>3574</v>
      </c>
      <c r="G3627" s="27">
        <v>53.88</v>
      </c>
      <c r="H3627" s="1" t="s">
        <v>774</v>
      </c>
      <c r="I3627" s="20">
        <v>1</v>
      </c>
      <c r="J3627" s="36">
        <v>0.06</v>
      </c>
    </row>
    <row r="3628" spans="2:10" x14ac:dyDescent="0.35">
      <c r="B3628" s="18" t="s">
        <v>4175</v>
      </c>
      <c r="C3628" s="19" t="s">
        <v>5307</v>
      </c>
      <c r="D3628" s="5" t="s">
        <v>8</v>
      </c>
      <c r="E3628" s="19" t="s">
        <v>6746</v>
      </c>
      <c r="F3628" s="34" t="s">
        <v>3574</v>
      </c>
      <c r="G3628" s="27">
        <v>30.54</v>
      </c>
      <c r="H3628" s="1" t="s">
        <v>774</v>
      </c>
      <c r="I3628" s="20">
        <v>1</v>
      </c>
      <c r="J3628" s="36">
        <v>0.06</v>
      </c>
    </row>
    <row r="3629" spans="2:10" x14ac:dyDescent="0.35">
      <c r="B3629" s="18">
        <v>800004339</v>
      </c>
      <c r="C3629" s="19" t="s">
        <v>5307</v>
      </c>
      <c r="D3629" s="5" t="s">
        <v>8</v>
      </c>
      <c r="E3629" s="19" t="s">
        <v>6747</v>
      </c>
      <c r="F3629" s="34" t="s">
        <v>3574</v>
      </c>
      <c r="G3629" s="27">
        <v>38.619999999999997</v>
      </c>
      <c r="H3629" s="1" t="s">
        <v>774</v>
      </c>
      <c r="I3629" s="20">
        <v>1</v>
      </c>
      <c r="J3629" s="36">
        <v>0.06</v>
      </c>
    </row>
    <row r="3630" spans="2:10" x14ac:dyDescent="0.35">
      <c r="B3630" s="18" t="s">
        <v>4176</v>
      </c>
      <c r="C3630" s="19" t="s">
        <v>5307</v>
      </c>
      <c r="D3630" s="5" t="s">
        <v>8</v>
      </c>
      <c r="E3630" s="19" t="s">
        <v>6748</v>
      </c>
      <c r="F3630" s="34" t="s">
        <v>3574</v>
      </c>
      <c r="G3630" s="27">
        <v>67.78</v>
      </c>
      <c r="H3630" s="1" t="s">
        <v>774</v>
      </c>
      <c r="I3630" s="20">
        <v>1</v>
      </c>
      <c r="J3630" s="36">
        <v>0.06</v>
      </c>
    </row>
    <row r="3631" spans="2:10" x14ac:dyDescent="0.35">
      <c r="B3631" s="18">
        <v>4001501</v>
      </c>
      <c r="C3631" s="19" t="s">
        <v>5310</v>
      </c>
      <c r="D3631" s="5" t="s">
        <v>8</v>
      </c>
      <c r="E3631" s="19" t="s">
        <v>6749</v>
      </c>
      <c r="F3631" s="34" t="s">
        <v>3574</v>
      </c>
      <c r="G3631" s="27">
        <v>33.93</v>
      </c>
      <c r="H3631" s="1" t="s">
        <v>774</v>
      </c>
      <c r="I3631" s="20">
        <v>1</v>
      </c>
      <c r="J3631" s="36">
        <v>0.06</v>
      </c>
    </row>
    <row r="3632" spans="2:10" x14ac:dyDescent="0.35">
      <c r="B3632" s="18">
        <v>1586302</v>
      </c>
      <c r="C3632" s="19" t="s">
        <v>5311</v>
      </c>
      <c r="D3632" s="5" t="s">
        <v>8</v>
      </c>
      <c r="E3632" s="19" t="s">
        <v>6750</v>
      </c>
      <c r="F3632" s="34" t="s">
        <v>3574</v>
      </c>
      <c r="G3632" s="27">
        <v>68.75</v>
      </c>
      <c r="H3632" s="1" t="s">
        <v>774</v>
      </c>
      <c r="I3632" s="20">
        <v>1</v>
      </c>
      <c r="J3632" s="36">
        <v>0.06</v>
      </c>
    </row>
    <row r="3633" spans="2:10" x14ac:dyDescent="0.35">
      <c r="B3633" s="18" t="s">
        <v>4177</v>
      </c>
      <c r="C3633" s="19" t="s">
        <v>5307</v>
      </c>
      <c r="D3633" s="5" t="s">
        <v>8</v>
      </c>
      <c r="E3633" s="19" t="s">
        <v>6751</v>
      </c>
      <c r="F3633" s="34" t="s">
        <v>3574</v>
      </c>
      <c r="G3633" s="27">
        <v>59.64</v>
      </c>
      <c r="H3633" s="1" t="s">
        <v>774</v>
      </c>
      <c r="I3633" s="20">
        <v>1</v>
      </c>
      <c r="J3633" s="36">
        <v>0.06</v>
      </c>
    </row>
    <row r="3634" spans="2:10" x14ac:dyDescent="0.35">
      <c r="B3634" s="18">
        <v>1586975</v>
      </c>
      <c r="C3634" s="19" t="s">
        <v>5312</v>
      </c>
      <c r="D3634" s="5" t="s">
        <v>8</v>
      </c>
      <c r="E3634" s="19" t="s">
        <v>6752</v>
      </c>
      <c r="F3634" s="34" t="s">
        <v>3574</v>
      </c>
      <c r="G3634" s="27">
        <v>47.78</v>
      </c>
      <c r="H3634" s="1" t="s">
        <v>774</v>
      </c>
      <c r="I3634" s="20">
        <v>1</v>
      </c>
      <c r="J3634" s="36">
        <v>0.06</v>
      </c>
    </row>
    <row r="3635" spans="2:10" x14ac:dyDescent="0.35">
      <c r="B3635" s="18" t="s">
        <v>4178</v>
      </c>
      <c r="C3635" s="19" t="s">
        <v>5307</v>
      </c>
      <c r="D3635" s="5" t="s">
        <v>8</v>
      </c>
      <c r="E3635" s="19" t="s">
        <v>6753</v>
      </c>
      <c r="F3635" s="34" t="s">
        <v>3574</v>
      </c>
      <c r="G3635" s="27">
        <v>46.55</v>
      </c>
      <c r="H3635" s="1" t="s">
        <v>774</v>
      </c>
      <c r="I3635" s="20">
        <v>1</v>
      </c>
      <c r="J3635" s="36">
        <v>0.06</v>
      </c>
    </row>
    <row r="3636" spans="2:10" x14ac:dyDescent="0.35">
      <c r="B3636" s="18">
        <v>1586463</v>
      </c>
      <c r="C3636" s="19" t="s">
        <v>5313</v>
      </c>
      <c r="D3636" s="5" t="s">
        <v>8</v>
      </c>
      <c r="E3636" s="19" t="s">
        <v>6754</v>
      </c>
      <c r="F3636" s="34" t="s">
        <v>3574</v>
      </c>
      <c r="G3636" s="27">
        <v>46.79</v>
      </c>
      <c r="H3636" s="1" t="s">
        <v>774</v>
      </c>
      <c r="I3636" s="20">
        <v>1</v>
      </c>
      <c r="J3636" s="36">
        <v>0.06</v>
      </c>
    </row>
    <row r="3637" spans="2:10" x14ac:dyDescent="0.35">
      <c r="B3637" s="18">
        <v>800001665</v>
      </c>
      <c r="C3637" s="19" t="s">
        <v>5314</v>
      </c>
      <c r="D3637" s="5" t="s">
        <v>8</v>
      </c>
      <c r="E3637" s="19" t="s">
        <v>6755</v>
      </c>
      <c r="F3637" s="34" t="s">
        <v>3574</v>
      </c>
      <c r="G3637" s="27">
        <v>47.17</v>
      </c>
      <c r="H3637" s="1" t="s">
        <v>774</v>
      </c>
      <c r="I3637" s="20">
        <v>1</v>
      </c>
      <c r="J3637" s="36">
        <v>0.06</v>
      </c>
    </row>
    <row r="3638" spans="2:10" x14ac:dyDescent="0.35">
      <c r="B3638" s="18" t="s">
        <v>4179</v>
      </c>
      <c r="C3638" s="19" t="s">
        <v>5307</v>
      </c>
      <c r="D3638" s="5" t="s">
        <v>8</v>
      </c>
      <c r="E3638" s="19" t="s">
        <v>6756</v>
      </c>
      <c r="F3638" s="34" t="s">
        <v>3574</v>
      </c>
      <c r="G3638" s="27">
        <v>47.17</v>
      </c>
      <c r="H3638" s="1" t="s">
        <v>774</v>
      </c>
      <c r="I3638" s="20">
        <v>1</v>
      </c>
      <c r="J3638" s="36">
        <v>0.06</v>
      </c>
    </row>
    <row r="3639" spans="2:10" x14ac:dyDescent="0.35">
      <c r="B3639" s="18">
        <v>1360739</v>
      </c>
      <c r="C3639" s="19" t="s">
        <v>5315</v>
      </c>
      <c r="D3639" s="5" t="s">
        <v>8</v>
      </c>
      <c r="E3639" s="19" t="s">
        <v>6757</v>
      </c>
      <c r="F3639" s="34" t="s">
        <v>3574</v>
      </c>
      <c r="G3639" s="27">
        <v>44.12</v>
      </c>
      <c r="H3639" s="1" t="s">
        <v>774</v>
      </c>
      <c r="I3639" s="20">
        <v>1</v>
      </c>
      <c r="J3639" s="36">
        <v>0.06</v>
      </c>
    </row>
    <row r="3640" spans="2:10" x14ac:dyDescent="0.35">
      <c r="B3640" s="18">
        <v>800004099</v>
      </c>
      <c r="C3640" s="19" t="s">
        <v>5316</v>
      </c>
      <c r="D3640" s="5" t="s">
        <v>8</v>
      </c>
      <c r="E3640" s="19" t="s">
        <v>6758</v>
      </c>
      <c r="F3640" s="34" t="s">
        <v>3574</v>
      </c>
      <c r="G3640" s="27">
        <v>98.75</v>
      </c>
      <c r="H3640" s="1" t="s">
        <v>774</v>
      </c>
      <c r="I3640" s="20">
        <v>1</v>
      </c>
      <c r="J3640" s="36">
        <v>0.06</v>
      </c>
    </row>
    <row r="3641" spans="2:10" x14ac:dyDescent="0.35">
      <c r="B3641" s="18">
        <v>1361163</v>
      </c>
      <c r="C3641" s="19" t="s">
        <v>5317</v>
      </c>
      <c r="D3641" s="5" t="s">
        <v>8</v>
      </c>
      <c r="E3641" s="19" t="s">
        <v>6759</v>
      </c>
      <c r="F3641" s="34" t="s">
        <v>3574</v>
      </c>
      <c r="G3641" s="27">
        <v>754.95</v>
      </c>
      <c r="H3641" s="1" t="s">
        <v>774</v>
      </c>
      <c r="I3641" s="20">
        <v>1</v>
      </c>
      <c r="J3641" s="36">
        <v>0.06</v>
      </c>
    </row>
    <row r="3642" spans="2:10" x14ac:dyDescent="0.35">
      <c r="B3642" s="18" t="s">
        <v>4180</v>
      </c>
      <c r="C3642" s="19" t="s">
        <v>5307</v>
      </c>
      <c r="D3642" s="5" t="s">
        <v>8</v>
      </c>
      <c r="E3642" s="19" t="s">
        <v>6760</v>
      </c>
      <c r="F3642" s="34" t="s">
        <v>3574</v>
      </c>
      <c r="G3642" s="27">
        <v>641.26</v>
      </c>
      <c r="H3642" s="1" t="s">
        <v>774</v>
      </c>
      <c r="I3642" s="20">
        <v>1</v>
      </c>
      <c r="J3642" s="36">
        <v>0.06</v>
      </c>
    </row>
    <row r="3643" spans="2:10" x14ac:dyDescent="0.35">
      <c r="B3643" s="18" t="s">
        <v>4181</v>
      </c>
      <c r="C3643" s="19" t="s">
        <v>5318</v>
      </c>
      <c r="D3643" s="5" t="s">
        <v>8</v>
      </c>
      <c r="E3643" s="19" t="s">
        <v>6761</v>
      </c>
      <c r="F3643" s="34" t="s">
        <v>3574</v>
      </c>
      <c r="G3643" s="27">
        <v>850.73</v>
      </c>
      <c r="H3643" s="1" t="s">
        <v>774</v>
      </c>
      <c r="I3643" s="20">
        <v>1</v>
      </c>
      <c r="J3643" s="36">
        <v>0.06</v>
      </c>
    </row>
    <row r="3644" spans="2:10" x14ac:dyDescent="0.35">
      <c r="B3644" s="18" t="s">
        <v>4182</v>
      </c>
      <c r="C3644" s="19" t="s">
        <v>5319</v>
      </c>
      <c r="D3644" s="5" t="s">
        <v>8</v>
      </c>
      <c r="E3644" s="19" t="s">
        <v>6762</v>
      </c>
      <c r="F3644" s="34" t="s">
        <v>3574</v>
      </c>
      <c r="G3644" s="27">
        <v>765.99</v>
      </c>
      <c r="H3644" s="1" t="s">
        <v>774</v>
      </c>
      <c r="I3644" s="20">
        <v>1</v>
      </c>
      <c r="J3644" s="36">
        <v>0.06</v>
      </c>
    </row>
    <row r="3645" spans="2:10" x14ac:dyDescent="0.35">
      <c r="B3645" s="18">
        <v>3601531</v>
      </c>
      <c r="C3645" s="19" t="s">
        <v>5320</v>
      </c>
      <c r="D3645" s="5" t="s">
        <v>8</v>
      </c>
      <c r="E3645" s="19" t="s">
        <v>6763</v>
      </c>
      <c r="F3645" s="34" t="s">
        <v>3574</v>
      </c>
      <c r="G3645" s="27">
        <v>11.35</v>
      </c>
      <c r="H3645" s="1" t="s">
        <v>774</v>
      </c>
      <c r="I3645" s="20">
        <v>1</v>
      </c>
      <c r="J3645" s="36">
        <v>0.06</v>
      </c>
    </row>
    <row r="3646" spans="2:10" x14ac:dyDescent="0.35">
      <c r="B3646" s="18">
        <v>3601532</v>
      </c>
      <c r="C3646" s="19" t="s">
        <v>5321</v>
      </c>
      <c r="D3646" s="5" t="s">
        <v>8</v>
      </c>
      <c r="E3646" s="19" t="s">
        <v>6764</v>
      </c>
      <c r="F3646" s="34" t="s">
        <v>3574</v>
      </c>
      <c r="G3646" s="27">
        <v>10.1</v>
      </c>
      <c r="H3646" s="1" t="s">
        <v>774</v>
      </c>
      <c r="I3646" s="20">
        <v>1</v>
      </c>
      <c r="J3646" s="36">
        <v>0.06</v>
      </c>
    </row>
    <row r="3647" spans="2:10" x14ac:dyDescent="0.35">
      <c r="B3647" s="18">
        <v>3601533</v>
      </c>
      <c r="C3647" s="19" t="s">
        <v>5322</v>
      </c>
      <c r="D3647" s="5" t="s">
        <v>8</v>
      </c>
      <c r="E3647" s="19" t="s">
        <v>6765</v>
      </c>
      <c r="F3647" s="34" t="s">
        <v>3574</v>
      </c>
      <c r="G3647" s="27">
        <v>10.31</v>
      </c>
      <c r="H3647" s="1" t="s">
        <v>774</v>
      </c>
      <c r="I3647" s="20">
        <v>1</v>
      </c>
      <c r="J3647" s="36">
        <v>0.06</v>
      </c>
    </row>
    <row r="3648" spans="2:10" x14ac:dyDescent="0.35">
      <c r="B3648" s="18">
        <v>3601534</v>
      </c>
      <c r="C3648" s="19" t="s">
        <v>5323</v>
      </c>
      <c r="D3648" s="5" t="s">
        <v>8</v>
      </c>
      <c r="E3648" s="19" t="s">
        <v>6766</v>
      </c>
      <c r="F3648" s="34" t="s">
        <v>3574</v>
      </c>
      <c r="G3648" s="27">
        <v>10.1</v>
      </c>
      <c r="H3648" s="1" t="s">
        <v>774</v>
      </c>
      <c r="I3648" s="20">
        <v>1</v>
      </c>
      <c r="J3648" s="36">
        <v>0.06</v>
      </c>
    </row>
    <row r="3649" spans="2:10" x14ac:dyDescent="0.35">
      <c r="B3649" s="18" t="s">
        <v>4183</v>
      </c>
      <c r="C3649" s="19" t="s">
        <v>5324</v>
      </c>
      <c r="D3649" s="5" t="s">
        <v>8</v>
      </c>
      <c r="E3649" s="19" t="s">
        <v>6767</v>
      </c>
      <c r="F3649" s="34" t="s">
        <v>3574</v>
      </c>
      <c r="G3649" s="27">
        <v>9.44</v>
      </c>
      <c r="H3649" s="1" t="s">
        <v>774</v>
      </c>
      <c r="I3649" s="20">
        <v>1</v>
      </c>
      <c r="J3649" s="36">
        <v>0.06</v>
      </c>
    </row>
    <row r="3650" spans="2:10" x14ac:dyDescent="0.35">
      <c r="B3650" s="18">
        <v>4001572</v>
      </c>
      <c r="C3650" s="19" t="s">
        <v>5325</v>
      </c>
      <c r="D3650" s="5" t="s">
        <v>8</v>
      </c>
      <c r="E3650" s="19" t="s">
        <v>6768</v>
      </c>
      <c r="F3650" s="34" t="s">
        <v>3574</v>
      </c>
      <c r="G3650" s="27">
        <v>16.48</v>
      </c>
      <c r="H3650" s="1" t="s">
        <v>774</v>
      </c>
      <c r="I3650" s="20">
        <v>1</v>
      </c>
      <c r="J3650" s="36">
        <v>0.06</v>
      </c>
    </row>
    <row r="3651" spans="2:10" x14ac:dyDescent="0.35">
      <c r="B3651" s="18">
        <v>1585534</v>
      </c>
      <c r="C3651" s="19" t="s">
        <v>5326</v>
      </c>
      <c r="D3651" s="5" t="s">
        <v>8</v>
      </c>
      <c r="E3651" s="19" t="s">
        <v>6769</v>
      </c>
      <c r="F3651" s="34" t="s">
        <v>3574</v>
      </c>
      <c r="G3651" s="27">
        <v>30.29</v>
      </c>
      <c r="H3651" s="1" t="s">
        <v>774</v>
      </c>
      <c r="I3651" s="20">
        <v>1</v>
      </c>
      <c r="J3651" s="36">
        <v>0.06</v>
      </c>
    </row>
    <row r="3652" spans="2:10" x14ac:dyDescent="0.35">
      <c r="B3652" s="18">
        <v>3603120</v>
      </c>
      <c r="C3652" s="19" t="s">
        <v>5327</v>
      </c>
      <c r="D3652" s="5" t="s">
        <v>8</v>
      </c>
      <c r="E3652" s="19" t="s">
        <v>6770</v>
      </c>
      <c r="F3652" s="34" t="s">
        <v>3574</v>
      </c>
      <c r="G3652" s="27">
        <v>16.559999999999999</v>
      </c>
      <c r="H3652" s="1" t="s">
        <v>774</v>
      </c>
      <c r="I3652" s="20">
        <v>1</v>
      </c>
      <c r="J3652" s="36">
        <v>0.06</v>
      </c>
    </row>
    <row r="3653" spans="2:10" x14ac:dyDescent="0.35">
      <c r="B3653" s="18">
        <v>3603121</v>
      </c>
      <c r="C3653" s="19" t="s">
        <v>5328</v>
      </c>
      <c r="D3653" s="5" t="s">
        <v>8</v>
      </c>
      <c r="E3653" s="19" t="s">
        <v>6771</v>
      </c>
      <c r="F3653" s="34" t="s">
        <v>3574</v>
      </c>
      <c r="G3653" s="27">
        <v>14.45</v>
      </c>
      <c r="H3653" s="1" t="s">
        <v>774</v>
      </c>
      <c r="I3653" s="20">
        <v>1</v>
      </c>
      <c r="J3653" s="36">
        <v>0.06</v>
      </c>
    </row>
    <row r="3654" spans="2:10" x14ac:dyDescent="0.35">
      <c r="B3654" s="18">
        <v>3603122</v>
      </c>
      <c r="C3654" s="19" t="s">
        <v>5329</v>
      </c>
      <c r="D3654" s="5" t="s">
        <v>8</v>
      </c>
      <c r="E3654" s="19" t="s">
        <v>6772</v>
      </c>
      <c r="F3654" s="34" t="s">
        <v>3574</v>
      </c>
      <c r="G3654" s="27">
        <v>13.33</v>
      </c>
      <c r="H3654" s="1" t="s">
        <v>774</v>
      </c>
      <c r="I3654" s="20">
        <v>1</v>
      </c>
      <c r="J3654" s="36">
        <v>0.06</v>
      </c>
    </row>
    <row r="3655" spans="2:10" x14ac:dyDescent="0.35">
      <c r="B3655" s="18">
        <v>3603110</v>
      </c>
      <c r="C3655" s="19" t="s">
        <v>5330</v>
      </c>
      <c r="D3655" s="5" t="s">
        <v>8</v>
      </c>
      <c r="E3655" s="19" t="s">
        <v>6773</v>
      </c>
      <c r="F3655" s="34" t="s">
        <v>3574</v>
      </c>
      <c r="G3655" s="27">
        <v>14.32</v>
      </c>
      <c r="H3655" s="1" t="s">
        <v>774</v>
      </c>
      <c r="I3655" s="20">
        <v>1</v>
      </c>
      <c r="J3655" s="36">
        <v>0.06</v>
      </c>
    </row>
    <row r="3656" spans="2:10" x14ac:dyDescent="0.35">
      <c r="B3656" s="18">
        <v>3601536</v>
      </c>
      <c r="C3656" s="19" t="s">
        <v>5331</v>
      </c>
      <c r="D3656" s="5" t="s">
        <v>8</v>
      </c>
      <c r="E3656" s="19" t="s">
        <v>6774</v>
      </c>
      <c r="F3656" s="34" t="s">
        <v>3574</v>
      </c>
      <c r="G3656" s="27">
        <v>13.02</v>
      </c>
      <c r="H3656" s="1" t="s">
        <v>774</v>
      </c>
      <c r="I3656" s="20">
        <v>1</v>
      </c>
      <c r="J3656" s="36">
        <v>0.06</v>
      </c>
    </row>
    <row r="3657" spans="2:10" x14ac:dyDescent="0.35">
      <c r="B3657" s="18">
        <v>3603136</v>
      </c>
      <c r="C3657" s="19" t="s">
        <v>5332</v>
      </c>
      <c r="D3657" s="5" t="s">
        <v>8</v>
      </c>
      <c r="E3657" s="19" t="s">
        <v>6775</v>
      </c>
      <c r="F3657" s="34" t="s">
        <v>3574</v>
      </c>
      <c r="G3657" s="27">
        <v>37.479999999999997</v>
      </c>
      <c r="H3657" s="1" t="s">
        <v>774</v>
      </c>
      <c r="I3657" s="20">
        <v>1</v>
      </c>
      <c r="J3657" s="36">
        <v>0.06</v>
      </c>
    </row>
    <row r="3658" spans="2:10" x14ac:dyDescent="0.35">
      <c r="B3658" s="18">
        <v>2001562</v>
      </c>
      <c r="C3658" s="19" t="s">
        <v>5333</v>
      </c>
      <c r="D3658" s="5" t="s">
        <v>8</v>
      </c>
      <c r="E3658" s="19" t="s">
        <v>6776</v>
      </c>
      <c r="F3658" s="34" t="s">
        <v>3574</v>
      </c>
      <c r="G3658" s="27">
        <v>22.04</v>
      </c>
      <c r="H3658" s="1" t="s">
        <v>774</v>
      </c>
      <c r="I3658" s="20">
        <v>1</v>
      </c>
      <c r="J3658" s="36">
        <v>0.06</v>
      </c>
    </row>
    <row r="3659" spans="2:10" x14ac:dyDescent="0.35">
      <c r="B3659" s="18" t="s">
        <v>4184</v>
      </c>
      <c r="C3659" s="19" t="s">
        <v>5334</v>
      </c>
      <c r="D3659" s="5" t="s">
        <v>8</v>
      </c>
      <c r="E3659" s="19" t="s">
        <v>6777</v>
      </c>
      <c r="F3659" s="34" t="s">
        <v>3574</v>
      </c>
      <c r="G3659" s="27">
        <v>45.08</v>
      </c>
      <c r="H3659" s="1" t="s">
        <v>774</v>
      </c>
      <c r="I3659" s="20">
        <v>1</v>
      </c>
      <c r="J3659" s="36">
        <v>0.06</v>
      </c>
    </row>
    <row r="3660" spans="2:10" x14ac:dyDescent="0.35">
      <c r="B3660" s="18">
        <v>1402850</v>
      </c>
      <c r="C3660" s="19" t="s">
        <v>5335</v>
      </c>
      <c r="D3660" s="5" t="s">
        <v>8</v>
      </c>
      <c r="E3660" s="19" t="s">
        <v>6778</v>
      </c>
      <c r="F3660" s="34" t="s">
        <v>3574</v>
      </c>
      <c r="G3660" s="27">
        <v>170.81</v>
      </c>
      <c r="H3660" s="1" t="s">
        <v>774</v>
      </c>
      <c r="I3660" s="20">
        <v>1</v>
      </c>
      <c r="J3660" s="36">
        <v>0.06</v>
      </c>
    </row>
    <row r="3661" spans="2:10" x14ac:dyDescent="0.35">
      <c r="B3661" s="18">
        <v>1586839</v>
      </c>
      <c r="C3661" s="19" t="s">
        <v>5336</v>
      </c>
      <c r="D3661" s="5" t="s">
        <v>8</v>
      </c>
      <c r="E3661" s="19" t="s">
        <v>6779</v>
      </c>
      <c r="F3661" s="34" t="s">
        <v>3574</v>
      </c>
      <c r="G3661" s="27">
        <v>5.3</v>
      </c>
      <c r="H3661" s="1" t="s">
        <v>774</v>
      </c>
      <c r="I3661" s="20">
        <v>1</v>
      </c>
      <c r="J3661" s="36">
        <v>0.06</v>
      </c>
    </row>
    <row r="3662" spans="2:10" x14ac:dyDescent="0.35">
      <c r="B3662" s="18" t="s">
        <v>4185</v>
      </c>
      <c r="C3662" s="19" t="s">
        <v>5337</v>
      </c>
      <c r="D3662" s="5" t="s">
        <v>8</v>
      </c>
      <c r="E3662" s="19" t="s">
        <v>6780</v>
      </c>
      <c r="F3662" s="34" t="s">
        <v>3574</v>
      </c>
      <c r="G3662" s="27">
        <v>50.3</v>
      </c>
      <c r="H3662" s="1" t="s">
        <v>774</v>
      </c>
      <c r="I3662" s="20">
        <v>1</v>
      </c>
      <c r="J3662" s="36">
        <v>0.06</v>
      </c>
    </row>
    <row r="3663" spans="2:10" x14ac:dyDescent="0.35">
      <c r="B3663" s="18" t="s">
        <v>4186</v>
      </c>
      <c r="C3663" s="19" t="s">
        <v>5338</v>
      </c>
      <c r="D3663" s="5" t="s">
        <v>8</v>
      </c>
      <c r="E3663" s="19" t="s">
        <v>6781</v>
      </c>
      <c r="F3663" s="34" t="s">
        <v>3574</v>
      </c>
      <c r="G3663" s="27">
        <v>22.08</v>
      </c>
      <c r="H3663" s="1" t="s">
        <v>774</v>
      </c>
      <c r="I3663" s="20">
        <v>1</v>
      </c>
      <c r="J3663" s="36">
        <v>0.06</v>
      </c>
    </row>
    <row r="3664" spans="2:10" x14ac:dyDescent="0.35">
      <c r="B3664" s="18" t="s">
        <v>4187</v>
      </c>
      <c r="C3664" s="19" t="s">
        <v>5339</v>
      </c>
      <c r="D3664" s="5" t="s">
        <v>8</v>
      </c>
      <c r="E3664" s="19" t="s">
        <v>6782</v>
      </c>
      <c r="F3664" s="34" t="s">
        <v>3574</v>
      </c>
      <c r="G3664" s="27">
        <v>166.4</v>
      </c>
      <c r="H3664" s="1" t="s">
        <v>774</v>
      </c>
      <c r="I3664" s="20">
        <v>1</v>
      </c>
      <c r="J3664" s="36">
        <v>0.06</v>
      </c>
    </row>
    <row r="3665" spans="2:10" x14ac:dyDescent="0.35">
      <c r="B3665" s="18">
        <v>1585275</v>
      </c>
      <c r="C3665" s="19" t="s">
        <v>5340</v>
      </c>
      <c r="D3665" s="5" t="s">
        <v>8</v>
      </c>
      <c r="E3665" s="19" t="s">
        <v>6783</v>
      </c>
      <c r="F3665" s="34" t="s">
        <v>3574</v>
      </c>
      <c r="G3665" s="27">
        <v>13.25</v>
      </c>
      <c r="H3665" s="1" t="s">
        <v>774</v>
      </c>
      <c r="I3665" s="20">
        <v>1</v>
      </c>
      <c r="J3665" s="36">
        <v>0.06</v>
      </c>
    </row>
    <row r="3666" spans="2:10" x14ac:dyDescent="0.35">
      <c r="B3666" s="18" t="s">
        <v>4188</v>
      </c>
      <c r="C3666" s="19" t="s">
        <v>5341</v>
      </c>
      <c r="D3666" s="5" t="s">
        <v>8</v>
      </c>
      <c r="E3666" s="19" t="s">
        <v>6784</v>
      </c>
      <c r="F3666" s="34" t="s">
        <v>3574</v>
      </c>
      <c r="G3666" s="27">
        <v>341.62</v>
      </c>
      <c r="H3666" s="1" t="s">
        <v>774</v>
      </c>
      <c r="I3666" s="20">
        <v>1</v>
      </c>
      <c r="J3666" s="36">
        <v>0.06</v>
      </c>
    </row>
    <row r="3667" spans="2:10" x14ac:dyDescent="0.35">
      <c r="B3667" s="18" t="s">
        <v>4189</v>
      </c>
      <c r="C3667" s="19" t="s">
        <v>5342</v>
      </c>
      <c r="D3667" s="5" t="s">
        <v>8</v>
      </c>
      <c r="E3667" s="19" t="s">
        <v>6785</v>
      </c>
      <c r="F3667" s="34" t="s">
        <v>3574</v>
      </c>
      <c r="G3667" s="27">
        <v>205.3</v>
      </c>
      <c r="H3667" s="1" t="s">
        <v>774</v>
      </c>
      <c r="I3667" s="20">
        <v>1</v>
      </c>
      <c r="J3667" s="36">
        <v>0.06</v>
      </c>
    </row>
    <row r="3668" spans="2:10" x14ac:dyDescent="0.35">
      <c r="B3668" s="18">
        <v>4001595</v>
      </c>
      <c r="C3668" s="19" t="s">
        <v>5343</v>
      </c>
      <c r="D3668" s="5" t="s">
        <v>8</v>
      </c>
      <c r="E3668" s="19" t="s">
        <v>6786</v>
      </c>
      <c r="F3668" s="34" t="s">
        <v>3574</v>
      </c>
      <c r="G3668" s="27">
        <v>169.8</v>
      </c>
      <c r="H3668" s="1" t="s">
        <v>774</v>
      </c>
      <c r="I3668" s="20">
        <v>1</v>
      </c>
      <c r="J3668" s="36">
        <v>0.06</v>
      </c>
    </row>
    <row r="3669" spans="2:10" x14ac:dyDescent="0.35">
      <c r="B3669" s="18" t="s">
        <v>4190</v>
      </c>
      <c r="C3669" s="19" t="s">
        <v>5307</v>
      </c>
      <c r="D3669" s="5" t="s">
        <v>8</v>
      </c>
      <c r="E3669" s="19" t="s">
        <v>6787</v>
      </c>
      <c r="F3669" s="34" t="s">
        <v>3574</v>
      </c>
      <c r="G3669" s="27">
        <v>31.56</v>
      </c>
      <c r="H3669" s="1" t="s">
        <v>774</v>
      </c>
      <c r="I3669" s="20">
        <v>1</v>
      </c>
      <c r="J3669" s="36">
        <v>0.06</v>
      </c>
    </row>
    <row r="3670" spans="2:10" x14ac:dyDescent="0.35">
      <c r="B3670" s="18">
        <v>4000457</v>
      </c>
      <c r="C3670" s="19" t="s">
        <v>5344</v>
      </c>
      <c r="D3670" s="5" t="s">
        <v>8</v>
      </c>
      <c r="E3670" s="19" t="s">
        <v>6788</v>
      </c>
      <c r="F3670" s="34" t="s">
        <v>3574</v>
      </c>
      <c r="G3670" s="27">
        <v>799.23</v>
      </c>
      <c r="H3670" s="1" t="s">
        <v>774</v>
      </c>
      <c r="I3670" s="20">
        <v>1</v>
      </c>
      <c r="J3670" s="36">
        <v>0.06</v>
      </c>
    </row>
    <row r="3671" spans="2:10" x14ac:dyDescent="0.35">
      <c r="G3671" s="45"/>
    </row>
    <row r="3672" spans="2:10" x14ac:dyDescent="0.35">
      <c r="G3672" s="45"/>
    </row>
    <row r="3673" spans="2:10" x14ac:dyDescent="0.35">
      <c r="G3673" s="45"/>
    </row>
    <row r="3674" spans="2:10" x14ac:dyDescent="0.35">
      <c r="G3674" s="45"/>
    </row>
    <row r="3675" spans="2:10" x14ac:dyDescent="0.35">
      <c r="G3675" s="45"/>
    </row>
    <row r="3676" spans="2:10" x14ac:dyDescent="0.35">
      <c r="G3676" s="45"/>
    </row>
    <row r="3677" spans="2:10" x14ac:dyDescent="0.35">
      <c r="G3677" s="45"/>
    </row>
    <row r="3678" spans="2:10" x14ac:dyDescent="0.35">
      <c r="G3678" s="45"/>
    </row>
    <row r="3679" spans="2:10" x14ac:dyDescent="0.35">
      <c r="G3679" s="45"/>
    </row>
    <row r="3680" spans="2:10" x14ac:dyDescent="0.35">
      <c r="G3680" s="45"/>
    </row>
    <row r="3681" spans="7:7" x14ac:dyDescent="0.35">
      <c r="G3681" s="45"/>
    </row>
    <row r="3682" spans="7:7" x14ac:dyDescent="0.35">
      <c r="G3682" s="45"/>
    </row>
    <row r="3683" spans="7:7" x14ac:dyDescent="0.35">
      <c r="G3683" s="45"/>
    </row>
    <row r="3684" spans="7:7" x14ac:dyDescent="0.35">
      <c r="G3684" s="45"/>
    </row>
    <row r="3685" spans="7:7" x14ac:dyDescent="0.35">
      <c r="G3685" s="45"/>
    </row>
    <row r="3686" spans="7:7" x14ac:dyDescent="0.35">
      <c r="G3686" s="45"/>
    </row>
    <row r="3687" spans="7:7" x14ac:dyDescent="0.35">
      <c r="G3687" s="45"/>
    </row>
    <row r="3688" spans="7:7" x14ac:dyDescent="0.35">
      <c r="G3688" s="45"/>
    </row>
    <row r="3689" spans="7:7" x14ac:dyDescent="0.35">
      <c r="G3689" s="45"/>
    </row>
    <row r="3690" spans="7:7" x14ac:dyDescent="0.35">
      <c r="G3690" s="45"/>
    </row>
    <row r="3691" spans="7:7" x14ac:dyDescent="0.35">
      <c r="G3691" s="45"/>
    </row>
    <row r="3692" spans="7:7" x14ac:dyDescent="0.35">
      <c r="G3692" s="45"/>
    </row>
    <row r="3693" spans="7:7" x14ac:dyDescent="0.35">
      <c r="G3693" s="45"/>
    </row>
    <row r="3694" spans="7:7" x14ac:dyDescent="0.35">
      <c r="G3694" s="45"/>
    </row>
    <row r="3695" spans="7:7" x14ac:dyDescent="0.35">
      <c r="G3695" s="45"/>
    </row>
    <row r="3696" spans="7:7" x14ac:dyDescent="0.35">
      <c r="G3696" s="45"/>
    </row>
    <row r="3697" spans="7:7" x14ac:dyDescent="0.35">
      <c r="G3697" s="45"/>
    </row>
    <row r="3698" spans="7:7" x14ac:dyDescent="0.35">
      <c r="G3698" s="45"/>
    </row>
    <row r="3699" spans="7:7" x14ac:dyDescent="0.35">
      <c r="G3699" s="45"/>
    </row>
    <row r="3700" spans="7:7" x14ac:dyDescent="0.35">
      <c r="G3700" s="45"/>
    </row>
    <row r="3701" spans="7:7" x14ac:dyDescent="0.35">
      <c r="G3701" s="45"/>
    </row>
    <row r="3702" spans="7:7" x14ac:dyDescent="0.35">
      <c r="G3702" s="45"/>
    </row>
    <row r="3703" spans="7:7" x14ac:dyDescent="0.35">
      <c r="G3703" s="45"/>
    </row>
    <row r="3704" spans="7:7" x14ac:dyDescent="0.35">
      <c r="G3704" s="45"/>
    </row>
    <row r="3705" spans="7:7" x14ac:dyDescent="0.35">
      <c r="G3705" s="45"/>
    </row>
    <row r="3706" spans="7:7" x14ac:dyDescent="0.35">
      <c r="G3706" s="45"/>
    </row>
    <row r="3707" spans="7:7" x14ac:dyDescent="0.35">
      <c r="G3707" s="45"/>
    </row>
    <row r="3708" spans="7:7" x14ac:dyDescent="0.35">
      <c r="G3708" s="45"/>
    </row>
    <row r="3709" spans="7:7" x14ac:dyDescent="0.35">
      <c r="G3709" s="45"/>
    </row>
    <row r="3710" spans="7:7" x14ac:dyDescent="0.35">
      <c r="G3710" s="45"/>
    </row>
    <row r="3711" spans="7:7" x14ac:dyDescent="0.35">
      <c r="G3711" s="45"/>
    </row>
    <row r="3712" spans="7:7" x14ac:dyDescent="0.35">
      <c r="G3712" s="45"/>
    </row>
    <row r="3713" spans="7:7" x14ac:dyDescent="0.35">
      <c r="G3713" s="45"/>
    </row>
    <row r="3714" spans="7:7" x14ac:dyDescent="0.35">
      <c r="G3714" s="45"/>
    </row>
    <row r="3715" spans="7:7" x14ac:dyDescent="0.35">
      <c r="G3715" s="45"/>
    </row>
    <row r="3716" spans="7:7" x14ac:dyDescent="0.35">
      <c r="G3716" s="45"/>
    </row>
    <row r="3717" spans="7:7" x14ac:dyDescent="0.35">
      <c r="G3717" s="45"/>
    </row>
    <row r="3718" spans="7:7" x14ac:dyDescent="0.35">
      <c r="G3718" s="45"/>
    </row>
    <row r="3719" spans="7:7" x14ac:dyDescent="0.35">
      <c r="G3719" s="45"/>
    </row>
    <row r="3720" spans="7:7" x14ac:dyDescent="0.35">
      <c r="G3720" s="45"/>
    </row>
    <row r="3721" spans="7:7" x14ac:dyDescent="0.35">
      <c r="G3721" s="45"/>
    </row>
    <row r="3722" spans="7:7" x14ac:dyDescent="0.35">
      <c r="G3722" s="45"/>
    </row>
    <row r="3723" spans="7:7" x14ac:dyDescent="0.35">
      <c r="G3723" s="45"/>
    </row>
    <row r="3724" spans="7:7" x14ac:dyDescent="0.35">
      <c r="G3724" s="45"/>
    </row>
    <row r="3725" spans="7:7" x14ac:dyDescent="0.35">
      <c r="G3725" s="45"/>
    </row>
    <row r="3726" spans="7:7" x14ac:dyDescent="0.35">
      <c r="G3726" s="45"/>
    </row>
    <row r="3727" spans="7:7" x14ac:dyDescent="0.35">
      <c r="G3727" s="45"/>
    </row>
    <row r="3728" spans="7:7" x14ac:dyDescent="0.35">
      <c r="G3728" s="45"/>
    </row>
    <row r="3729" spans="7:7" x14ac:dyDescent="0.35">
      <c r="G3729" s="45"/>
    </row>
    <row r="3730" spans="7:7" x14ac:dyDescent="0.35">
      <c r="G3730" s="45"/>
    </row>
    <row r="3731" spans="7:7" x14ac:dyDescent="0.35">
      <c r="G3731" s="45"/>
    </row>
    <row r="3732" spans="7:7" x14ac:dyDescent="0.35">
      <c r="G3732" s="45"/>
    </row>
    <row r="3733" spans="7:7" x14ac:dyDescent="0.35">
      <c r="G3733" s="45"/>
    </row>
    <row r="3734" spans="7:7" x14ac:dyDescent="0.35">
      <c r="G3734" s="45"/>
    </row>
    <row r="3735" spans="7:7" x14ac:dyDescent="0.35">
      <c r="G3735" s="45"/>
    </row>
    <row r="3736" spans="7:7" x14ac:dyDescent="0.35">
      <c r="G3736" s="45"/>
    </row>
    <row r="3737" spans="7:7" x14ac:dyDescent="0.35">
      <c r="G3737" s="45"/>
    </row>
    <row r="3738" spans="7:7" x14ac:dyDescent="0.35">
      <c r="G3738" s="45"/>
    </row>
    <row r="3739" spans="7:7" x14ac:dyDescent="0.35">
      <c r="G3739" s="45"/>
    </row>
    <row r="3740" spans="7:7" x14ac:dyDescent="0.35">
      <c r="G3740" s="45"/>
    </row>
    <row r="3741" spans="7:7" x14ac:dyDescent="0.35">
      <c r="G3741" s="45"/>
    </row>
    <row r="3742" spans="7:7" x14ac:dyDescent="0.35">
      <c r="G3742" s="45"/>
    </row>
    <row r="3743" spans="7:7" x14ac:dyDescent="0.35">
      <c r="G3743" s="45"/>
    </row>
    <row r="3744" spans="7:7" x14ac:dyDescent="0.35">
      <c r="G3744" s="45"/>
    </row>
    <row r="3745" spans="7:7" x14ac:dyDescent="0.35">
      <c r="G3745" s="45"/>
    </row>
    <row r="3746" spans="7:7" x14ac:dyDescent="0.35">
      <c r="G3746" s="45"/>
    </row>
    <row r="3747" spans="7:7" x14ac:dyDescent="0.35">
      <c r="G3747" s="45"/>
    </row>
    <row r="3748" spans="7:7" x14ac:dyDescent="0.35">
      <c r="G3748" s="45"/>
    </row>
    <row r="3749" spans="7:7" x14ac:dyDescent="0.35">
      <c r="G3749" s="45"/>
    </row>
    <row r="3750" spans="7:7" x14ac:dyDescent="0.35">
      <c r="G3750" s="45"/>
    </row>
    <row r="3751" spans="7:7" x14ac:dyDescent="0.35">
      <c r="G3751" s="45"/>
    </row>
    <row r="3752" spans="7:7" x14ac:dyDescent="0.35">
      <c r="G3752" s="45"/>
    </row>
    <row r="3753" spans="7:7" x14ac:dyDescent="0.35">
      <c r="G3753" s="45"/>
    </row>
    <row r="3754" spans="7:7" x14ac:dyDescent="0.35">
      <c r="G3754" s="45"/>
    </row>
    <row r="3755" spans="7:7" x14ac:dyDescent="0.35">
      <c r="G3755" s="45"/>
    </row>
    <row r="3756" spans="7:7" x14ac:dyDescent="0.35">
      <c r="G3756" s="45"/>
    </row>
    <row r="3757" spans="7:7" x14ac:dyDescent="0.35">
      <c r="G3757" s="45"/>
    </row>
    <row r="3758" spans="7:7" x14ac:dyDescent="0.35">
      <c r="G3758" s="45"/>
    </row>
    <row r="3759" spans="7:7" x14ac:dyDescent="0.35">
      <c r="G3759" s="45"/>
    </row>
    <row r="3760" spans="7:7" x14ac:dyDescent="0.35">
      <c r="G3760" s="45"/>
    </row>
    <row r="3761" spans="7:7" x14ac:dyDescent="0.35">
      <c r="G3761" s="45"/>
    </row>
    <row r="3762" spans="7:7" x14ac:dyDescent="0.35">
      <c r="G3762" s="45"/>
    </row>
    <row r="3763" spans="7:7" x14ac:dyDescent="0.35">
      <c r="G3763" s="45"/>
    </row>
    <row r="3764" spans="7:7" x14ac:dyDescent="0.35">
      <c r="G3764" s="45"/>
    </row>
    <row r="3765" spans="7:7" x14ac:dyDescent="0.35">
      <c r="G3765" s="45"/>
    </row>
    <row r="3766" spans="7:7" x14ac:dyDescent="0.35">
      <c r="G3766" s="45"/>
    </row>
    <row r="3767" spans="7:7" x14ac:dyDescent="0.35">
      <c r="G3767" s="45"/>
    </row>
    <row r="3768" spans="7:7" x14ac:dyDescent="0.35">
      <c r="G3768" s="45"/>
    </row>
    <row r="3769" spans="7:7" x14ac:dyDescent="0.35">
      <c r="G3769" s="45"/>
    </row>
    <row r="3770" spans="7:7" x14ac:dyDescent="0.35">
      <c r="G3770" s="45"/>
    </row>
    <row r="3771" spans="7:7" x14ac:dyDescent="0.35">
      <c r="G3771" s="45"/>
    </row>
    <row r="3772" spans="7:7" x14ac:dyDescent="0.35">
      <c r="G3772" s="45"/>
    </row>
    <row r="3773" spans="7:7" x14ac:dyDescent="0.35">
      <c r="G3773" s="45"/>
    </row>
    <row r="3774" spans="7:7" x14ac:dyDescent="0.35">
      <c r="G3774" s="45"/>
    </row>
    <row r="3775" spans="7:7" x14ac:dyDescent="0.35">
      <c r="G3775" s="45"/>
    </row>
    <row r="3776" spans="7:7" x14ac:dyDescent="0.35">
      <c r="G3776" s="45"/>
    </row>
    <row r="3777" spans="7:7" x14ac:dyDescent="0.35">
      <c r="G3777" s="45"/>
    </row>
    <row r="3778" spans="7:7" x14ac:dyDescent="0.35">
      <c r="G3778" s="45"/>
    </row>
    <row r="3779" spans="7:7" x14ac:dyDescent="0.35">
      <c r="G3779" s="45"/>
    </row>
    <row r="3780" spans="7:7" x14ac:dyDescent="0.35">
      <c r="G3780" s="45"/>
    </row>
    <row r="3781" spans="7:7" x14ac:dyDescent="0.35">
      <c r="G3781" s="45"/>
    </row>
    <row r="3782" spans="7:7" x14ac:dyDescent="0.35">
      <c r="G3782" s="45"/>
    </row>
    <row r="3783" spans="7:7" x14ac:dyDescent="0.35">
      <c r="G3783" s="45"/>
    </row>
    <row r="3784" spans="7:7" x14ac:dyDescent="0.35">
      <c r="G3784" s="45"/>
    </row>
    <row r="3785" spans="7:7" x14ac:dyDescent="0.35">
      <c r="G3785" s="45"/>
    </row>
    <row r="3786" spans="7:7" x14ac:dyDescent="0.35">
      <c r="G3786" s="45"/>
    </row>
    <row r="3787" spans="7:7" x14ac:dyDescent="0.35">
      <c r="G3787" s="45"/>
    </row>
    <row r="3788" spans="7:7" x14ac:dyDescent="0.35">
      <c r="G3788" s="45"/>
    </row>
    <row r="3789" spans="7:7" x14ac:dyDescent="0.35">
      <c r="G3789" s="45"/>
    </row>
    <row r="3790" spans="7:7" x14ac:dyDescent="0.35">
      <c r="G3790" s="45"/>
    </row>
    <row r="3791" spans="7:7" x14ac:dyDescent="0.35">
      <c r="G3791" s="45"/>
    </row>
    <row r="3792" spans="7:7" x14ac:dyDescent="0.35">
      <c r="G3792" s="45"/>
    </row>
    <row r="3793" spans="7:7" x14ac:dyDescent="0.35">
      <c r="G3793" s="45"/>
    </row>
    <row r="3794" spans="7:7" x14ac:dyDescent="0.35">
      <c r="G3794" s="45"/>
    </row>
    <row r="3795" spans="7:7" x14ac:dyDescent="0.35">
      <c r="G3795" s="45"/>
    </row>
    <row r="3796" spans="7:7" x14ac:dyDescent="0.35">
      <c r="G3796" s="45"/>
    </row>
    <row r="3797" spans="7:7" x14ac:dyDescent="0.35">
      <c r="G3797" s="45"/>
    </row>
    <row r="3798" spans="7:7" x14ac:dyDescent="0.35">
      <c r="G3798" s="45"/>
    </row>
    <row r="3799" spans="7:7" x14ac:dyDescent="0.35">
      <c r="G3799" s="45"/>
    </row>
    <row r="3800" spans="7:7" x14ac:dyDescent="0.35">
      <c r="G3800" s="45"/>
    </row>
    <row r="3801" spans="7:7" x14ac:dyDescent="0.35">
      <c r="G3801" s="45"/>
    </row>
    <row r="3802" spans="7:7" x14ac:dyDescent="0.35">
      <c r="G3802" s="45"/>
    </row>
    <row r="3803" spans="7:7" x14ac:dyDescent="0.35">
      <c r="G3803" s="45"/>
    </row>
    <row r="3804" spans="7:7" x14ac:dyDescent="0.35">
      <c r="G3804" s="45"/>
    </row>
    <row r="3805" spans="7:7" x14ac:dyDescent="0.35">
      <c r="G3805" s="45"/>
    </row>
    <row r="3806" spans="7:7" x14ac:dyDescent="0.35">
      <c r="G3806" s="45"/>
    </row>
    <row r="3807" spans="7:7" x14ac:dyDescent="0.35">
      <c r="G3807" s="45"/>
    </row>
    <row r="3808" spans="7:7" x14ac:dyDescent="0.35">
      <c r="G3808" s="45"/>
    </row>
    <row r="3809" spans="7:7" x14ac:dyDescent="0.35">
      <c r="G3809" s="45"/>
    </row>
    <row r="3810" spans="7:7" x14ac:dyDescent="0.35">
      <c r="G3810" s="45"/>
    </row>
    <row r="3811" spans="7:7" x14ac:dyDescent="0.35">
      <c r="G3811" s="45"/>
    </row>
    <row r="3812" spans="7:7" x14ac:dyDescent="0.35">
      <c r="G3812" s="45"/>
    </row>
    <row r="3813" spans="7:7" x14ac:dyDescent="0.35">
      <c r="G3813" s="45"/>
    </row>
    <row r="3814" spans="7:7" x14ac:dyDescent="0.35">
      <c r="G3814" s="45"/>
    </row>
    <row r="3815" spans="7:7" x14ac:dyDescent="0.35">
      <c r="G3815" s="45"/>
    </row>
    <row r="3816" spans="7:7" x14ac:dyDescent="0.35">
      <c r="G3816" s="45"/>
    </row>
    <row r="3817" spans="7:7" x14ac:dyDescent="0.35">
      <c r="G3817" s="45"/>
    </row>
    <row r="3818" spans="7:7" x14ac:dyDescent="0.35">
      <c r="G3818" s="45"/>
    </row>
    <row r="3819" spans="7:7" x14ac:dyDescent="0.35">
      <c r="G3819" s="45"/>
    </row>
    <row r="3820" spans="7:7" x14ac:dyDescent="0.35">
      <c r="G3820" s="45"/>
    </row>
    <row r="3821" spans="7:7" x14ac:dyDescent="0.35">
      <c r="G3821" s="45"/>
    </row>
    <row r="3822" spans="7:7" x14ac:dyDescent="0.35">
      <c r="G3822" s="45"/>
    </row>
    <row r="3823" spans="7:7" x14ac:dyDescent="0.35">
      <c r="G3823" s="45"/>
    </row>
    <row r="3824" spans="7:7" x14ac:dyDescent="0.35">
      <c r="G3824" s="45"/>
    </row>
    <row r="3825" spans="7:7" x14ac:dyDescent="0.35">
      <c r="G3825" s="45"/>
    </row>
    <row r="3826" spans="7:7" x14ac:dyDescent="0.35">
      <c r="G3826" s="45"/>
    </row>
    <row r="3827" spans="7:7" x14ac:dyDescent="0.35">
      <c r="G3827" s="45"/>
    </row>
    <row r="3828" spans="7:7" x14ac:dyDescent="0.35">
      <c r="G3828" s="45"/>
    </row>
    <row r="3829" spans="7:7" x14ac:dyDescent="0.35">
      <c r="G3829" s="45"/>
    </row>
    <row r="3830" spans="7:7" x14ac:dyDescent="0.35">
      <c r="G3830" s="45"/>
    </row>
    <row r="3831" spans="7:7" x14ac:dyDescent="0.35">
      <c r="G3831" s="45"/>
    </row>
    <row r="3832" spans="7:7" x14ac:dyDescent="0.35">
      <c r="G3832" s="45"/>
    </row>
    <row r="3833" spans="7:7" x14ac:dyDescent="0.35">
      <c r="G3833" s="45"/>
    </row>
    <row r="3834" spans="7:7" x14ac:dyDescent="0.35">
      <c r="G3834" s="45"/>
    </row>
    <row r="3835" spans="7:7" x14ac:dyDescent="0.35">
      <c r="G3835" s="45"/>
    </row>
    <row r="3836" spans="7:7" x14ac:dyDescent="0.35">
      <c r="G3836" s="45"/>
    </row>
    <row r="3837" spans="7:7" x14ac:dyDescent="0.35">
      <c r="G3837" s="45"/>
    </row>
    <row r="3838" spans="7:7" x14ac:dyDescent="0.35">
      <c r="G3838" s="45"/>
    </row>
    <row r="3839" spans="7:7" x14ac:dyDescent="0.35">
      <c r="G3839" s="45"/>
    </row>
    <row r="3840" spans="7:7" x14ac:dyDescent="0.35">
      <c r="G3840" s="45"/>
    </row>
    <row r="3841" spans="7:7" x14ac:dyDescent="0.35">
      <c r="G3841" s="45"/>
    </row>
    <row r="3842" spans="7:7" x14ac:dyDescent="0.35">
      <c r="G3842" s="45"/>
    </row>
    <row r="3843" spans="7:7" x14ac:dyDescent="0.35">
      <c r="G3843" s="45"/>
    </row>
    <row r="3844" spans="7:7" x14ac:dyDescent="0.35">
      <c r="G3844" s="45"/>
    </row>
    <row r="3845" spans="7:7" x14ac:dyDescent="0.35">
      <c r="G3845" s="45"/>
    </row>
    <row r="3846" spans="7:7" x14ac:dyDescent="0.35">
      <c r="G3846" s="45"/>
    </row>
    <row r="3847" spans="7:7" x14ac:dyDescent="0.35">
      <c r="G3847" s="45"/>
    </row>
    <row r="3848" spans="7:7" x14ac:dyDescent="0.35">
      <c r="G3848" s="45"/>
    </row>
    <row r="3849" spans="7:7" x14ac:dyDescent="0.35">
      <c r="G3849" s="45"/>
    </row>
    <row r="3850" spans="7:7" x14ac:dyDescent="0.35">
      <c r="G3850" s="45"/>
    </row>
    <row r="3851" spans="7:7" x14ac:dyDescent="0.35">
      <c r="G3851" s="45"/>
    </row>
    <row r="3852" spans="7:7" x14ac:dyDescent="0.35">
      <c r="G3852" s="45"/>
    </row>
    <row r="3853" spans="7:7" x14ac:dyDescent="0.35">
      <c r="G3853" s="45"/>
    </row>
    <row r="3854" spans="7:7" x14ac:dyDescent="0.35">
      <c r="G3854" s="45"/>
    </row>
    <row r="3855" spans="7:7" x14ac:dyDescent="0.35">
      <c r="G3855" s="45"/>
    </row>
    <row r="3856" spans="7:7" x14ac:dyDescent="0.35">
      <c r="G3856" s="45"/>
    </row>
    <row r="3857" spans="7:7" x14ac:dyDescent="0.35">
      <c r="G3857" s="45"/>
    </row>
    <row r="3858" spans="7:7" x14ac:dyDescent="0.35">
      <c r="G3858" s="45"/>
    </row>
    <row r="3859" spans="7:7" x14ac:dyDescent="0.35">
      <c r="G3859" s="45"/>
    </row>
    <row r="3860" spans="7:7" x14ac:dyDescent="0.35">
      <c r="G3860" s="45"/>
    </row>
    <row r="3861" spans="7:7" x14ac:dyDescent="0.35">
      <c r="G3861" s="45"/>
    </row>
    <row r="3862" spans="7:7" x14ac:dyDescent="0.35">
      <c r="G3862" s="45"/>
    </row>
    <row r="3863" spans="7:7" x14ac:dyDescent="0.35">
      <c r="G3863" s="45"/>
    </row>
    <row r="3864" spans="7:7" x14ac:dyDescent="0.35">
      <c r="G3864" s="45"/>
    </row>
    <row r="3865" spans="7:7" x14ac:dyDescent="0.35">
      <c r="G3865" s="45"/>
    </row>
    <row r="3866" spans="7:7" x14ac:dyDescent="0.35">
      <c r="G3866" s="45"/>
    </row>
    <row r="3867" spans="7:7" x14ac:dyDescent="0.35">
      <c r="G3867" s="45"/>
    </row>
    <row r="3868" spans="7:7" x14ac:dyDescent="0.35">
      <c r="G3868" s="45"/>
    </row>
    <row r="3869" spans="7:7" x14ac:dyDescent="0.35">
      <c r="G3869" s="45"/>
    </row>
    <row r="3870" spans="7:7" x14ac:dyDescent="0.35">
      <c r="G3870" s="45"/>
    </row>
    <row r="3871" spans="7:7" x14ac:dyDescent="0.35">
      <c r="G3871" s="45"/>
    </row>
    <row r="3872" spans="7:7" x14ac:dyDescent="0.35">
      <c r="G3872" s="45"/>
    </row>
    <row r="3873" spans="7:7" x14ac:dyDescent="0.35">
      <c r="G3873" s="45"/>
    </row>
    <row r="3874" spans="7:7" x14ac:dyDescent="0.35">
      <c r="G3874" s="45"/>
    </row>
    <row r="3875" spans="7:7" x14ac:dyDescent="0.35">
      <c r="G3875" s="45"/>
    </row>
    <row r="3876" spans="7:7" x14ac:dyDescent="0.35">
      <c r="G3876" s="45"/>
    </row>
    <row r="3877" spans="7:7" x14ac:dyDescent="0.35">
      <c r="G3877" s="45"/>
    </row>
    <row r="3878" spans="7:7" x14ac:dyDescent="0.35">
      <c r="G3878" s="45"/>
    </row>
    <row r="3879" spans="7:7" x14ac:dyDescent="0.35">
      <c r="G3879" s="45"/>
    </row>
    <row r="3880" spans="7:7" x14ac:dyDescent="0.35">
      <c r="G3880" s="45"/>
    </row>
    <row r="3881" spans="7:7" x14ac:dyDescent="0.35">
      <c r="G3881" s="45"/>
    </row>
    <row r="3882" spans="7:7" x14ac:dyDescent="0.35">
      <c r="G3882" s="45"/>
    </row>
    <row r="3883" spans="7:7" x14ac:dyDescent="0.35">
      <c r="G3883" s="45"/>
    </row>
    <row r="3884" spans="7:7" x14ac:dyDescent="0.35">
      <c r="G3884" s="45"/>
    </row>
    <row r="3885" spans="7:7" x14ac:dyDescent="0.35">
      <c r="G3885" s="45"/>
    </row>
    <row r="3886" spans="7:7" x14ac:dyDescent="0.35">
      <c r="G3886" s="45"/>
    </row>
    <row r="3887" spans="7:7" x14ac:dyDescent="0.35">
      <c r="G3887" s="45"/>
    </row>
    <row r="3888" spans="7:7" x14ac:dyDescent="0.35">
      <c r="G3888" s="45"/>
    </row>
    <row r="3889" spans="7:7" x14ac:dyDescent="0.35">
      <c r="G3889" s="45"/>
    </row>
    <row r="3890" spans="7:7" x14ac:dyDescent="0.35">
      <c r="G3890" s="45"/>
    </row>
    <row r="3891" spans="7:7" x14ac:dyDescent="0.35">
      <c r="G3891" s="45"/>
    </row>
    <row r="3892" spans="7:7" x14ac:dyDescent="0.35">
      <c r="G3892" s="45"/>
    </row>
    <row r="3893" spans="7:7" x14ac:dyDescent="0.35">
      <c r="G3893" s="45"/>
    </row>
    <row r="3894" spans="7:7" x14ac:dyDescent="0.35">
      <c r="G3894" s="45"/>
    </row>
    <row r="3895" spans="7:7" x14ac:dyDescent="0.35">
      <c r="G3895" s="45"/>
    </row>
    <row r="3896" spans="7:7" x14ac:dyDescent="0.35">
      <c r="G3896" s="45"/>
    </row>
    <row r="3897" spans="7:7" x14ac:dyDescent="0.35">
      <c r="G3897" s="45"/>
    </row>
    <row r="3898" spans="7:7" x14ac:dyDescent="0.35">
      <c r="G3898" s="45"/>
    </row>
    <row r="3899" spans="7:7" x14ac:dyDescent="0.35">
      <c r="G3899" s="45"/>
    </row>
    <row r="3900" spans="7:7" x14ac:dyDescent="0.35">
      <c r="G3900" s="45"/>
    </row>
    <row r="3901" spans="7:7" x14ac:dyDescent="0.35">
      <c r="G3901" s="45"/>
    </row>
    <row r="3902" spans="7:7" x14ac:dyDescent="0.35">
      <c r="G3902" s="45"/>
    </row>
    <row r="3903" spans="7:7" x14ac:dyDescent="0.35">
      <c r="G3903" s="45"/>
    </row>
    <row r="3904" spans="7:7" x14ac:dyDescent="0.35">
      <c r="G3904" s="45"/>
    </row>
    <row r="3905" spans="7:7" x14ac:dyDescent="0.35">
      <c r="G3905" s="45"/>
    </row>
    <row r="3906" spans="7:7" x14ac:dyDescent="0.35">
      <c r="G3906" s="45"/>
    </row>
    <row r="3907" spans="7:7" x14ac:dyDescent="0.35">
      <c r="G3907" s="45"/>
    </row>
    <row r="3908" spans="7:7" x14ac:dyDescent="0.35">
      <c r="G3908" s="45"/>
    </row>
    <row r="3909" spans="7:7" x14ac:dyDescent="0.35">
      <c r="G3909" s="45"/>
    </row>
    <row r="3910" spans="7:7" x14ac:dyDescent="0.35">
      <c r="G3910" s="45"/>
    </row>
    <row r="3911" spans="7:7" x14ac:dyDescent="0.35">
      <c r="G3911" s="45"/>
    </row>
    <row r="3912" spans="7:7" x14ac:dyDescent="0.35">
      <c r="G3912" s="45"/>
    </row>
    <row r="3913" spans="7:7" x14ac:dyDescent="0.35">
      <c r="G3913" s="45"/>
    </row>
    <row r="3914" spans="7:7" x14ac:dyDescent="0.35">
      <c r="G3914" s="45"/>
    </row>
    <row r="3915" spans="7:7" x14ac:dyDescent="0.35">
      <c r="G3915" s="45"/>
    </row>
    <row r="3916" spans="7:7" x14ac:dyDescent="0.35">
      <c r="G3916" s="45"/>
    </row>
    <row r="3917" spans="7:7" x14ac:dyDescent="0.35">
      <c r="G3917" s="45"/>
    </row>
    <row r="3918" spans="7:7" x14ac:dyDescent="0.35">
      <c r="G3918" s="45"/>
    </row>
    <row r="3919" spans="7:7" x14ac:dyDescent="0.35">
      <c r="G3919" s="45"/>
    </row>
    <row r="3920" spans="7:7" x14ac:dyDescent="0.35">
      <c r="G3920" s="45"/>
    </row>
    <row r="3921" spans="7:7" x14ac:dyDescent="0.35">
      <c r="G3921" s="45"/>
    </row>
    <row r="3922" spans="7:7" x14ac:dyDescent="0.35">
      <c r="G3922" s="45"/>
    </row>
    <row r="3923" spans="7:7" x14ac:dyDescent="0.35">
      <c r="G3923" s="45"/>
    </row>
    <row r="3924" spans="7:7" x14ac:dyDescent="0.35">
      <c r="G3924" s="45"/>
    </row>
    <row r="3925" spans="7:7" x14ac:dyDescent="0.35">
      <c r="G3925" s="45"/>
    </row>
    <row r="3926" spans="7:7" x14ac:dyDescent="0.35">
      <c r="G3926" s="45"/>
    </row>
    <row r="3927" spans="7:7" x14ac:dyDescent="0.35">
      <c r="G3927" s="45"/>
    </row>
    <row r="3928" spans="7:7" x14ac:dyDescent="0.35">
      <c r="G3928" s="45"/>
    </row>
    <row r="3929" spans="7:7" x14ac:dyDescent="0.35">
      <c r="G3929" s="45"/>
    </row>
    <row r="3930" spans="7:7" x14ac:dyDescent="0.35">
      <c r="G3930" s="45"/>
    </row>
    <row r="3931" spans="7:7" x14ac:dyDescent="0.35">
      <c r="G3931" s="45"/>
    </row>
    <row r="3932" spans="7:7" x14ac:dyDescent="0.35">
      <c r="G3932" s="45"/>
    </row>
    <row r="3933" spans="7:7" x14ac:dyDescent="0.35">
      <c r="G3933" s="45"/>
    </row>
    <row r="3934" spans="7:7" x14ac:dyDescent="0.35">
      <c r="G3934" s="45"/>
    </row>
    <row r="3935" spans="7:7" x14ac:dyDescent="0.35">
      <c r="G3935" s="45"/>
    </row>
    <row r="3936" spans="7:7" x14ac:dyDescent="0.35">
      <c r="G3936" s="45"/>
    </row>
    <row r="3937" spans="7:7" x14ac:dyDescent="0.35">
      <c r="G3937" s="45"/>
    </row>
  </sheetData>
  <autoFilter ref="B4:J3670" xr:uid="{9F4B42C2-0B0A-4FBC-A5A8-51BB3104D088}"/>
  <conditionalFormatting sqref="B1:B1048576">
    <cfRule type="duplicateValues" dxfId="45" priority="1"/>
    <cfRule type="duplicateValues" dxfId="44" priority="2"/>
  </conditionalFormatting>
  <conditionalFormatting sqref="B5">
    <cfRule type="duplicateValues" dxfId="43" priority="3"/>
    <cfRule type="duplicateValues" dxfId="42" priority="4"/>
  </conditionalFormatting>
  <conditionalFormatting sqref="B6">
    <cfRule type="duplicateValues" dxfId="41" priority="5"/>
  </conditionalFormatting>
  <conditionalFormatting sqref="C36">
    <cfRule type="duplicateValues" dxfId="40" priority="52"/>
    <cfRule type="duplicateValues" dxfId="39" priority="47"/>
    <cfRule type="duplicateValues" dxfId="38" priority="51"/>
    <cfRule type="duplicateValues" dxfId="37" priority="50"/>
    <cfRule type="duplicateValues" dxfId="36" priority="49"/>
    <cfRule type="duplicateValues" dxfId="35" priority="48"/>
    <cfRule type="duplicateValues" dxfId="34" priority="46"/>
    <cfRule type="duplicateValues" dxfId="33" priority="45"/>
    <cfRule type="duplicateValues" dxfId="32" priority="44"/>
    <cfRule type="duplicateValues" dxfId="31" priority="43"/>
  </conditionalFormatting>
  <conditionalFormatting sqref="C37">
    <cfRule type="duplicateValues" dxfId="30" priority="32"/>
    <cfRule type="duplicateValues" dxfId="29" priority="23"/>
    <cfRule type="duplicateValues" dxfId="28" priority="24"/>
    <cfRule type="duplicateValues" dxfId="27" priority="25"/>
    <cfRule type="duplicateValues" dxfId="26" priority="26"/>
    <cfRule type="duplicateValues" dxfId="25" priority="27"/>
    <cfRule type="duplicateValues" dxfId="24" priority="28"/>
    <cfRule type="duplicateValues" dxfId="23" priority="29"/>
    <cfRule type="duplicateValues" dxfId="22" priority="30"/>
    <cfRule type="duplicateValues" dxfId="21" priority="31"/>
  </conditionalFormatting>
  <conditionalFormatting sqref="G36 E36">
    <cfRule type="duplicateValues" dxfId="20" priority="33"/>
    <cfRule type="duplicateValues" dxfId="19" priority="34"/>
    <cfRule type="duplicateValues" dxfId="18" priority="35"/>
    <cfRule type="duplicateValues" dxfId="17" priority="36"/>
    <cfRule type="duplicateValues" dxfId="16" priority="37"/>
    <cfRule type="duplicateValues" dxfId="15" priority="38"/>
    <cfRule type="duplicateValues" dxfId="14" priority="39"/>
    <cfRule type="duplicateValues" dxfId="13" priority="40"/>
    <cfRule type="duplicateValues" dxfId="12" priority="41"/>
    <cfRule type="duplicateValues" dxfId="11" priority="42"/>
  </conditionalFormatting>
  <conditionalFormatting sqref="G37 E37">
    <cfRule type="duplicateValues" dxfId="10" priority="13"/>
    <cfRule type="duplicateValues" dxfId="9" priority="22"/>
    <cfRule type="duplicateValues" dxfId="8" priority="21"/>
    <cfRule type="duplicateValues" dxfId="7" priority="20"/>
    <cfRule type="duplicateValues" dxfId="6" priority="19"/>
    <cfRule type="duplicateValues" dxfId="5" priority="18"/>
    <cfRule type="duplicateValues" dxfId="4" priority="17"/>
    <cfRule type="duplicateValues" dxfId="3" priority="16"/>
    <cfRule type="duplicateValues" dxfId="2" priority="15"/>
    <cfRule type="duplicateValues" dxfId="1" priority="14"/>
  </conditionalFormatting>
  <conditionalFormatting sqref="G209 E209">
    <cfRule type="duplicateValues" dxfId="0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1FCB8-C2E6-4647-BD40-850B42720A27}">
  <dimension ref="D2:F5"/>
  <sheetViews>
    <sheetView workbookViewId="0">
      <selection activeCell="E6" sqref="E6"/>
    </sheetView>
  </sheetViews>
  <sheetFormatPr defaultRowHeight="14.5" x14ac:dyDescent="0.35"/>
  <cols>
    <col min="4" max="4" width="14.90625" bestFit="1" customWidth="1"/>
  </cols>
  <sheetData>
    <row r="2" spans="4:6" x14ac:dyDescent="0.35">
      <c r="E2" s="50" t="s">
        <v>6791</v>
      </c>
      <c r="F2" s="50"/>
    </row>
    <row r="3" spans="4:6" x14ac:dyDescent="0.35">
      <c r="E3" t="s">
        <v>3574</v>
      </c>
      <c r="F3" t="s">
        <v>6792</v>
      </c>
    </row>
    <row r="4" spans="4:6" x14ac:dyDescent="0.35">
      <c r="D4" t="s">
        <v>6790</v>
      </c>
      <c r="E4" s="49">
        <v>0.06</v>
      </c>
      <c r="F4" s="49">
        <v>0.1</v>
      </c>
    </row>
    <row r="5" spans="4:6" x14ac:dyDescent="0.35">
      <c r="D5" t="s">
        <v>6793</v>
      </c>
      <c r="E5" t="s">
        <v>6794</v>
      </c>
      <c r="F5" t="s">
        <v>6794</v>
      </c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9143-D5D5-428A-80C6-5BE4BB338759}">
  <dimension ref="A3:B3670"/>
  <sheetViews>
    <sheetView tabSelected="1" workbookViewId="0">
      <selection activeCell="A3" sqref="A3"/>
    </sheetView>
  </sheetViews>
  <sheetFormatPr defaultRowHeight="14.5" x14ac:dyDescent="0.35"/>
  <cols>
    <col min="1" max="1" width="13.453125" bestFit="1" customWidth="1"/>
    <col min="2" max="2" width="16.08984375" bestFit="1" customWidth="1"/>
    <col min="3" max="3" width="12.6328125" bestFit="1" customWidth="1"/>
  </cols>
  <sheetData>
    <row r="3" spans="1:2" x14ac:dyDescent="0.35">
      <c r="A3" s="51" t="s">
        <v>6795</v>
      </c>
      <c r="B3" t="s">
        <v>6797</v>
      </c>
    </row>
    <row r="4" spans="1:2" x14ac:dyDescent="0.35">
      <c r="A4" s="15">
        <v>200048</v>
      </c>
      <c r="B4" s="52">
        <v>1</v>
      </c>
    </row>
    <row r="5" spans="1:2" x14ac:dyDescent="0.35">
      <c r="A5" s="15">
        <v>200056</v>
      </c>
      <c r="B5" s="52">
        <v>1</v>
      </c>
    </row>
    <row r="6" spans="1:2" x14ac:dyDescent="0.35">
      <c r="A6" s="15">
        <v>200827</v>
      </c>
      <c r="B6" s="52">
        <v>1</v>
      </c>
    </row>
    <row r="7" spans="1:2" x14ac:dyDescent="0.35">
      <c r="A7" s="15">
        <v>200834</v>
      </c>
      <c r="B7" s="52">
        <v>1</v>
      </c>
    </row>
    <row r="8" spans="1:2" x14ac:dyDescent="0.35">
      <c r="A8" s="15">
        <v>200923</v>
      </c>
      <c r="B8" s="52">
        <v>1</v>
      </c>
    </row>
    <row r="9" spans="1:2" x14ac:dyDescent="0.35">
      <c r="A9" s="15">
        <v>200924</v>
      </c>
      <c r="B9" s="52">
        <v>1</v>
      </c>
    </row>
    <row r="10" spans="1:2" x14ac:dyDescent="0.35">
      <c r="A10" s="15">
        <v>217001</v>
      </c>
      <c r="B10" s="52">
        <v>1</v>
      </c>
    </row>
    <row r="11" spans="1:2" x14ac:dyDescent="0.35">
      <c r="A11" s="15">
        <v>500528</v>
      </c>
      <c r="B11" s="52">
        <v>1</v>
      </c>
    </row>
    <row r="12" spans="1:2" x14ac:dyDescent="0.35">
      <c r="A12" s="15">
        <v>500584</v>
      </c>
      <c r="B12" s="52">
        <v>1</v>
      </c>
    </row>
    <row r="13" spans="1:2" x14ac:dyDescent="0.35">
      <c r="A13" s="15">
        <v>500596</v>
      </c>
      <c r="B13" s="52">
        <v>1</v>
      </c>
    </row>
    <row r="14" spans="1:2" x14ac:dyDescent="0.35">
      <c r="A14" s="15">
        <v>500975</v>
      </c>
      <c r="B14" s="52">
        <v>1</v>
      </c>
    </row>
    <row r="15" spans="1:2" x14ac:dyDescent="0.35">
      <c r="A15" s="15">
        <v>502290</v>
      </c>
      <c r="B15" s="52">
        <v>1</v>
      </c>
    </row>
    <row r="16" spans="1:2" x14ac:dyDescent="0.35">
      <c r="A16" s="15">
        <v>502309</v>
      </c>
      <c r="B16" s="52">
        <v>1</v>
      </c>
    </row>
    <row r="17" spans="1:2" x14ac:dyDescent="0.35">
      <c r="A17" s="15">
        <v>502321</v>
      </c>
      <c r="B17" s="52">
        <v>1</v>
      </c>
    </row>
    <row r="18" spans="1:2" x14ac:dyDescent="0.35">
      <c r="A18" s="15">
        <v>502327</v>
      </c>
      <c r="B18" s="52">
        <v>1</v>
      </c>
    </row>
    <row r="19" spans="1:2" x14ac:dyDescent="0.35">
      <c r="A19" s="15">
        <v>502345</v>
      </c>
      <c r="B19" s="52">
        <v>1</v>
      </c>
    </row>
    <row r="20" spans="1:2" x14ac:dyDescent="0.35">
      <c r="A20" s="15">
        <v>502861</v>
      </c>
      <c r="B20" s="52">
        <v>1</v>
      </c>
    </row>
    <row r="21" spans="1:2" x14ac:dyDescent="0.35">
      <c r="A21" s="15">
        <v>502983</v>
      </c>
      <c r="B21" s="52">
        <v>1</v>
      </c>
    </row>
    <row r="22" spans="1:2" x14ac:dyDescent="0.35">
      <c r="A22" s="15">
        <v>505944</v>
      </c>
      <c r="B22" s="52">
        <v>1</v>
      </c>
    </row>
    <row r="23" spans="1:2" x14ac:dyDescent="0.35">
      <c r="A23" s="15">
        <v>506206</v>
      </c>
      <c r="B23" s="52">
        <v>1</v>
      </c>
    </row>
    <row r="24" spans="1:2" x14ac:dyDescent="0.35">
      <c r="A24" s="15">
        <v>506316</v>
      </c>
      <c r="B24" s="52">
        <v>1</v>
      </c>
    </row>
    <row r="25" spans="1:2" x14ac:dyDescent="0.35">
      <c r="A25" s="15">
        <v>507209</v>
      </c>
      <c r="B25" s="52">
        <v>1</v>
      </c>
    </row>
    <row r="26" spans="1:2" x14ac:dyDescent="0.35">
      <c r="A26" s="15">
        <v>507382</v>
      </c>
      <c r="B26" s="52">
        <v>1</v>
      </c>
    </row>
    <row r="27" spans="1:2" x14ac:dyDescent="0.35">
      <c r="A27" s="15">
        <v>507656</v>
      </c>
      <c r="B27" s="52">
        <v>1</v>
      </c>
    </row>
    <row r="28" spans="1:2" x14ac:dyDescent="0.35">
      <c r="A28" s="15">
        <v>507657</v>
      </c>
      <c r="B28" s="52">
        <v>1</v>
      </c>
    </row>
    <row r="29" spans="1:2" x14ac:dyDescent="0.35">
      <c r="A29" s="15">
        <v>507660</v>
      </c>
      <c r="B29" s="52">
        <v>1</v>
      </c>
    </row>
    <row r="30" spans="1:2" x14ac:dyDescent="0.35">
      <c r="A30" s="15">
        <v>507725</v>
      </c>
      <c r="B30" s="52">
        <v>1</v>
      </c>
    </row>
    <row r="31" spans="1:2" x14ac:dyDescent="0.35">
      <c r="A31" s="15">
        <v>509672</v>
      </c>
      <c r="B31" s="52">
        <v>1</v>
      </c>
    </row>
    <row r="32" spans="1:2" x14ac:dyDescent="0.35">
      <c r="A32" s="15">
        <v>512107</v>
      </c>
      <c r="B32" s="52">
        <v>1</v>
      </c>
    </row>
    <row r="33" spans="1:2" x14ac:dyDescent="0.35">
      <c r="A33" s="15">
        <v>512542</v>
      </c>
      <c r="B33" s="52">
        <v>1</v>
      </c>
    </row>
    <row r="34" spans="1:2" x14ac:dyDescent="0.35">
      <c r="A34" s="15">
        <v>512543</v>
      </c>
      <c r="B34" s="52">
        <v>1</v>
      </c>
    </row>
    <row r="35" spans="1:2" x14ac:dyDescent="0.35">
      <c r="A35" s="15">
        <v>512549</v>
      </c>
      <c r="B35" s="52">
        <v>1</v>
      </c>
    </row>
    <row r="36" spans="1:2" x14ac:dyDescent="0.35">
      <c r="A36" s="15">
        <v>512550</v>
      </c>
      <c r="B36" s="52">
        <v>1</v>
      </c>
    </row>
    <row r="37" spans="1:2" x14ac:dyDescent="0.35">
      <c r="A37" s="15">
        <v>513061</v>
      </c>
      <c r="B37" s="52">
        <v>1</v>
      </c>
    </row>
    <row r="38" spans="1:2" x14ac:dyDescent="0.35">
      <c r="A38" s="15">
        <v>513234</v>
      </c>
      <c r="B38" s="52">
        <v>1</v>
      </c>
    </row>
    <row r="39" spans="1:2" x14ac:dyDescent="0.35">
      <c r="A39" s="15">
        <v>514407</v>
      </c>
      <c r="B39" s="52">
        <v>1</v>
      </c>
    </row>
    <row r="40" spans="1:2" x14ac:dyDescent="0.35">
      <c r="A40" s="15">
        <v>514408</v>
      </c>
      <c r="B40" s="52">
        <v>1</v>
      </c>
    </row>
    <row r="41" spans="1:2" x14ac:dyDescent="0.35">
      <c r="A41" s="15">
        <v>514532</v>
      </c>
      <c r="B41" s="52">
        <v>1</v>
      </c>
    </row>
    <row r="42" spans="1:2" x14ac:dyDescent="0.35">
      <c r="A42" s="15">
        <v>514533</v>
      </c>
      <c r="B42" s="52">
        <v>1</v>
      </c>
    </row>
    <row r="43" spans="1:2" x14ac:dyDescent="0.35">
      <c r="A43" s="15">
        <v>514534</v>
      </c>
      <c r="B43" s="52">
        <v>1</v>
      </c>
    </row>
    <row r="44" spans="1:2" x14ac:dyDescent="0.35">
      <c r="A44" s="15">
        <v>514537</v>
      </c>
      <c r="B44" s="52">
        <v>1</v>
      </c>
    </row>
    <row r="45" spans="1:2" x14ac:dyDescent="0.35">
      <c r="A45" s="15">
        <v>514541</v>
      </c>
      <c r="B45" s="52">
        <v>1</v>
      </c>
    </row>
    <row r="46" spans="1:2" x14ac:dyDescent="0.35">
      <c r="A46" s="15">
        <v>514543</v>
      </c>
      <c r="B46" s="52">
        <v>1</v>
      </c>
    </row>
    <row r="47" spans="1:2" x14ac:dyDescent="0.35">
      <c r="A47" s="15">
        <v>514546</v>
      </c>
      <c r="B47" s="52">
        <v>1</v>
      </c>
    </row>
    <row r="48" spans="1:2" x14ac:dyDescent="0.35">
      <c r="A48" s="15">
        <v>514548</v>
      </c>
      <c r="B48" s="52">
        <v>1</v>
      </c>
    </row>
    <row r="49" spans="1:2" x14ac:dyDescent="0.35">
      <c r="A49" s="15">
        <v>514549</v>
      </c>
      <c r="B49" s="52">
        <v>1</v>
      </c>
    </row>
    <row r="50" spans="1:2" x14ac:dyDescent="0.35">
      <c r="A50" s="15">
        <v>514550</v>
      </c>
      <c r="B50" s="52">
        <v>1</v>
      </c>
    </row>
    <row r="51" spans="1:2" x14ac:dyDescent="0.35">
      <c r="A51" s="15">
        <v>514551</v>
      </c>
      <c r="B51" s="52">
        <v>1</v>
      </c>
    </row>
    <row r="52" spans="1:2" x14ac:dyDescent="0.35">
      <c r="A52" s="15">
        <v>514553</v>
      </c>
      <c r="B52" s="52">
        <v>1</v>
      </c>
    </row>
    <row r="53" spans="1:2" x14ac:dyDescent="0.35">
      <c r="A53" s="15">
        <v>514555</v>
      </c>
      <c r="B53" s="52">
        <v>1</v>
      </c>
    </row>
    <row r="54" spans="1:2" x14ac:dyDescent="0.35">
      <c r="A54" s="15">
        <v>514558</v>
      </c>
      <c r="B54" s="52">
        <v>1</v>
      </c>
    </row>
    <row r="55" spans="1:2" x14ac:dyDescent="0.35">
      <c r="A55" s="15">
        <v>514559</v>
      </c>
      <c r="B55" s="52">
        <v>1</v>
      </c>
    </row>
    <row r="56" spans="1:2" x14ac:dyDescent="0.35">
      <c r="A56" s="15">
        <v>514565</v>
      </c>
      <c r="B56" s="52">
        <v>1</v>
      </c>
    </row>
    <row r="57" spans="1:2" x14ac:dyDescent="0.35">
      <c r="A57" s="15">
        <v>514566</v>
      </c>
      <c r="B57" s="52">
        <v>1</v>
      </c>
    </row>
    <row r="58" spans="1:2" x14ac:dyDescent="0.35">
      <c r="A58" s="15">
        <v>514567</v>
      </c>
      <c r="B58" s="52">
        <v>1</v>
      </c>
    </row>
    <row r="59" spans="1:2" x14ac:dyDescent="0.35">
      <c r="A59" s="15">
        <v>514570</v>
      </c>
      <c r="B59" s="52">
        <v>1</v>
      </c>
    </row>
    <row r="60" spans="1:2" x14ac:dyDescent="0.35">
      <c r="A60" s="15">
        <v>514572</v>
      </c>
      <c r="B60" s="52">
        <v>1</v>
      </c>
    </row>
    <row r="61" spans="1:2" x14ac:dyDescent="0.35">
      <c r="A61" s="15">
        <v>514573</v>
      </c>
      <c r="B61" s="52">
        <v>1</v>
      </c>
    </row>
    <row r="62" spans="1:2" x14ac:dyDescent="0.35">
      <c r="A62" s="15">
        <v>514576</v>
      </c>
      <c r="B62" s="52">
        <v>1</v>
      </c>
    </row>
    <row r="63" spans="1:2" x14ac:dyDescent="0.35">
      <c r="A63" s="15">
        <v>514606</v>
      </c>
      <c r="B63" s="52">
        <v>1</v>
      </c>
    </row>
    <row r="64" spans="1:2" x14ac:dyDescent="0.35">
      <c r="A64" s="15">
        <v>514625</v>
      </c>
      <c r="B64" s="52">
        <v>1</v>
      </c>
    </row>
    <row r="65" spans="1:2" x14ac:dyDescent="0.35">
      <c r="A65" s="15">
        <v>514640</v>
      </c>
      <c r="B65" s="52">
        <v>1</v>
      </c>
    </row>
    <row r="66" spans="1:2" x14ac:dyDescent="0.35">
      <c r="A66" s="15">
        <v>514682</v>
      </c>
      <c r="B66" s="52">
        <v>1</v>
      </c>
    </row>
    <row r="67" spans="1:2" x14ac:dyDescent="0.35">
      <c r="A67" s="15">
        <v>514684</v>
      </c>
      <c r="B67" s="52">
        <v>1</v>
      </c>
    </row>
    <row r="68" spans="1:2" x14ac:dyDescent="0.35">
      <c r="A68" s="15">
        <v>514701</v>
      </c>
      <c r="B68" s="52">
        <v>1</v>
      </c>
    </row>
    <row r="69" spans="1:2" x14ac:dyDescent="0.35">
      <c r="A69" s="15">
        <v>514702</v>
      </c>
      <c r="B69" s="52">
        <v>1</v>
      </c>
    </row>
    <row r="70" spans="1:2" x14ac:dyDescent="0.35">
      <c r="A70" s="15">
        <v>514704</v>
      </c>
      <c r="B70" s="52">
        <v>1</v>
      </c>
    </row>
    <row r="71" spans="1:2" x14ac:dyDescent="0.35">
      <c r="A71" s="15">
        <v>514705</v>
      </c>
      <c r="B71" s="52">
        <v>1</v>
      </c>
    </row>
    <row r="72" spans="1:2" x14ac:dyDescent="0.35">
      <c r="A72" s="15">
        <v>514706</v>
      </c>
      <c r="B72" s="52">
        <v>1</v>
      </c>
    </row>
    <row r="73" spans="1:2" x14ac:dyDescent="0.35">
      <c r="A73" s="15">
        <v>514733</v>
      </c>
      <c r="B73" s="52">
        <v>1</v>
      </c>
    </row>
    <row r="74" spans="1:2" x14ac:dyDescent="0.35">
      <c r="A74" s="15">
        <v>514734</v>
      </c>
      <c r="B74" s="52">
        <v>1</v>
      </c>
    </row>
    <row r="75" spans="1:2" x14ac:dyDescent="0.35">
      <c r="A75" s="15">
        <v>514743</v>
      </c>
      <c r="B75" s="52">
        <v>1</v>
      </c>
    </row>
    <row r="76" spans="1:2" x14ac:dyDescent="0.35">
      <c r="A76" s="15">
        <v>514746</v>
      </c>
      <c r="B76" s="52">
        <v>1</v>
      </c>
    </row>
    <row r="77" spans="1:2" x14ac:dyDescent="0.35">
      <c r="A77" s="15">
        <v>514922</v>
      </c>
      <c r="B77" s="52">
        <v>1</v>
      </c>
    </row>
    <row r="78" spans="1:2" x14ac:dyDescent="0.35">
      <c r="A78" s="15">
        <v>515478</v>
      </c>
      <c r="B78" s="52">
        <v>1</v>
      </c>
    </row>
    <row r="79" spans="1:2" x14ac:dyDescent="0.35">
      <c r="A79" s="15">
        <v>515479</v>
      </c>
      <c r="B79" s="52">
        <v>1</v>
      </c>
    </row>
    <row r="80" spans="1:2" x14ac:dyDescent="0.35">
      <c r="A80" s="15">
        <v>515504</v>
      </c>
      <c r="B80" s="52">
        <v>1</v>
      </c>
    </row>
    <row r="81" spans="1:2" x14ac:dyDescent="0.35">
      <c r="A81" s="15">
        <v>515519</v>
      </c>
      <c r="B81" s="52">
        <v>1</v>
      </c>
    </row>
    <row r="82" spans="1:2" x14ac:dyDescent="0.35">
      <c r="A82" s="15">
        <v>515652</v>
      </c>
      <c r="B82" s="52">
        <v>1</v>
      </c>
    </row>
    <row r="83" spans="1:2" x14ac:dyDescent="0.35">
      <c r="A83" s="15">
        <v>515696</v>
      </c>
      <c r="B83" s="52">
        <v>1</v>
      </c>
    </row>
    <row r="84" spans="1:2" x14ac:dyDescent="0.35">
      <c r="A84" s="15">
        <v>515728</v>
      </c>
      <c r="B84" s="52">
        <v>1</v>
      </c>
    </row>
    <row r="85" spans="1:2" x14ac:dyDescent="0.35">
      <c r="A85" s="15">
        <v>515729</v>
      </c>
      <c r="B85" s="52">
        <v>1</v>
      </c>
    </row>
    <row r="86" spans="1:2" x14ac:dyDescent="0.35">
      <c r="A86" s="15">
        <v>515777</v>
      </c>
      <c r="B86" s="52">
        <v>1</v>
      </c>
    </row>
    <row r="87" spans="1:2" x14ac:dyDescent="0.35">
      <c r="A87" s="15">
        <v>515796</v>
      </c>
      <c r="B87" s="52">
        <v>1</v>
      </c>
    </row>
    <row r="88" spans="1:2" x14ac:dyDescent="0.35">
      <c r="A88" s="15">
        <v>515894</v>
      </c>
      <c r="B88" s="52">
        <v>1</v>
      </c>
    </row>
    <row r="89" spans="1:2" x14ac:dyDescent="0.35">
      <c r="A89" s="15">
        <v>515895</v>
      </c>
      <c r="B89" s="52">
        <v>1</v>
      </c>
    </row>
    <row r="90" spans="1:2" x14ac:dyDescent="0.35">
      <c r="A90" s="15">
        <v>515934</v>
      </c>
      <c r="B90" s="52">
        <v>1</v>
      </c>
    </row>
    <row r="91" spans="1:2" x14ac:dyDescent="0.35">
      <c r="A91" s="15">
        <v>515935</v>
      </c>
      <c r="B91" s="52">
        <v>1</v>
      </c>
    </row>
    <row r="92" spans="1:2" x14ac:dyDescent="0.35">
      <c r="A92" s="15">
        <v>515956</v>
      </c>
      <c r="B92" s="52">
        <v>1</v>
      </c>
    </row>
    <row r="93" spans="1:2" x14ac:dyDescent="0.35">
      <c r="A93" s="15">
        <v>515957</v>
      </c>
      <c r="B93" s="52">
        <v>1</v>
      </c>
    </row>
    <row r="94" spans="1:2" x14ac:dyDescent="0.35">
      <c r="A94" s="15">
        <v>516054</v>
      </c>
      <c r="B94" s="52">
        <v>1</v>
      </c>
    </row>
    <row r="95" spans="1:2" x14ac:dyDescent="0.35">
      <c r="A95" s="15">
        <v>516067</v>
      </c>
      <c r="B95" s="52">
        <v>1</v>
      </c>
    </row>
    <row r="96" spans="1:2" x14ac:dyDescent="0.35">
      <c r="A96" s="15">
        <v>516072</v>
      </c>
      <c r="B96" s="52">
        <v>1</v>
      </c>
    </row>
    <row r="97" spans="1:2" x14ac:dyDescent="0.35">
      <c r="A97" s="15">
        <v>516091</v>
      </c>
      <c r="B97" s="52">
        <v>1</v>
      </c>
    </row>
    <row r="98" spans="1:2" x14ac:dyDescent="0.35">
      <c r="A98" s="15">
        <v>516107</v>
      </c>
      <c r="B98" s="52">
        <v>1</v>
      </c>
    </row>
    <row r="99" spans="1:2" x14ac:dyDescent="0.35">
      <c r="A99" s="15">
        <v>516125</v>
      </c>
      <c r="B99" s="52">
        <v>1</v>
      </c>
    </row>
    <row r="100" spans="1:2" x14ac:dyDescent="0.35">
      <c r="A100" s="15">
        <v>516128</v>
      </c>
      <c r="B100" s="52">
        <v>1</v>
      </c>
    </row>
    <row r="101" spans="1:2" x14ac:dyDescent="0.35">
      <c r="A101" s="15">
        <v>516352</v>
      </c>
      <c r="B101" s="52">
        <v>1</v>
      </c>
    </row>
    <row r="102" spans="1:2" x14ac:dyDescent="0.35">
      <c r="A102" s="15">
        <v>516355</v>
      </c>
      <c r="B102" s="52">
        <v>1</v>
      </c>
    </row>
    <row r="103" spans="1:2" x14ac:dyDescent="0.35">
      <c r="A103" s="15">
        <v>516501</v>
      </c>
      <c r="B103" s="52">
        <v>1</v>
      </c>
    </row>
    <row r="104" spans="1:2" x14ac:dyDescent="0.35">
      <c r="A104" s="15">
        <v>516503</v>
      </c>
      <c r="B104" s="52">
        <v>1</v>
      </c>
    </row>
    <row r="105" spans="1:2" x14ac:dyDescent="0.35">
      <c r="A105" s="15">
        <v>516538</v>
      </c>
      <c r="B105" s="52">
        <v>1</v>
      </c>
    </row>
    <row r="106" spans="1:2" x14ac:dyDescent="0.35">
      <c r="A106" s="15">
        <v>516539</v>
      </c>
      <c r="B106" s="52">
        <v>1</v>
      </c>
    </row>
    <row r="107" spans="1:2" x14ac:dyDescent="0.35">
      <c r="A107" s="15">
        <v>516545</v>
      </c>
      <c r="B107" s="52">
        <v>1</v>
      </c>
    </row>
    <row r="108" spans="1:2" x14ac:dyDescent="0.35">
      <c r="A108" s="15">
        <v>516546</v>
      </c>
      <c r="B108" s="52">
        <v>1</v>
      </c>
    </row>
    <row r="109" spans="1:2" x14ac:dyDescent="0.35">
      <c r="A109" s="15">
        <v>516547</v>
      </c>
      <c r="B109" s="52">
        <v>1</v>
      </c>
    </row>
    <row r="110" spans="1:2" x14ac:dyDescent="0.35">
      <c r="A110" s="15">
        <v>516549</v>
      </c>
      <c r="B110" s="52">
        <v>1</v>
      </c>
    </row>
    <row r="111" spans="1:2" x14ac:dyDescent="0.35">
      <c r="A111" s="15">
        <v>516669</v>
      </c>
      <c r="B111" s="52">
        <v>1</v>
      </c>
    </row>
    <row r="112" spans="1:2" x14ac:dyDescent="0.35">
      <c r="A112" s="15">
        <v>516685</v>
      </c>
      <c r="B112" s="52">
        <v>1</v>
      </c>
    </row>
    <row r="113" spans="1:2" x14ac:dyDescent="0.35">
      <c r="A113" s="15">
        <v>517004</v>
      </c>
      <c r="B113" s="52">
        <v>1</v>
      </c>
    </row>
    <row r="114" spans="1:2" x14ac:dyDescent="0.35">
      <c r="A114" s="15">
        <v>517074</v>
      </c>
      <c r="B114" s="52">
        <v>1</v>
      </c>
    </row>
    <row r="115" spans="1:2" x14ac:dyDescent="0.35">
      <c r="A115" s="15">
        <v>517218</v>
      </c>
      <c r="B115" s="52">
        <v>1</v>
      </c>
    </row>
    <row r="116" spans="1:2" x14ac:dyDescent="0.35">
      <c r="A116" s="15">
        <v>517319</v>
      </c>
      <c r="B116" s="52">
        <v>1</v>
      </c>
    </row>
    <row r="117" spans="1:2" x14ac:dyDescent="0.35">
      <c r="A117" s="15">
        <v>517320</v>
      </c>
      <c r="B117" s="52">
        <v>1</v>
      </c>
    </row>
    <row r="118" spans="1:2" x14ac:dyDescent="0.35">
      <c r="A118" s="15">
        <v>517652</v>
      </c>
      <c r="B118" s="52">
        <v>1</v>
      </c>
    </row>
    <row r="119" spans="1:2" x14ac:dyDescent="0.35">
      <c r="A119" s="15">
        <v>517759</v>
      </c>
      <c r="B119" s="52">
        <v>1</v>
      </c>
    </row>
    <row r="120" spans="1:2" x14ac:dyDescent="0.35">
      <c r="A120" s="15">
        <v>517789</v>
      </c>
      <c r="B120" s="52">
        <v>1</v>
      </c>
    </row>
    <row r="121" spans="1:2" x14ac:dyDescent="0.35">
      <c r="A121" s="15">
        <v>517790</v>
      </c>
      <c r="B121" s="52">
        <v>1</v>
      </c>
    </row>
    <row r="122" spans="1:2" x14ac:dyDescent="0.35">
      <c r="A122" s="15">
        <v>517839</v>
      </c>
      <c r="B122" s="52">
        <v>1</v>
      </c>
    </row>
    <row r="123" spans="1:2" x14ac:dyDescent="0.35">
      <c r="A123" s="15">
        <v>518018</v>
      </c>
      <c r="B123" s="52">
        <v>1</v>
      </c>
    </row>
    <row r="124" spans="1:2" x14ac:dyDescent="0.35">
      <c r="A124" s="15">
        <v>518105</v>
      </c>
      <c r="B124" s="52">
        <v>1</v>
      </c>
    </row>
    <row r="125" spans="1:2" x14ac:dyDescent="0.35">
      <c r="A125" s="15">
        <v>518241</v>
      </c>
      <c r="B125" s="52">
        <v>1</v>
      </c>
    </row>
    <row r="126" spans="1:2" x14ac:dyDescent="0.35">
      <c r="A126" s="15">
        <v>518625</v>
      </c>
      <c r="B126" s="52">
        <v>1</v>
      </c>
    </row>
    <row r="127" spans="1:2" x14ac:dyDescent="0.35">
      <c r="A127" s="15">
        <v>518655</v>
      </c>
      <c r="B127" s="52">
        <v>1</v>
      </c>
    </row>
    <row r="128" spans="1:2" x14ac:dyDescent="0.35">
      <c r="A128" s="15">
        <v>518770</v>
      </c>
      <c r="B128" s="52">
        <v>1</v>
      </c>
    </row>
    <row r="129" spans="1:2" x14ac:dyDescent="0.35">
      <c r="A129" s="15">
        <v>519066</v>
      </c>
      <c r="B129" s="52">
        <v>1</v>
      </c>
    </row>
    <row r="130" spans="1:2" x14ac:dyDescent="0.35">
      <c r="A130" s="15">
        <v>519105</v>
      </c>
      <c r="B130" s="52">
        <v>1</v>
      </c>
    </row>
    <row r="131" spans="1:2" x14ac:dyDescent="0.35">
      <c r="A131" s="15">
        <v>519189</v>
      </c>
      <c r="B131" s="52">
        <v>1</v>
      </c>
    </row>
    <row r="132" spans="1:2" x14ac:dyDescent="0.35">
      <c r="A132" s="15">
        <v>519291</v>
      </c>
      <c r="B132" s="52">
        <v>1</v>
      </c>
    </row>
    <row r="133" spans="1:2" x14ac:dyDescent="0.35">
      <c r="A133" s="15">
        <v>519329</v>
      </c>
      <c r="B133" s="52">
        <v>1</v>
      </c>
    </row>
    <row r="134" spans="1:2" x14ac:dyDescent="0.35">
      <c r="A134" s="15">
        <v>519334</v>
      </c>
      <c r="B134" s="52">
        <v>1</v>
      </c>
    </row>
    <row r="135" spans="1:2" x14ac:dyDescent="0.35">
      <c r="A135" s="15">
        <v>519335</v>
      </c>
      <c r="B135" s="52">
        <v>1</v>
      </c>
    </row>
    <row r="136" spans="1:2" x14ac:dyDescent="0.35">
      <c r="A136" s="15">
        <v>519376</v>
      </c>
      <c r="B136" s="52">
        <v>1</v>
      </c>
    </row>
    <row r="137" spans="1:2" x14ac:dyDescent="0.35">
      <c r="A137" s="15">
        <v>519423</v>
      </c>
      <c r="B137" s="52">
        <v>1</v>
      </c>
    </row>
    <row r="138" spans="1:2" x14ac:dyDescent="0.35">
      <c r="A138" s="15">
        <v>519425</v>
      </c>
      <c r="B138" s="52">
        <v>1</v>
      </c>
    </row>
    <row r="139" spans="1:2" x14ac:dyDescent="0.35">
      <c r="A139" s="15">
        <v>519428</v>
      </c>
      <c r="B139" s="52">
        <v>1</v>
      </c>
    </row>
    <row r="140" spans="1:2" x14ac:dyDescent="0.35">
      <c r="A140" s="15">
        <v>519443</v>
      </c>
      <c r="B140" s="52">
        <v>1</v>
      </c>
    </row>
    <row r="141" spans="1:2" x14ac:dyDescent="0.35">
      <c r="A141" s="15">
        <v>519466</v>
      </c>
      <c r="B141" s="52">
        <v>1</v>
      </c>
    </row>
    <row r="142" spans="1:2" x14ac:dyDescent="0.35">
      <c r="A142" s="15">
        <v>519469</v>
      </c>
      <c r="B142" s="52">
        <v>1</v>
      </c>
    </row>
    <row r="143" spans="1:2" x14ac:dyDescent="0.35">
      <c r="A143" s="15">
        <v>519470</v>
      </c>
      <c r="B143" s="52">
        <v>1</v>
      </c>
    </row>
    <row r="144" spans="1:2" x14ac:dyDescent="0.35">
      <c r="A144" s="15">
        <v>519474</v>
      </c>
      <c r="B144" s="52">
        <v>1</v>
      </c>
    </row>
    <row r="145" spans="1:2" x14ac:dyDescent="0.35">
      <c r="A145" s="15">
        <v>519494</v>
      </c>
      <c r="B145" s="52">
        <v>1</v>
      </c>
    </row>
    <row r="146" spans="1:2" x14ac:dyDescent="0.35">
      <c r="A146" s="15">
        <v>519508</v>
      </c>
      <c r="B146" s="52">
        <v>1</v>
      </c>
    </row>
    <row r="147" spans="1:2" x14ac:dyDescent="0.35">
      <c r="A147" s="15">
        <v>519509</v>
      </c>
      <c r="B147" s="52">
        <v>1</v>
      </c>
    </row>
    <row r="148" spans="1:2" x14ac:dyDescent="0.35">
      <c r="A148" s="15">
        <v>519510</v>
      </c>
      <c r="B148" s="52">
        <v>1</v>
      </c>
    </row>
    <row r="149" spans="1:2" x14ac:dyDescent="0.35">
      <c r="A149" s="15">
        <v>519524</v>
      </c>
      <c r="B149" s="52">
        <v>1</v>
      </c>
    </row>
    <row r="150" spans="1:2" x14ac:dyDescent="0.35">
      <c r="A150" s="15">
        <v>519545</v>
      </c>
      <c r="B150" s="52">
        <v>1</v>
      </c>
    </row>
    <row r="151" spans="1:2" x14ac:dyDescent="0.35">
      <c r="A151" s="15">
        <v>519546</v>
      </c>
      <c r="B151" s="52">
        <v>1</v>
      </c>
    </row>
    <row r="152" spans="1:2" x14ac:dyDescent="0.35">
      <c r="A152" s="15">
        <v>519674</v>
      </c>
      <c r="B152" s="52">
        <v>1</v>
      </c>
    </row>
    <row r="153" spans="1:2" x14ac:dyDescent="0.35">
      <c r="A153" s="15">
        <v>519767</v>
      </c>
      <c r="B153" s="52">
        <v>1</v>
      </c>
    </row>
    <row r="154" spans="1:2" x14ac:dyDescent="0.35">
      <c r="A154" s="15">
        <v>519833</v>
      </c>
      <c r="B154" s="52">
        <v>1</v>
      </c>
    </row>
    <row r="155" spans="1:2" x14ac:dyDescent="0.35">
      <c r="A155" s="15">
        <v>519862</v>
      </c>
      <c r="B155" s="52">
        <v>1</v>
      </c>
    </row>
    <row r="156" spans="1:2" x14ac:dyDescent="0.35">
      <c r="A156" s="15">
        <v>519985</v>
      </c>
      <c r="B156" s="52">
        <v>1</v>
      </c>
    </row>
    <row r="157" spans="1:2" x14ac:dyDescent="0.35">
      <c r="A157" s="15">
        <v>519995</v>
      </c>
      <c r="B157" s="52">
        <v>1</v>
      </c>
    </row>
    <row r="158" spans="1:2" x14ac:dyDescent="0.35">
      <c r="A158" s="15">
        <v>520119</v>
      </c>
      <c r="B158" s="52">
        <v>1</v>
      </c>
    </row>
    <row r="159" spans="1:2" x14ac:dyDescent="0.35">
      <c r="A159" s="15">
        <v>520164</v>
      </c>
      <c r="B159" s="52">
        <v>1</v>
      </c>
    </row>
    <row r="160" spans="1:2" x14ac:dyDescent="0.35">
      <c r="A160" s="15">
        <v>520214</v>
      </c>
      <c r="B160" s="52">
        <v>1</v>
      </c>
    </row>
    <row r="161" spans="1:2" x14ac:dyDescent="0.35">
      <c r="A161" s="15">
        <v>520242</v>
      </c>
      <c r="B161" s="52">
        <v>1</v>
      </c>
    </row>
    <row r="162" spans="1:2" x14ac:dyDescent="0.35">
      <c r="A162" s="15">
        <v>520260</v>
      </c>
      <c r="B162" s="52">
        <v>1</v>
      </c>
    </row>
    <row r="163" spans="1:2" x14ac:dyDescent="0.35">
      <c r="A163" s="15">
        <v>520359</v>
      </c>
      <c r="B163" s="52">
        <v>1</v>
      </c>
    </row>
    <row r="164" spans="1:2" x14ac:dyDescent="0.35">
      <c r="A164" s="15">
        <v>520395</v>
      </c>
      <c r="B164" s="52">
        <v>1</v>
      </c>
    </row>
    <row r="165" spans="1:2" x14ac:dyDescent="0.35">
      <c r="A165" s="15">
        <v>520398</v>
      </c>
      <c r="B165" s="52">
        <v>1</v>
      </c>
    </row>
    <row r="166" spans="1:2" x14ac:dyDescent="0.35">
      <c r="A166" s="15">
        <v>520408</v>
      </c>
      <c r="B166" s="52">
        <v>1</v>
      </c>
    </row>
    <row r="167" spans="1:2" x14ac:dyDescent="0.35">
      <c r="A167" s="15">
        <v>520430</v>
      </c>
      <c r="B167" s="52">
        <v>1</v>
      </c>
    </row>
    <row r="168" spans="1:2" x14ac:dyDescent="0.35">
      <c r="A168" s="15">
        <v>520435</v>
      </c>
      <c r="B168" s="52">
        <v>1</v>
      </c>
    </row>
    <row r="169" spans="1:2" x14ac:dyDescent="0.35">
      <c r="A169" s="15">
        <v>520438</v>
      </c>
      <c r="B169" s="52">
        <v>1</v>
      </c>
    </row>
    <row r="170" spans="1:2" x14ac:dyDescent="0.35">
      <c r="A170" s="15">
        <v>520493</v>
      </c>
      <c r="B170" s="52">
        <v>1</v>
      </c>
    </row>
    <row r="171" spans="1:2" x14ac:dyDescent="0.35">
      <c r="A171" s="15">
        <v>520553</v>
      </c>
      <c r="B171" s="52">
        <v>1</v>
      </c>
    </row>
    <row r="172" spans="1:2" x14ac:dyDescent="0.35">
      <c r="A172" s="15">
        <v>520578</v>
      </c>
      <c r="B172" s="52">
        <v>1</v>
      </c>
    </row>
    <row r="173" spans="1:2" x14ac:dyDescent="0.35">
      <c r="A173" s="15">
        <v>520579</v>
      </c>
      <c r="B173" s="52">
        <v>1</v>
      </c>
    </row>
    <row r="174" spans="1:2" x14ac:dyDescent="0.35">
      <c r="A174" s="15">
        <v>520580</v>
      </c>
      <c r="B174" s="52">
        <v>1</v>
      </c>
    </row>
    <row r="175" spans="1:2" x14ac:dyDescent="0.35">
      <c r="A175" s="15">
        <v>520581</v>
      </c>
      <c r="B175" s="52">
        <v>1</v>
      </c>
    </row>
    <row r="176" spans="1:2" x14ac:dyDescent="0.35">
      <c r="A176" s="15">
        <v>520583</v>
      </c>
      <c r="B176" s="52">
        <v>1</v>
      </c>
    </row>
    <row r="177" spans="1:2" x14ac:dyDescent="0.35">
      <c r="A177" s="15">
        <v>520605</v>
      </c>
      <c r="B177" s="52">
        <v>1</v>
      </c>
    </row>
    <row r="178" spans="1:2" x14ac:dyDescent="0.35">
      <c r="A178" s="15">
        <v>520610</v>
      </c>
      <c r="B178" s="52">
        <v>1</v>
      </c>
    </row>
    <row r="179" spans="1:2" x14ac:dyDescent="0.35">
      <c r="A179" s="15">
        <v>520611</v>
      </c>
      <c r="B179" s="52">
        <v>1</v>
      </c>
    </row>
    <row r="180" spans="1:2" x14ac:dyDescent="0.35">
      <c r="A180" s="15">
        <v>520617</v>
      </c>
      <c r="B180" s="52">
        <v>1</v>
      </c>
    </row>
    <row r="181" spans="1:2" x14ac:dyDescent="0.35">
      <c r="A181" s="15">
        <v>520630</v>
      </c>
      <c r="B181" s="52">
        <v>1</v>
      </c>
    </row>
    <row r="182" spans="1:2" x14ac:dyDescent="0.35">
      <c r="A182" s="15">
        <v>520631</v>
      </c>
      <c r="B182" s="52">
        <v>1</v>
      </c>
    </row>
    <row r="183" spans="1:2" x14ac:dyDescent="0.35">
      <c r="A183" s="15">
        <v>520651</v>
      </c>
      <c r="B183" s="52">
        <v>1</v>
      </c>
    </row>
    <row r="184" spans="1:2" x14ac:dyDescent="0.35">
      <c r="A184" s="15">
        <v>520664</v>
      </c>
      <c r="B184" s="52">
        <v>1</v>
      </c>
    </row>
    <row r="185" spans="1:2" x14ac:dyDescent="0.35">
      <c r="A185" s="15">
        <v>520666</v>
      </c>
      <c r="B185" s="52">
        <v>1</v>
      </c>
    </row>
    <row r="186" spans="1:2" x14ac:dyDescent="0.35">
      <c r="A186" s="15">
        <v>520669</v>
      </c>
      <c r="B186" s="52">
        <v>1</v>
      </c>
    </row>
    <row r="187" spans="1:2" x14ac:dyDescent="0.35">
      <c r="A187" s="15">
        <v>520670</v>
      </c>
      <c r="B187" s="52">
        <v>1</v>
      </c>
    </row>
    <row r="188" spans="1:2" x14ac:dyDescent="0.35">
      <c r="A188" s="15">
        <v>520746</v>
      </c>
      <c r="B188" s="52">
        <v>1</v>
      </c>
    </row>
    <row r="189" spans="1:2" x14ac:dyDescent="0.35">
      <c r="A189" s="15">
        <v>520747</v>
      </c>
      <c r="B189" s="52">
        <v>1</v>
      </c>
    </row>
    <row r="190" spans="1:2" x14ac:dyDescent="0.35">
      <c r="A190" s="15">
        <v>520748</v>
      </c>
      <c r="B190" s="52">
        <v>1</v>
      </c>
    </row>
    <row r="191" spans="1:2" x14ac:dyDescent="0.35">
      <c r="A191" s="15">
        <v>530024</v>
      </c>
      <c r="B191" s="52">
        <v>1</v>
      </c>
    </row>
    <row r="192" spans="1:2" x14ac:dyDescent="0.35">
      <c r="A192" s="15">
        <v>530140</v>
      </c>
      <c r="B192" s="52">
        <v>1</v>
      </c>
    </row>
    <row r="193" spans="1:2" x14ac:dyDescent="0.35">
      <c r="A193" s="15">
        <v>530205</v>
      </c>
      <c r="B193" s="52">
        <v>1</v>
      </c>
    </row>
    <row r="194" spans="1:2" x14ac:dyDescent="0.35">
      <c r="A194" s="15">
        <v>530496</v>
      </c>
      <c r="B194" s="52">
        <v>1</v>
      </c>
    </row>
    <row r="195" spans="1:2" x14ac:dyDescent="0.35">
      <c r="A195" s="15">
        <v>530497</v>
      </c>
      <c r="B195" s="52">
        <v>1</v>
      </c>
    </row>
    <row r="196" spans="1:2" x14ac:dyDescent="0.35">
      <c r="A196" s="15">
        <v>530583</v>
      </c>
      <c r="B196" s="52">
        <v>1</v>
      </c>
    </row>
    <row r="197" spans="1:2" x14ac:dyDescent="0.35">
      <c r="A197" s="15">
        <v>530663</v>
      </c>
      <c r="B197" s="52">
        <v>1</v>
      </c>
    </row>
    <row r="198" spans="1:2" x14ac:dyDescent="0.35">
      <c r="A198" s="15">
        <v>530761</v>
      </c>
      <c r="B198" s="52">
        <v>1</v>
      </c>
    </row>
    <row r="199" spans="1:2" x14ac:dyDescent="0.35">
      <c r="A199" s="15">
        <v>530995</v>
      </c>
      <c r="B199" s="52">
        <v>1</v>
      </c>
    </row>
    <row r="200" spans="1:2" x14ac:dyDescent="0.35">
      <c r="A200" s="15">
        <v>531082</v>
      </c>
      <c r="B200" s="52">
        <v>1</v>
      </c>
    </row>
    <row r="201" spans="1:2" x14ac:dyDescent="0.35">
      <c r="A201" s="15">
        <v>531118</v>
      </c>
      <c r="B201" s="52">
        <v>1</v>
      </c>
    </row>
    <row r="202" spans="1:2" x14ac:dyDescent="0.35">
      <c r="A202" s="15">
        <v>531119</v>
      </c>
      <c r="B202" s="52">
        <v>1</v>
      </c>
    </row>
    <row r="203" spans="1:2" x14ac:dyDescent="0.35">
      <c r="A203" s="15">
        <v>531167</v>
      </c>
      <c r="B203" s="52">
        <v>1</v>
      </c>
    </row>
    <row r="204" spans="1:2" x14ac:dyDescent="0.35">
      <c r="A204" s="15">
        <v>531168</v>
      </c>
      <c r="B204" s="52">
        <v>1</v>
      </c>
    </row>
    <row r="205" spans="1:2" x14ac:dyDescent="0.35">
      <c r="A205" s="15">
        <v>531189</v>
      </c>
      <c r="B205" s="52">
        <v>1</v>
      </c>
    </row>
    <row r="206" spans="1:2" x14ac:dyDescent="0.35">
      <c r="A206" s="15">
        <v>531232</v>
      </c>
      <c r="B206" s="52">
        <v>1</v>
      </c>
    </row>
    <row r="207" spans="1:2" x14ac:dyDescent="0.35">
      <c r="A207" s="15">
        <v>531233</v>
      </c>
      <c r="B207" s="52">
        <v>1</v>
      </c>
    </row>
    <row r="208" spans="1:2" x14ac:dyDescent="0.35">
      <c r="A208" s="15">
        <v>531257</v>
      </c>
      <c r="B208" s="52">
        <v>1</v>
      </c>
    </row>
    <row r="209" spans="1:2" x14ac:dyDescent="0.35">
      <c r="A209" s="15">
        <v>531351</v>
      </c>
      <c r="B209" s="52">
        <v>1</v>
      </c>
    </row>
    <row r="210" spans="1:2" x14ac:dyDescent="0.35">
      <c r="A210" s="15">
        <v>540094</v>
      </c>
      <c r="B210" s="52">
        <v>1</v>
      </c>
    </row>
    <row r="211" spans="1:2" x14ac:dyDescent="0.35">
      <c r="A211" s="15">
        <v>540213</v>
      </c>
      <c r="B211" s="52">
        <v>1</v>
      </c>
    </row>
    <row r="212" spans="1:2" x14ac:dyDescent="0.35">
      <c r="A212" s="15">
        <v>540214</v>
      </c>
      <c r="B212" s="52">
        <v>1</v>
      </c>
    </row>
    <row r="213" spans="1:2" x14ac:dyDescent="0.35">
      <c r="A213" s="15">
        <v>540219</v>
      </c>
      <c r="B213" s="52">
        <v>1</v>
      </c>
    </row>
    <row r="214" spans="1:2" x14ac:dyDescent="0.35">
      <c r="A214" s="15">
        <v>540297</v>
      </c>
      <c r="B214" s="52">
        <v>1</v>
      </c>
    </row>
    <row r="215" spans="1:2" x14ac:dyDescent="0.35">
      <c r="A215" s="15">
        <v>540303</v>
      </c>
      <c r="B215" s="52">
        <v>1</v>
      </c>
    </row>
    <row r="216" spans="1:2" x14ac:dyDescent="0.35">
      <c r="A216" s="15">
        <v>540325</v>
      </c>
      <c r="B216" s="52">
        <v>1</v>
      </c>
    </row>
    <row r="217" spans="1:2" x14ac:dyDescent="0.35">
      <c r="A217" s="15">
        <v>540330</v>
      </c>
      <c r="B217" s="52">
        <v>1</v>
      </c>
    </row>
    <row r="218" spans="1:2" x14ac:dyDescent="0.35">
      <c r="A218" s="15">
        <v>540390</v>
      </c>
      <c r="B218" s="52">
        <v>1</v>
      </c>
    </row>
    <row r="219" spans="1:2" x14ac:dyDescent="0.35">
      <c r="A219" s="15">
        <v>540479</v>
      </c>
      <c r="B219" s="52">
        <v>1</v>
      </c>
    </row>
    <row r="220" spans="1:2" x14ac:dyDescent="0.35">
      <c r="A220" s="15">
        <v>540564</v>
      </c>
      <c r="B220" s="52">
        <v>1</v>
      </c>
    </row>
    <row r="221" spans="1:2" x14ac:dyDescent="0.35">
      <c r="A221" s="15">
        <v>540647</v>
      </c>
      <c r="B221" s="52">
        <v>1</v>
      </c>
    </row>
    <row r="222" spans="1:2" x14ac:dyDescent="0.35">
      <c r="A222" s="15">
        <v>540722</v>
      </c>
      <c r="B222" s="52">
        <v>1</v>
      </c>
    </row>
    <row r="223" spans="1:2" x14ac:dyDescent="0.35">
      <c r="A223" s="15">
        <v>540729</v>
      </c>
      <c r="B223" s="52">
        <v>1</v>
      </c>
    </row>
    <row r="224" spans="1:2" x14ac:dyDescent="0.35">
      <c r="A224" s="15">
        <v>541148</v>
      </c>
      <c r="B224" s="52">
        <v>1</v>
      </c>
    </row>
    <row r="225" spans="1:2" x14ac:dyDescent="0.35">
      <c r="A225" s="15">
        <v>541186</v>
      </c>
      <c r="B225" s="52">
        <v>1</v>
      </c>
    </row>
    <row r="226" spans="1:2" x14ac:dyDescent="0.35">
      <c r="A226" s="15">
        <v>541198</v>
      </c>
      <c r="B226" s="52">
        <v>1</v>
      </c>
    </row>
    <row r="227" spans="1:2" x14ac:dyDescent="0.35">
      <c r="A227" s="15">
        <v>541315</v>
      </c>
      <c r="B227" s="52">
        <v>1</v>
      </c>
    </row>
    <row r="228" spans="1:2" x14ac:dyDescent="0.35">
      <c r="A228" s="15">
        <v>541321</v>
      </c>
      <c r="B228" s="52">
        <v>1</v>
      </c>
    </row>
    <row r="229" spans="1:2" x14ac:dyDescent="0.35">
      <c r="A229" s="15">
        <v>541322</v>
      </c>
      <c r="B229" s="52">
        <v>1</v>
      </c>
    </row>
    <row r="230" spans="1:2" x14ac:dyDescent="0.35">
      <c r="A230" s="15">
        <v>541325</v>
      </c>
      <c r="B230" s="52">
        <v>1</v>
      </c>
    </row>
    <row r="231" spans="1:2" x14ac:dyDescent="0.35">
      <c r="A231" s="15">
        <v>541372</v>
      </c>
      <c r="B231" s="52">
        <v>1</v>
      </c>
    </row>
    <row r="232" spans="1:2" x14ac:dyDescent="0.35">
      <c r="A232" s="15">
        <v>541385</v>
      </c>
      <c r="B232" s="52">
        <v>1</v>
      </c>
    </row>
    <row r="233" spans="1:2" x14ac:dyDescent="0.35">
      <c r="A233" s="15">
        <v>541393</v>
      </c>
      <c r="B233" s="52">
        <v>1</v>
      </c>
    </row>
    <row r="234" spans="1:2" x14ac:dyDescent="0.35">
      <c r="A234" s="15">
        <v>541444</v>
      </c>
      <c r="B234" s="52">
        <v>1</v>
      </c>
    </row>
    <row r="235" spans="1:2" x14ac:dyDescent="0.35">
      <c r="A235" s="15">
        <v>541457</v>
      </c>
      <c r="B235" s="52">
        <v>1</v>
      </c>
    </row>
    <row r="236" spans="1:2" x14ac:dyDescent="0.35">
      <c r="A236" s="15">
        <v>541549</v>
      </c>
      <c r="B236" s="52">
        <v>1</v>
      </c>
    </row>
    <row r="237" spans="1:2" x14ac:dyDescent="0.35">
      <c r="A237" s="15">
        <v>541559</v>
      </c>
      <c r="B237" s="52">
        <v>1</v>
      </c>
    </row>
    <row r="238" spans="1:2" x14ac:dyDescent="0.35">
      <c r="A238" s="15">
        <v>541560</v>
      </c>
      <c r="B238" s="52">
        <v>1</v>
      </c>
    </row>
    <row r="239" spans="1:2" x14ac:dyDescent="0.35">
      <c r="A239" s="15">
        <v>541561</v>
      </c>
      <c r="B239" s="52">
        <v>1</v>
      </c>
    </row>
    <row r="240" spans="1:2" x14ac:dyDescent="0.35">
      <c r="A240" s="15">
        <v>541569</v>
      </c>
      <c r="B240" s="52">
        <v>1</v>
      </c>
    </row>
    <row r="241" spans="1:2" x14ac:dyDescent="0.35">
      <c r="A241" s="15">
        <v>541613</v>
      </c>
      <c r="B241" s="52">
        <v>1</v>
      </c>
    </row>
    <row r="242" spans="1:2" x14ac:dyDescent="0.35">
      <c r="A242" s="15">
        <v>541750</v>
      </c>
      <c r="B242" s="52">
        <v>1</v>
      </c>
    </row>
    <row r="243" spans="1:2" x14ac:dyDescent="0.35">
      <c r="A243" s="15">
        <v>550007</v>
      </c>
      <c r="B243" s="52">
        <v>1</v>
      </c>
    </row>
    <row r="244" spans="1:2" x14ac:dyDescent="0.35">
      <c r="A244" s="15">
        <v>550013</v>
      </c>
      <c r="B244" s="52">
        <v>1</v>
      </c>
    </row>
    <row r="245" spans="1:2" x14ac:dyDescent="0.35">
      <c r="A245" s="15">
        <v>550015</v>
      </c>
      <c r="B245" s="52">
        <v>1</v>
      </c>
    </row>
    <row r="246" spans="1:2" x14ac:dyDescent="0.35">
      <c r="A246" s="15">
        <v>550044</v>
      </c>
      <c r="B246" s="52">
        <v>1</v>
      </c>
    </row>
    <row r="247" spans="1:2" x14ac:dyDescent="0.35">
      <c r="A247" s="15">
        <v>550045</v>
      </c>
      <c r="B247" s="52">
        <v>1</v>
      </c>
    </row>
    <row r="248" spans="1:2" x14ac:dyDescent="0.35">
      <c r="A248" s="15">
        <v>550113</v>
      </c>
      <c r="B248" s="52">
        <v>1</v>
      </c>
    </row>
    <row r="249" spans="1:2" x14ac:dyDescent="0.35">
      <c r="A249" s="15">
        <v>550114</v>
      </c>
      <c r="B249" s="52">
        <v>1</v>
      </c>
    </row>
    <row r="250" spans="1:2" x14ac:dyDescent="0.35">
      <c r="A250" s="15">
        <v>550115</v>
      </c>
      <c r="B250" s="52">
        <v>1</v>
      </c>
    </row>
    <row r="251" spans="1:2" x14ac:dyDescent="0.35">
      <c r="A251" s="15">
        <v>550465</v>
      </c>
      <c r="B251" s="52">
        <v>1</v>
      </c>
    </row>
    <row r="252" spans="1:2" x14ac:dyDescent="0.35">
      <c r="A252" s="15">
        <v>550466</v>
      </c>
      <c r="B252" s="52">
        <v>1</v>
      </c>
    </row>
    <row r="253" spans="1:2" x14ac:dyDescent="0.35">
      <c r="A253" s="15">
        <v>550467</v>
      </c>
      <c r="B253" s="52">
        <v>1</v>
      </c>
    </row>
    <row r="254" spans="1:2" x14ac:dyDescent="0.35">
      <c r="A254" s="15">
        <v>550469</v>
      </c>
      <c r="B254" s="52">
        <v>1</v>
      </c>
    </row>
    <row r="255" spans="1:2" x14ac:dyDescent="0.35">
      <c r="A255" s="15">
        <v>550470</v>
      </c>
      <c r="B255" s="52">
        <v>1</v>
      </c>
    </row>
    <row r="256" spans="1:2" x14ac:dyDescent="0.35">
      <c r="A256" s="15">
        <v>550481</v>
      </c>
      <c r="B256" s="52">
        <v>1</v>
      </c>
    </row>
    <row r="257" spans="1:2" x14ac:dyDescent="0.35">
      <c r="A257" s="15">
        <v>550482</v>
      </c>
      <c r="B257" s="52">
        <v>1</v>
      </c>
    </row>
    <row r="258" spans="1:2" x14ac:dyDescent="0.35">
      <c r="A258" s="15">
        <v>550483</v>
      </c>
      <c r="B258" s="52">
        <v>1</v>
      </c>
    </row>
    <row r="259" spans="1:2" x14ac:dyDescent="0.35">
      <c r="A259" s="15">
        <v>550484</v>
      </c>
      <c r="B259" s="52">
        <v>1</v>
      </c>
    </row>
    <row r="260" spans="1:2" x14ac:dyDescent="0.35">
      <c r="A260" s="15">
        <v>550485</v>
      </c>
      <c r="B260" s="52">
        <v>1</v>
      </c>
    </row>
    <row r="261" spans="1:2" x14ac:dyDescent="0.35">
      <c r="A261" s="15">
        <v>550486</v>
      </c>
      <c r="B261" s="52">
        <v>1</v>
      </c>
    </row>
    <row r="262" spans="1:2" x14ac:dyDescent="0.35">
      <c r="A262" s="15">
        <v>550487</v>
      </c>
      <c r="B262" s="52">
        <v>1</v>
      </c>
    </row>
    <row r="263" spans="1:2" x14ac:dyDescent="0.35">
      <c r="A263" s="15">
        <v>1001352</v>
      </c>
      <c r="B263" s="52">
        <v>1</v>
      </c>
    </row>
    <row r="264" spans="1:2" x14ac:dyDescent="0.35">
      <c r="A264" s="15">
        <v>1001355</v>
      </c>
      <c r="B264" s="52">
        <v>1</v>
      </c>
    </row>
    <row r="265" spans="1:2" x14ac:dyDescent="0.35">
      <c r="A265" s="15">
        <v>1001356</v>
      </c>
      <c r="B265" s="52">
        <v>1</v>
      </c>
    </row>
    <row r="266" spans="1:2" x14ac:dyDescent="0.35">
      <c r="A266" s="15">
        <v>1010226</v>
      </c>
      <c r="B266" s="52">
        <v>1</v>
      </c>
    </row>
    <row r="267" spans="1:2" x14ac:dyDescent="0.35">
      <c r="A267" s="15">
        <v>1010272</v>
      </c>
      <c r="B267" s="52">
        <v>1</v>
      </c>
    </row>
    <row r="268" spans="1:2" x14ac:dyDescent="0.35">
      <c r="A268" s="15">
        <v>1011651</v>
      </c>
      <c r="B268" s="52">
        <v>1</v>
      </c>
    </row>
    <row r="269" spans="1:2" x14ac:dyDescent="0.35">
      <c r="A269" s="15">
        <v>1101001</v>
      </c>
      <c r="B269" s="52">
        <v>1</v>
      </c>
    </row>
    <row r="270" spans="1:2" x14ac:dyDescent="0.35">
      <c r="A270" s="15">
        <v>1101005</v>
      </c>
      <c r="B270" s="52">
        <v>1</v>
      </c>
    </row>
    <row r="271" spans="1:2" x14ac:dyDescent="0.35">
      <c r="A271" s="15">
        <v>1101006</v>
      </c>
      <c r="B271" s="52">
        <v>1</v>
      </c>
    </row>
    <row r="272" spans="1:2" x14ac:dyDescent="0.35">
      <c r="A272" s="15">
        <v>1101007</v>
      </c>
      <c r="B272" s="52">
        <v>1</v>
      </c>
    </row>
    <row r="273" spans="1:2" x14ac:dyDescent="0.35">
      <c r="A273" s="15">
        <v>1101008</v>
      </c>
      <c r="B273" s="52">
        <v>1</v>
      </c>
    </row>
    <row r="274" spans="1:2" x14ac:dyDescent="0.35">
      <c r="A274" s="15">
        <v>1101009</v>
      </c>
      <c r="B274" s="52">
        <v>1</v>
      </c>
    </row>
    <row r="275" spans="1:2" x14ac:dyDescent="0.35">
      <c r="A275" s="15">
        <v>1101010</v>
      </c>
      <c r="B275" s="52">
        <v>1</v>
      </c>
    </row>
    <row r="276" spans="1:2" x14ac:dyDescent="0.35">
      <c r="A276" s="15">
        <v>1101015</v>
      </c>
      <c r="B276" s="52">
        <v>1</v>
      </c>
    </row>
    <row r="277" spans="1:2" x14ac:dyDescent="0.35">
      <c r="A277" s="15">
        <v>1102001</v>
      </c>
      <c r="B277" s="52">
        <v>1</v>
      </c>
    </row>
    <row r="278" spans="1:2" x14ac:dyDescent="0.35">
      <c r="A278" s="15">
        <v>1102005</v>
      </c>
      <c r="B278" s="52">
        <v>1</v>
      </c>
    </row>
    <row r="279" spans="1:2" x14ac:dyDescent="0.35">
      <c r="A279" s="15">
        <v>1102007</v>
      </c>
      <c r="B279" s="52">
        <v>1</v>
      </c>
    </row>
    <row r="280" spans="1:2" x14ac:dyDescent="0.35">
      <c r="A280" s="15">
        <v>1102008</v>
      </c>
      <c r="B280" s="52">
        <v>1</v>
      </c>
    </row>
    <row r="281" spans="1:2" x14ac:dyDescent="0.35">
      <c r="A281" s="15">
        <v>1102009</v>
      </c>
      <c r="B281" s="52">
        <v>1</v>
      </c>
    </row>
    <row r="282" spans="1:2" x14ac:dyDescent="0.35">
      <c r="A282" s="15">
        <v>1102012</v>
      </c>
      <c r="B282" s="52">
        <v>1</v>
      </c>
    </row>
    <row r="283" spans="1:2" x14ac:dyDescent="0.35">
      <c r="A283" s="15">
        <v>1102018</v>
      </c>
      <c r="B283" s="52">
        <v>1</v>
      </c>
    </row>
    <row r="284" spans="1:2" x14ac:dyDescent="0.35">
      <c r="A284" s="15">
        <v>1102023</v>
      </c>
      <c r="B284" s="52">
        <v>1</v>
      </c>
    </row>
    <row r="285" spans="1:2" x14ac:dyDescent="0.35">
      <c r="A285" s="15">
        <v>1102029</v>
      </c>
      <c r="B285" s="52">
        <v>1</v>
      </c>
    </row>
    <row r="286" spans="1:2" x14ac:dyDescent="0.35">
      <c r="A286" s="15">
        <v>1102306</v>
      </c>
      <c r="B286" s="52">
        <v>1</v>
      </c>
    </row>
    <row r="287" spans="1:2" x14ac:dyDescent="0.35">
      <c r="A287" s="15">
        <v>1102307</v>
      </c>
      <c r="B287" s="52">
        <v>1</v>
      </c>
    </row>
    <row r="288" spans="1:2" x14ac:dyDescent="0.35">
      <c r="A288" s="15">
        <v>1104001</v>
      </c>
      <c r="B288" s="52">
        <v>1</v>
      </c>
    </row>
    <row r="289" spans="1:2" x14ac:dyDescent="0.35">
      <c r="A289" s="15">
        <v>1106001</v>
      </c>
      <c r="B289" s="52">
        <v>1</v>
      </c>
    </row>
    <row r="290" spans="1:2" x14ac:dyDescent="0.35">
      <c r="A290" s="15">
        <v>1106002</v>
      </c>
      <c r="B290" s="52">
        <v>1</v>
      </c>
    </row>
    <row r="291" spans="1:2" x14ac:dyDescent="0.35">
      <c r="A291" s="15">
        <v>1106003</v>
      </c>
      <c r="B291" s="52">
        <v>1</v>
      </c>
    </row>
    <row r="292" spans="1:2" x14ac:dyDescent="0.35">
      <c r="A292" s="15">
        <v>1106004</v>
      </c>
      <c r="B292" s="52">
        <v>1</v>
      </c>
    </row>
    <row r="293" spans="1:2" x14ac:dyDescent="0.35">
      <c r="A293" s="15">
        <v>1106005</v>
      </c>
      <c r="B293" s="52">
        <v>1</v>
      </c>
    </row>
    <row r="294" spans="1:2" x14ac:dyDescent="0.35">
      <c r="A294" s="15">
        <v>1106006</v>
      </c>
      <c r="B294" s="52">
        <v>1</v>
      </c>
    </row>
    <row r="295" spans="1:2" x14ac:dyDescent="0.35">
      <c r="A295" s="15">
        <v>1106007</v>
      </c>
      <c r="B295" s="52">
        <v>1</v>
      </c>
    </row>
    <row r="296" spans="1:2" x14ac:dyDescent="0.35">
      <c r="A296" s="15">
        <v>1106008</v>
      </c>
      <c r="B296" s="52">
        <v>1</v>
      </c>
    </row>
    <row r="297" spans="1:2" x14ac:dyDescent="0.35">
      <c r="A297" s="15">
        <v>1106009</v>
      </c>
      <c r="B297" s="52">
        <v>1</v>
      </c>
    </row>
    <row r="298" spans="1:2" x14ac:dyDescent="0.35">
      <c r="A298" s="15">
        <v>1106010</v>
      </c>
      <c r="B298" s="52">
        <v>1</v>
      </c>
    </row>
    <row r="299" spans="1:2" x14ac:dyDescent="0.35">
      <c r="A299" s="15">
        <v>1106011</v>
      </c>
      <c r="B299" s="52">
        <v>1</v>
      </c>
    </row>
    <row r="300" spans="1:2" x14ac:dyDescent="0.35">
      <c r="A300" s="15">
        <v>1106014</v>
      </c>
      <c r="B300" s="52">
        <v>1</v>
      </c>
    </row>
    <row r="301" spans="1:2" x14ac:dyDescent="0.35">
      <c r="A301" s="15">
        <v>1106064</v>
      </c>
      <c r="B301" s="52">
        <v>1</v>
      </c>
    </row>
    <row r="302" spans="1:2" x14ac:dyDescent="0.35">
      <c r="A302" s="15">
        <v>1107002</v>
      </c>
      <c r="B302" s="52">
        <v>1</v>
      </c>
    </row>
    <row r="303" spans="1:2" x14ac:dyDescent="0.35">
      <c r="A303" s="15">
        <v>1107010</v>
      </c>
      <c r="B303" s="52">
        <v>1</v>
      </c>
    </row>
    <row r="304" spans="1:2" x14ac:dyDescent="0.35">
      <c r="A304" s="15">
        <v>1107017</v>
      </c>
      <c r="B304" s="52">
        <v>1</v>
      </c>
    </row>
    <row r="305" spans="1:2" x14ac:dyDescent="0.35">
      <c r="A305" s="15">
        <v>1107018</v>
      </c>
      <c r="B305" s="52">
        <v>1</v>
      </c>
    </row>
    <row r="306" spans="1:2" x14ac:dyDescent="0.35">
      <c r="A306" s="15">
        <v>1107025</v>
      </c>
      <c r="B306" s="52">
        <v>1</v>
      </c>
    </row>
    <row r="307" spans="1:2" x14ac:dyDescent="0.35">
      <c r="A307" s="15">
        <v>1108102</v>
      </c>
      <c r="B307" s="52">
        <v>1</v>
      </c>
    </row>
    <row r="308" spans="1:2" x14ac:dyDescent="0.35">
      <c r="A308" s="15">
        <v>1117002</v>
      </c>
      <c r="B308" s="52">
        <v>1</v>
      </c>
    </row>
    <row r="309" spans="1:2" x14ac:dyDescent="0.35">
      <c r="A309" s="15">
        <v>1117006</v>
      </c>
      <c r="B309" s="52">
        <v>1</v>
      </c>
    </row>
    <row r="310" spans="1:2" x14ac:dyDescent="0.35">
      <c r="A310" s="15">
        <v>1117203</v>
      </c>
      <c r="B310" s="52">
        <v>1</v>
      </c>
    </row>
    <row r="311" spans="1:2" x14ac:dyDescent="0.35">
      <c r="A311" s="15">
        <v>1118008</v>
      </c>
      <c r="B311" s="52">
        <v>1</v>
      </c>
    </row>
    <row r="312" spans="1:2" x14ac:dyDescent="0.35">
      <c r="A312" s="15">
        <v>1118018</v>
      </c>
      <c r="B312" s="52">
        <v>1</v>
      </c>
    </row>
    <row r="313" spans="1:2" x14ac:dyDescent="0.35">
      <c r="A313" s="15">
        <v>1118028</v>
      </c>
      <c r="B313" s="52">
        <v>1</v>
      </c>
    </row>
    <row r="314" spans="1:2" x14ac:dyDescent="0.35">
      <c r="A314" s="15">
        <v>1118031</v>
      </c>
      <c r="B314" s="52">
        <v>1</v>
      </c>
    </row>
    <row r="315" spans="1:2" x14ac:dyDescent="0.35">
      <c r="A315" s="15">
        <v>1118032</v>
      </c>
      <c r="B315" s="52">
        <v>1</v>
      </c>
    </row>
    <row r="316" spans="1:2" x14ac:dyDescent="0.35">
      <c r="A316" s="15">
        <v>1118033</v>
      </c>
      <c r="B316" s="52">
        <v>1</v>
      </c>
    </row>
    <row r="317" spans="1:2" x14ac:dyDescent="0.35">
      <c r="A317" s="15">
        <v>1118034</v>
      </c>
      <c r="B317" s="52">
        <v>1</v>
      </c>
    </row>
    <row r="318" spans="1:2" x14ac:dyDescent="0.35">
      <c r="A318" s="15">
        <v>1118035</v>
      </c>
      <c r="B318" s="52">
        <v>1</v>
      </c>
    </row>
    <row r="319" spans="1:2" x14ac:dyDescent="0.35">
      <c r="A319" s="15">
        <v>1118036</v>
      </c>
      <c r="B319" s="52">
        <v>1</v>
      </c>
    </row>
    <row r="320" spans="1:2" x14ac:dyDescent="0.35">
      <c r="A320" s="15">
        <v>1118038</v>
      </c>
      <c r="B320" s="52">
        <v>1</v>
      </c>
    </row>
    <row r="321" spans="1:2" x14ac:dyDescent="0.35">
      <c r="A321" s="15">
        <v>1118039</v>
      </c>
      <c r="B321" s="52">
        <v>1</v>
      </c>
    </row>
    <row r="322" spans="1:2" x14ac:dyDescent="0.35">
      <c r="A322" s="15">
        <v>1118042</v>
      </c>
      <c r="B322" s="52">
        <v>1</v>
      </c>
    </row>
    <row r="323" spans="1:2" x14ac:dyDescent="0.35">
      <c r="A323" s="15">
        <v>1118045</v>
      </c>
      <c r="B323" s="52">
        <v>1</v>
      </c>
    </row>
    <row r="324" spans="1:2" x14ac:dyDescent="0.35">
      <c r="A324" s="15">
        <v>1118048</v>
      </c>
      <c r="B324" s="52">
        <v>1</v>
      </c>
    </row>
    <row r="325" spans="1:2" x14ac:dyDescent="0.35">
      <c r="A325" s="15">
        <v>1118049</v>
      </c>
      <c r="B325" s="52">
        <v>1</v>
      </c>
    </row>
    <row r="326" spans="1:2" x14ac:dyDescent="0.35">
      <c r="A326" s="15">
        <v>1118051</v>
      </c>
      <c r="B326" s="52">
        <v>1</v>
      </c>
    </row>
    <row r="327" spans="1:2" x14ac:dyDescent="0.35">
      <c r="A327" s="15">
        <v>1118052</v>
      </c>
      <c r="B327" s="52">
        <v>1</v>
      </c>
    </row>
    <row r="328" spans="1:2" x14ac:dyDescent="0.35">
      <c r="A328" s="15">
        <v>1118055</v>
      </c>
      <c r="B328" s="52">
        <v>1</v>
      </c>
    </row>
    <row r="329" spans="1:2" x14ac:dyDescent="0.35">
      <c r="A329" s="15">
        <v>1118058</v>
      </c>
      <c r="B329" s="52">
        <v>1</v>
      </c>
    </row>
    <row r="330" spans="1:2" x14ac:dyDescent="0.35">
      <c r="A330" s="15">
        <v>1118062</v>
      </c>
      <c r="B330" s="52">
        <v>1</v>
      </c>
    </row>
    <row r="331" spans="1:2" x14ac:dyDescent="0.35">
      <c r="A331" s="15">
        <v>1118063</v>
      </c>
      <c r="B331" s="52">
        <v>1</v>
      </c>
    </row>
    <row r="332" spans="1:2" x14ac:dyDescent="0.35">
      <c r="A332" s="15">
        <v>1118064</v>
      </c>
      <c r="B332" s="52">
        <v>1</v>
      </c>
    </row>
    <row r="333" spans="1:2" x14ac:dyDescent="0.35">
      <c r="A333" s="15">
        <v>1118065</v>
      </c>
      <c r="B333" s="52">
        <v>1</v>
      </c>
    </row>
    <row r="334" spans="1:2" x14ac:dyDescent="0.35">
      <c r="A334" s="15">
        <v>1118066</v>
      </c>
      <c r="B334" s="52">
        <v>1</v>
      </c>
    </row>
    <row r="335" spans="1:2" x14ac:dyDescent="0.35">
      <c r="A335" s="15">
        <v>1118091</v>
      </c>
      <c r="B335" s="52">
        <v>1</v>
      </c>
    </row>
    <row r="336" spans="1:2" x14ac:dyDescent="0.35">
      <c r="A336" s="15">
        <v>1118092</v>
      </c>
      <c r="B336" s="52">
        <v>1</v>
      </c>
    </row>
    <row r="337" spans="1:2" x14ac:dyDescent="0.35">
      <c r="A337" s="15">
        <v>1118110</v>
      </c>
      <c r="B337" s="52">
        <v>1</v>
      </c>
    </row>
    <row r="338" spans="1:2" x14ac:dyDescent="0.35">
      <c r="A338" s="15">
        <v>1118111</v>
      </c>
      <c r="B338" s="52">
        <v>1</v>
      </c>
    </row>
    <row r="339" spans="1:2" x14ac:dyDescent="0.35">
      <c r="A339" s="15">
        <v>1118116</v>
      </c>
      <c r="B339" s="52">
        <v>1</v>
      </c>
    </row>
    <row r="340" spans="1:2" x14ac:dyDescent="0.35">
      <c r="A340" s="15">
        <v>1118121</v>
      </c>
      <c r="B340" s="52">
        <v>1</v>
      </c>
    </row>
    <row r="341" spans="1:2" x14ac:dyDescent="0.35">
      <c r="A341" s="15">
        <v>1118134</v>
      </c>
      <c r="B341" s="52">
        <v>1</v>
      </c>
    </row>
    <row r="342" spans="1:2" x14ac:dyDescent="0.35">
      <c r="A342" s="15">
        <v>1118143</v>
      </c>
      <c r="B342" s="52">
        <v>1</v>
      </c>
    </row>
    <row r="343" spans="1:2" x14ac:dyDescent="0.35">
      <c r="A343" s="15">
        <v>1118155</v>
      </c>
      <c r="B343" s="52">
        <v>1</v>
      </c>
    </row>
    <row r="344" spans="1:2" x14ac:dyDescent="0.35">
      <c r="A344" s="15">
        <v>1118167</v>
      </c>
      <c r="B344" s="52">
        <v>1</v>
      </c>
    </row>
    <row r="345" spans="1:2" x14ac:dyDescent="0.35">
      <c r="A345" s="15">
        <v>1118172</v>
      </c>
      <c r="B345" s="52">
        <v>1</v>
      </c>
    </row>
    <row r="346" spans="1:2" x14ac:dyDescent="0.35">
      <c r="A346" s="15">
        <v>1118178</v>
      </c>
      <c r="B346" s="52">
        <v>1</v>
      </c>
    </row>
    <row r="347" spans="1:2" x14ac:dyDescent="0.35">
      <c r="A347" s="15">
        <v>1118181</v>
      </c>
      <c r="B347" s="52">
        <v>1</v>
      </c>
    </row>
    <row r="348" spans="1:2" x14ac:dyDescent="0.35">
      <c r="A348" s="15">
        <v>1118268</v>
      </c>
      <c r="B348" s="52">
        <v>1</v>
      </c>
    </row>
    <row r="349" spans="1:2" x14ac:dyDescent="0.35">
      <c r="A349" s="15">
        <v>1119001</v>
      </c>
      <c r="B349" s="52">
        <v>1</v>
      </c>
    </row>
    <row r="350" spans="1:2" x14ac:dyDescent="0.35">
      <c r="A350" s="15">
        <v>1119002</v>
      </c>
      <c r="B350" s="52">
        <v>1</v>
      </c>
    </row>
    <row r="351" spans="1:2" x14ac:dyDescent="0.35">
      <c r="A351" s="15">
        <v>1119003</v>
      </c>
      <c r="B351" s="52">
        <v>1</v>
      </c>
    </row>
    <row r="352" spans="1:2" x14ac:dyDescent="0.35">
      <c r="A352" s="15">
        <v>1119004</v>
      </c>
      <c r="B352" s="52">
        <v>1</v>
      </c>
    </row>
    <row r="353" spans="1:2" x14ac:dyDescent="0.35">
      <c r="A353" s="15">
        <v>1119005</v>
      </c>
      <c r="B353" s="52">
        <v>1</v>
      </c>
    </row>
    <row r="354" spans="1:2" x14ac:dyDescent="0.35">
      <c r="A354" s="15">
        <v>1119006</v>
      </c>
      <c r="B354" s="52">
        <v>1</v>
      </c>
    </row>
    <row r="355" spans="1:2" x14ac:dyDescent="0.35">
      <c r="A355" s="15">
        <v>1119007</v>
      </c>
      <c r="B355" s="52">
        <v>1</v>
      </c>
    </row>
    <row r="356" spans="1:2" x14ac:dyDescent="0.35">
      <c r="A356" s="15">
        <v>1119010</v>
      </c>
      <c r="B356" s="52">
        <v>1</v>
      </c>
    </row>
    <row r="357" spans="1:2" x14ac:dyDescent="0.35">
      <c r="A357" s="15">
        <v>1119012</v>
      </c>
      <c r="B357" s="52">
        <v>1</v>
      </c>
    </row>
    <row r="358" spans="1:2" x14ac:dyDescent="0.35">
      <c r="A358" s="15">
        <v>1119018</v>
      </c>
      <c r="B358" s="52">
        <v>1</v>
      </c>
    </row>
    <row r="359" spans="1:2" x14ac:dyDescent="0.35">
      <c r="A359" s="15">
        <v>1119026</v>
      </c>
      <c r="B359" s="52">
        <v>1</v>
      </c>
    </row>
    <row r="360" spans="1:2" x14ac:dyDescent="0.35">
      <c r="A360" s="15">
        <v>1119035</v>
      </c>
      <c r="B360" s="52">
        <v>1</v>
      </c>
    </row>
    <row r="361" spans="1:2" x14ac:dyDescent="0.35">
      <c r="A361" s="15">
        <v>1119061</v>
      </c>
      <c r="B361" s="52">
        <v>1</v>
      </c>
    </row>
    <row r="362" spans="1:2" x14ac:dyDescent="0.35">
      <c r="A362" s="15">
        <v>1119103</v>
      </c>
      <c r="B362" s="52">
        <v>1</v>
      </c>
    </row>
    <row r="363" spans="1:2" x14ac:dyDescent="0.35">
      <c r="A363" s="15">
        <v>1120000</v>
      </c>
      <c r="B363" s="52">
        <v>1</v>
      </c>
    </row>
    <row r="364" spans="1:2" x14ac:dyDescent="0.35">
      <c r="A364" s="15">
        <v>1120108</v>
      </c>
      <c r="B364" s="52">
        <v>1</v>
      </c>
    </row>
    <row r="365" spans="1:2" x14ac:dyDescent="0.35">
      <c r="A365" s="15">
        <v>1120114</v>
      </c>
      <c r="B365" s="52">
        <v>1</v>
      </c>
    </row>
    <row r="366" spans="1:2" x14ac:dyDescent="0.35">
      <c r="A366" s="15">
        <v>1120204</v>
      </c>
      <c r="B366" s="52">
        <v>1</v>
      </c>
    </row>
    <row r="367" spans="1:2" x14ac:dyDescent="0.35">
      <c r="A367" s="15">
        <v>1120209</v>
      </c>
      <c r="B367" s="52">
        <v>1</v>
      </c>
    </row>
    <row r="368" spans="1:2" x14ac:dyDescent="0.35">
      <c r="A368" s="15">
        <v>1120239</v>
      </c>
      <c r="B368" s="52">
        <v>1</v>
      </c>
    </row>
    <row r="369" spans="1:2" x14ac:dyDescent="0.35">
      <c r="A369" s="15">
        <v>1120400</v>
      </c>
      <c r="B369" s="52">
        <v>1</v>
      </c>
    </row>
    <row r="370" spans="1:2" x14ac:dyDescent="0.35">
      <c r="A370" s="15">
        <v>1120401</v>
      </c>
      <c r="B370" s="52">
        <v>1</v>
      </c>
    </row>
    <row r="371" spans="1:2" x14ac:dyDescent="0.35">
      <c r="A371" s="15">
        <v>1120402</v>
      </c>
      <c r="B371" s="52">
        <v>1</v>
      </c>
    </row>
    <row r="372" spans="1:2" x14ac:dyDescent="0.35">
      <c r="A372" s="15">
        <v>1120403</v>
      </c>
      <c r="B372" s="52">
        <v>1</v>
      </c>
    </row>
    <row r="373" spans="1:2" x14ac:dyDescent="0.35">
      <c r="A373" s="15">
        <v>1120404</v>
      </c>
      <c r="B373" s="52">
        <v>1</v>
      </c>
    </row>
    <row r="374" spans="1:2" x14ac:dyDescent="0.35">
      <c r="A374" s="15">
        <v>1120405</v>
      </c>
      <c r="B374" s="52">
        <v>1</v>
      </c>
    </row>
    <row r="375" spans="1:2" x14ac:dyDescent="0.35">
      <c r="A375" s="15">
        <v>1120409</v>
      </c>
      <c r="B375" s="52">
        <v>1</v>
      </c>
    </row>
    <row r="376" spans="1:2" x14ac:dyDescent="0.35">
      <c r="A376" s="15">
        <v>1120410</v>
      </c>
      <c r="B376" s="52">
        <v>1</v>
      </c>
    </row>
    <row r="377" spans="1:2" x14ac:dyDescent="0.35">
      <c r="A377" s="15">
        <v>1120423</v>
      </c>
      <c r="B377" s="52">
        <v>1</v>
      </c>
    </row>
    <row r="378" spans="1:2" x14ac:dyDescent="0.35">
      <c r="A378" s="15">
        <v>1120424</v>
      </c>
      <c r="B378" s="52">
        <v>1</v>
      </c>
    </row>
    <row r="379" spans="1:2" x14ac:dyDescent="0.35">
      <c r="A379" s="15">
        <v>1120425</v>
      </c>
      <c r="B379" s="52">
        <v>1</v>
      </c>
    </row>
    <row r="380" spans="1:2" x14ac:dyDescent="0.35">
      <c r="A380" s="15">
        <v>1120439</v>
      </c>
      <c r="B380" s="52">
        <v>1</v>
      </c>
    </row>
    <row r="381" spans="1:2" x14ac:dyDescent="0.35">
      <c r="A381" s="15">
        <v>1120442</v>
      </c>
      <c r="B381" s="52">
        <v>1</v>
      </c>
    </row>
    <row r="382" spans="1:2" x14ac:dyDescent="0.35">
      <c r="A382" s="15">
        <v>1120447</v>
      </c>
      <c r="B382" s="52">
        <v>1</v>
      </c>
    </row>
    <row r="383" spans="1:2" x14ac:dyDescent="0.35">
      <c r="A383" s="15">
        <v>1120449</v>
      </c>
      <c r="B383" s="52">
        <v>1</v>
      </c>
    </row>
    <row r="384" spans="1:2" x14ac:dyDescent="0.35">
      <c r="A384" s="15">
        <v>1121007</v>
      </c>
      <c r="B384" s="52">
        <v>1</v>
      </c>
    </row>
    <row r="385" spans="1:2" x14ac:dyDescent="0.35">
      <c r="A385" s="15">
        <v>1121009</v>
      </c>
      <c r="B385" s="52">
        <v>1</v>
      </c>
    </row>
    <row r="386" spans="1:2" x14ac:dyDescent="0.35">
      <c r="A386" s="15">
        <v>1121010</v>
      </c>
      <c r="B386" s="52">
        <v>1</v>
      </c>
    </row>
    <row r="387" spans="1:2" x14ac:dyDescent="0.35">
      <c r="A387" s="15">
        <v>1121011</v>
      </c>
      <c r="B387" s="52">
        <v>1</v>
      </c>
    </row>
    <row r="388" spans="1:2" x14ac:dyDescent="0.35">
      <c r="A388" s="15">
        <v>1121012</v>
      </c>
      <c r="B388" s="52">
        <v>1</v>
      </c>
    </row>
    <row r="389" spans="1:2" x14ac:dyDescent="0.35">
      <c r="A389" s="15">
        <v>1121018</v>
      </c>
      <c r="B389" s="52">
        <v>1</v>
      </c>
    </row>
    <row r="390" spans="1:2" x14ac:dyDescent="0.35">
      <c r="A390" s="15">
        <v>1121032</v>
      </c>
      <c r="B390" s="52">
        <v>1</v>
      </c>
    </row>
    <row r="391" spans="1:2" x14ac:dyDescent="0.35">
      <c r="A391" s="15">
        <v>1121033</v>
      </c>
      <c r="B391" s="52">
        <v>1</v>
      </c>
    </row>
    <row r="392" spans="1:2" x14ac:dyDescent="0.35">
      <c r="A392" s="15">
        <v>1121173</v>
      </c>
      <c r="B392" s="52">
        <v>1</v>
      </c>
    </row>
    <row r="393" spans="1:2" x14ac:dyDescent="0.35">
      <c r="A393" s="15">
        <v>1121174</v>
      </c>
      <c r="B393" s="52">
        <v>1</v>
      </c>
    </row>
    <row r="394" spans="1:2" x14ac:dyDescent="0.35">
      <c r="A394" s="15">
        <v>1121176</v>
      </c>
      <c r="B394" s="52">
        <v>1</v>
      </c>
    </row>
    <row r="395" spans="1:2" x14ac:dyDescent="0.35">
      <c r="A395" s="15">
        <v>1127209</v>
      </c>
      <c r="B395" s="52">
        <v>1</v>
      </c>
    </row>
    <row r="396" spans="1:2" x14ac:dyDescent="0.35">
      <c r="A396" s="15">
        <v>1127349</v>
      </c>
      <c r="B396" s="52">
        <v>1</v>
      </c>
    </row>
    <row r="397" spans="1:2" x14ac:dyDescent="0.35">
      <c r="A397" s="15">
        <v>1127363</v>
      </c>
      <c r="B397" s="52">
        <v>1</v>
      </c>
    </row>
    <row r="398" spans="1:2" x14ac:dyDescent="0.35">
      <c r="A398" s="15">
        <v>1127403</v>
      </c>
      <c r="B398" s="52">
        <v>1</v>
      </c>
    </row>
    <row r="399" spans="1:2" x14ac:dyDescent="0.35">
      <c r="A399" s="15">
        <v>1127404</v>
      </c>
      <c r="B399" s="52">
        <v>1</v>
      </c>
    </row>
    <row r="400" spans="1:2" x14ac:dyDescent="0.35">
      <c r="A400" s="15">
        <v>1127405</v>
      </c>
      <c r="B400" s="52">
        <v>1</v>
      </c>
    </row>
    <row r="401" spans="1:2" x14ac:dyDescent="0.35">
      <c r="A401" s="15">
        <v>1127406</v>
      </c>
      <c r="B401" s="52">
        <v>1</v>
      </c>
    </row>
    <row r="402" spans="1:2" x14ac:dyDescent="0.35">
      <c r="A402" s="15">
        <v>1127407</v>
      </c>
      <c r="B402" s="52">
        <v>1</v>
      </c>
    </row>
    <row r="403" spans="1:2" x14ac:dyDescent="0.35">
      <c r="A403" s="15">
        <v>1127410</v>
      </c>
      <c r="B403" s="52">
        <v>1</v>
      </c>
    </row>
    <row r="404" spans="1:2" x14ac:dyDescent="0.35">
      <c r="A404" s="15">
        <v>1127420</v>
      </c>
      <c r="B404" s="52">
        <v>1</v>
      </c>
    </row>
    <row r="405" spans="1:2" x14ac:dyDescent="0.35">
      <c r="A405" s="15">
        <v>1127421</v>
      </c>
      <c r="B405" s="52">
        <v>1</v>
      </c>
    </row>
    <row r="406" spans="1:2" x14ac:dyDescent="0.35">
      <c r="A406" s="15">
        <v>1127424</v>
      </c>
      <c r="B406" s="52">
        <v>1</v>
      </c>
    </row>
    <row r="407" spans="1:2" x14ac:dyDescent="0.35">
      <c r="A407" s="15">
        <v>1127429</v>
      </c>
      <c r="B407" s="52">
        <v>1</v>
      </c>
    </row>
    <row r="408" spans="1:2" x14ac:dyDescent="0.35">
      <c r="A408" s="15">
        <v>1127433</v>
      </c>
      <c r="B408" s="52">
        <v>1</v>
      </c>
    </row>
    <row r="409" spans="1:2" x14ac:dyDescent="0.35">
      <c r="A409" s="15">
        <v>1128073</v>
      </c>
      <c r="B409" s="52">
        <v>1</v>
      </c>
    </row>
    <row r="410" spans="1:2" x14ac:dyDescent="0.35">
      <c r="A410" s="15">
        <v>1130059</v>
      </c>
      <c r="B410" s="52">
        <v>1</v>
      </c>
    </row>
    <row r="411" spans="1:2" x14ac:dyDescent="0.35">
      <c r="A411" s="15">
        <v>1130105</v>
      </c>
      <c r="B411" s="52">
        <v>1</v>
      </c>
    </row>
    <row r="412" spans="1:2" x14ac:dyDescent="0.35">
      <c r="A412" s="15">
        <v>1130142</v>
      </c>
      <c r="B412" s="52">
        <v>1</v>
      </c>
    </row>
    <row r="413" spans="1:2" x14ac:dyDescent="0.35">
      <c r="A413" s="15">
        <v>1130148</v>
      </c>
      <c r="B413" s="52">
        <v>1</v>
      </c>
    </row>
    <row r="414" spans="1:2" x14ac:dyDescent="0.35">
      <c r="A414" s="15">
        <v>1130174</v>
      </c>
      <c r="B414" s="52">
        <v>1</v>
      </c>
    </row>
    <row r="415" spans="1:2" x14ac:dyDescent="0.35">
      <c r="A415" s="15">
        <v>1130183</v>
      </c>
      <c r="B415" s="52">
        <v>1</v>
      </c>
    </row>
    <row r="416" spans="1:2" x14ac:dyDescent="0.35">
      <c r="A416" s="15">
        <v>1130268</v>
      </c>
      <c r="B416" s="52">
        <v>1</v>
      </c>
    </row>
    <row r="417" spans="1:2" x14ac:dyDescent="0.35">
      <c r="A417" s="15">
        <v>1130292</v>
      </c>
      <c r="B417" s="52">
        <v>1</v>
      </c>
    </row>
    <row r="418" spans="1:2" x14ac:dyDescent="0.35">
      <c r="A418" s="15">
        <v>1130300</v>
      </c>
      <c r="B418" s="52">
        <v>1</v>
      </c>
    </row>
    <row r="419" spans="1:2" x14ac:dyDescent="0.35">
      <c r="A419" s="15">
        <v>1130397</v>
      </c>
      <c r="B419" s="52">
        <v>1</v>
      </c>
    </row>
    <row r="420" spans="1:2" x14ac:dyDescent="0.35">
      <c r="A420" s="15">
        <v>1130398</v>
      </c>
      <c r="B420" s="52">
        <v>1</v>
      </c>
    </row>
    <row r="421" spans="1:2" x14ac:dyDescent="0.35">
      <c r="A421" s="15">
        <v>1130399</v>
      </c>
      <c r="B421" s="52">
        <v>1</v>
      </c>
    </row>
    <row r="422" spans="1:2" x14ac:dyDescent="0.35">
      <c r="A422" s="15">
        <v>1130407</v>
      </c>
      <c r="B422" s="52">
        <v>1</v>
      </c>
    </row>
    <row r="423" spans="1:2" x14ac:dyDescent="0.35">
      <c r="A423" s="15">
        <v>1130454</v>
      </c>
      <c r="B423" s="52">
        <v>1</v>
      </c>
    </row>
    <row r="424" spans="1:2" x14ac:dyDescent="0.35">
      <c r="A424" s="15">
        <v>1130474</v>
      </c>
      <c r="B424" s="52">
        <v>1</v>
      </c>
    </row>
    <row r="425" spans="1:2" x14ac:dyDescent="0.35">
      <c r="A425" s="15">
        <v>1130475</v>
      </c>
      <c r="B425" s="52">
        <v>1</v>
      </c>
    </row>
    <row r="426" spans="1:2" x14ac:dyDescent="0.35">
      <c r="A426" s="15">
        <v>1130476</v>
      </c>
      <c r="B426" s="52">
        <v>1</v>
      </c>
    </row>
    <row r="427" spans="1:2" x14ac:dyDescent="0.35">
      <c r="A427" s="15">
        <v>1130480</v>
      </c>
      <c r="B427" s="52">
        <v>1</v>
      </c>
    </row>
    <row r="428" spans="1:2" x14ac:dyDescent="0.35">
      <c r="A428" s="15">
        <v>1130487</v>
      </c>
      <c r="B428" s="52">
        <v>1</v>
      </c>
    </row>
    <row r="429" spans="1:2" x14ac:dyDescent="0.35">
      <c r="A429" s="15">
        <v>1130489</v>
      </c>
      <c r="B429" s="52">
        <v>1</v>
      </c>
    </row>
    <row r="430" spans="1:2" x14ac:dyDescent="0.35">
      <c r="A430" s="15">
        <v>1130490</v>
      </c>
      <c r="B430" s="52">
        <v>1</v>
      </c>
    </row>
    <row r="431" spans="1:2" x14ac:dyDescent="0.35">
      <c r="A431" s="15">
        <v>1130493</v>
      </c>
      <c r="B431" s="52">
        <v>1</v>
      </c>
    </row>
    <row r="432" spans="1:2" x14ac:dyDescent="0.35">
      <c r="A432" s="15">
        <v>1130504</v>
      </c>
      <c r="B432" s="52">
        <v>1</v>
      </c>
    </row>
    <row r="433" spans="1:2" x14ac:dyDescent="0.35">
      <c r="A433" s="15">
        <v>1130509</v>
      </c>
      <c r="B433" s="52">
        <v>1</v>
      </c>
    </row>
    <row r="434" spans="1:2" x14ac:dyDescent="0.35">
      <c r="A434" s="15">
        <v>1130518</v>
      </c>
      <c r="B434" s="52">
        <v>1</v>
      </c>
    </row>
    <row r="435" spans="1:2" x14ac:dyDescent="0.35">
      <c r="A435" s="15">
        <v>1130606</v>
      </c>
      <c r="B435" s="52">
        <v>1</v>
      </c>
    </row>
    <row r="436" spans="1:2" x14ac:dyDescent="0.35">
      <c r="A436" s="15">
        <v>1130639</v>
      </c>
      <c r="B436" s="52">
        <v>1</v>
      </c>
    </row>
    <row r="437" spans="1:2" x14ac:dyDescent="0.35">
      <c r="A437" s="15">
        <v>1130654</v>
      </c>
      <c r="B437" s="52">
        <v>1</v>
      </c>
    </row>
    <row r="438" spans="1:2" x14ac:dyDescent="0.35">
      <c r="A438" s="15">
        <v>1130655</v>
      </c>
      <c r="B438" s="52">
        <v>1</v>
      </c>
    </row>
    <row r="439" spans="1:2" x14ac:dyDescent="0.35">
      <c r="A439" s="15">
        <v>1130667</v>
      </c>
      <c r="B439" s="52">
        <v>1</v>
      </c>
    </row>
    <row r="440" spans="1:2" x14ac:dyDescent="0.35">
      <c r="A440" s="15">
        <v>1130668</v>
      </c>
      <c r="B440" s="52">
        <v>1</v>
      </c>
    </row>
    <row r="441" spans="1:2" x14ac:dyDescent="0.35">
      <c r="A441" s="15">
        <v>1130674</v>
      </c>
      <c r="B441" s="52">
        <v>1</v>
      </c>
    </row>
    <row r="442" spans="1:2" x14ac:dyDescent="0.35">
      <c r="A442" s="15">
        <v>1130675</v>
      </c>
      <c r="B442" s="52">
        <v>1</v>
      </c>
    </row>
    <row r="443" spans="1:2" x14ac:dyDescent="0.35">
      <c r="A443" s="15">
        <v>1130676</v>
      </c>
      <c r="B443" s="52">
        <v>1</v>
      </c>
    </row>
    <row r="444" spans="1:2" x14ac:dyDescent="0.35">
      <c r="A444" s="15">
        <v>1130677</v>
      </c>
      <c r="B444" s="52">
        <v>1</v>
      </c>
    </row>
    <row r="445" spans="1:2" x14ac:dyDescent="0.35">
      <c r="A445" s="15">
        <v>1130749</v>
      </c>
      <c r="B445" s="52">
        <v>1</v>
      </c>
    </row>
    <row r="446" spans="1:2" x14ac:dyDescent="0.35">
      <c r="A446" s="15">
        <v>1130752</v>
      </c>
      <c r="B446" s="52">
        <v>1</v>
      </c>
    </row>
    <row r="447" spans="1:2" x14ac:dyDescent="0.35">
      <c r="A447" s="15">
        <v>1130771</v>
      </c>
      <c r="B447" s="52">
        <v>1</v>
      </c>
    </row>
    <row r="448" spans="1:2" x14ac:dyDescent="0.35">
      <c r="A448" s="15">
        <v>1130850</v>
      </c>
      <c r="B448" s="52">
        <v>1</v>
      </c>
    </row>
    <row r="449" spans="1:2" x14ac:dyDescent="0.35">
      <c r="A449" s="15">
        <v>1130851</v>
      </c>
      <c r="B449" s="52">
        <v>1</v>
      </c>
    </row>
    <row r="450" spans="1:2" x14ac:dyDescent="0.35">
      <c r="A450" s="15">
        <v>1131037</v>
      </c>
      <c r="B450" s="52">
        <v>1</v>
      </c>
    </row>
    <row r="451" spans="1:2" x14ac:dyDescent="0.35">
      <c r="A451" s="15">
        <v>1131047</v>
      </c>
      <c r="B451" s="52">
        <v>1</v>
      </c>
    </row>
    <row r="452" spans="1:2" x14ac:dyDescent="0.35">
      <c r="A452" s="15">
        <v>1131049</v>
      </c>
      <c r="B452" s="52">
        <v>1</v>
      </c>
    </row>
    <row r="453" spans="1:2" x14ac:dyDescent="0.35">
      <c r="A453" s="15">
        <v>1131066</v>
      </c>
      <c r="B453" s="52">
        <v>1</v>
      </c>
    </row>
    <row r="454" spans="1:2" x14ac:dyDescent="0.35">
      <c r="A454" s="15">
        <v>1131139</v>
      </c>
      <c r="B454" s="52">
        <v>1</v>
      </c>
    </row>
    <row r="455" spans="1:2" x14ac:dyDescent="0.35">
      <c r="A455" s="15">
        <v>1131148</v>
      </c>
      <c r="B455" s="52">
        <v>1</v>
      </c>
    </row>
    <row r="456" spans="1:2" x14ac:dyDescent="0.35">
      <c r="A456" s="15">
        <v>1131149</v>
      </c>
      <c r="B456" s="52">
        <v>1</v>
      </c>
    </row>
    <row r="457" spans="1:2" x14ac:dyDescent="0.35">
      <c r="A457" s="15">
        <v>1131150</v>
      </c>
      <c r="B457" s="52">
        <v>1</v>
      </c>
    </row>
    <row r="458" spans="1:2" x14ac:dyDescent="0.35">
      <c r="A458" s="15">
        <v>1131151</v>
      </c>
      <c r="B458" s="52">
        <v>1</v>
      </c>
    </row>
    <row r="459" spans="1:2" x14ac:dyDescent="0.35">
      <c r="A459" s="15">
        <v>1131152</v>
      </c>
      <c r="B459" s="52">
        <v>1</v>
      </c>
    </row>
    <row r="460" spans="1:2" x14ac:dyDescent="0.35">
      <c r="A460" s="15">
        <v>1131153</v>
      </c>
      <c r="B460" s="52">
        <v>1</v>
      </c>
    </row>
    <row r="461" spans="1:2" x14ac:dyDescent="0.35">
      <c r="A461" s="15">
        <v>1131154</v>
      </c>
      <c r="B461" s="52">
        <v>1</v>
      </c>
    </row>
    <row r="462" spans="1:2" x14ac:dyDescent="0.35">
      <c r="A462" s="15">
        <v>1131155</v>
      </c>
      <c r="B462" s="52">
        <v>1</v>
      </c>
    </row>
    <row r="463" spans="1:2" x14ac:dyDescent="0.35">
      <c r="A463" s="15">
        <v>1131156</v>
      </c>
      <c r="B463" s="52">
        <v>1</v>
      </c>
    </row>
    <row r="464" spans="1:2" x14ac:dyDescent="0.35">
      <c r="A464" s="15">
        <v>1131157</v>
      </c>
      <c r="B464" s="52">
        <v>1</v>
      </c>
    </row>
    <row r="465" spans="1:2" x14ac:dyDescent="0.35">
      <c r="A465" s="15">
        <v>1131158</v>
      </c>
      <c r="B465" s="52">
        <v>1</v>
      </c>
    </row>
    <row r="466" spans="1:2" x14ac:dyDescent="0.35">
      <c r="A466" s="15">
        <v>1131159</v>
      </c>
      <c r="B466" s="52">
        <v>1</v>
      </c>
    </row>
    <row r="467" spans="1:2" x14ac:dyDescent="0.35">
      <c r="A467" s="15">
        <v>1131224</v>
      </c>
      <c r="B467" s="52">
        <v>1</v>
      </c>
    </row>
    <row r="468" spans="1:2" x14ac:dyDescent="0.35">
      <c r="A468" s="15">
        <v>1131237</v>
      </c>
      <c r="B468" s="52">
        <v>1</v>
      </c>
    </row>
    <row r="469" spans="1:2" x14ac:dyDescent="0.35">
      <c r="A469" s="15">
        <v>1131291</v>
      </c>
      <c r="B469" s="52">
        <v>1</v>
      </c>
    </row>
    <row r="470" spans="1:2" x14ac:dyDescent="0.35">
      <c r="A470" s="15">
        <v>1131305</v>
      </c>
      <c r="B470" s="52">
        <v>1</v>
      </c>
    </row>
    <row r="471" spans="1:2" x14ac:dyDescent="0.35">
      <c r="A471" s="15">
        <v>1131331</v>
      </c>
      <c r="B471" s="52">
        <v>1</v>
      </c>
    </row>
    <row r="472" spans="1:2" x14ac:dyDescent="0.35">
      <c r="A472" s="15">
        <v>1131347</v>
      </c>
      <c r="B472" s="52">
        <v>1</v>
      </c>
    </row>
    <row r="473" spans="1:2" x14ac:dyDescent="0.35">
      <c r="A473" s="15">
        <v>1131415</v>
      </c>
      <c r="B473" s="52">
        <v>1</v>
      </c>
    </row>
    <row r="474" spans="1:2" x14ac:dyDescent="0.35">
      <c r="A474" s="15">
        <v>1131423</v>
      </c>
      <c r="B474" s="52">
        <v>1</v>
      </c>
    </row>
    <row r="475" spans="1:2" x14ac:dyDescent="0.35">
      <c r="A475" s="15">
        <v>1131431</v>
      </c>
      <c r="B475" s="52">
        <v>1</v>
      </c>
    </row>
    <row r="476" spans="1:2" x14ac:dyDescent="0.35">
      <c r="A476" s="15">
        <v>1131463</v>
      </c>
      <c r="B476" s="52">
        <v>1</v>
      </c>
    </row>
    <row r="477" spans="1:2" x14ac:dyDescent="0.35">
      <c r="A477" s="15">
        <v>1131465</v>
      </c>
      <c r="B477" s="52">
        <v>1</v>
      </c>
    </row>
    <row r="478" spans="1:2" x14ac:dyDescent="0.35">
      <c r="A478" s="15">
        <v>1131523</v>
      </c>
      <c r="B478" s="52">
        <v>1</v>
      </c>
    </row>
    <row r="479" spans="1:2" x14ac:dyDescent="0.35">
      <c r="A479" s="15">
        <v>1131536</v>
      </c>
      <c r="B479" s="52">
        <v>1</v>
      </c>
    </row>
    <row r="480" spans="1:2" x14ac:dyDescent="0.35">
      <c r="A480" s="15">
        <v>1131537</v>
      </c>
      <c r="B480" s="52">
        <v>1</v>
      </c>
    </row>
    <row r="481" spans="1:2" x14ac:dyDescent="0.35">
      <c r="A481" s="15">
        <v>1131539</v>
      </c>
      <c r="B481" s="52">
        <v>1</v>
      </c>
    </row>
    <row r="482" spans="1:2" x14ac:dyDescent="0.35">
      <c r="A482" s="15">
        <v>1131542</v>
      </c>
      <c r="B482" s="52">
        <v>1</v>
      </c>
    </row>
    <row r="483" spans="1:2" x14ac:dyDescent="0.35">
      <c r="A483" s="15">
        <v>1131545</v>
      </c>
      <c r="B483" s="52">
        <v>1</v>
      </c>
    </row>
    <row r="484" spans="1:2" x14ac:dyDescent="0.35">
      <c r="A484" s="15">
        <v>1131553</v>
      </c>
      <c r="B484" s="52">
        <v>1</v>
      </c>
    </row>
    <row r="485" spans="1:2" x14ac:dyDescent="0.35">
      <c r="A485" s="15">
        <v>1131650</v>
      </c>
      <c r="B485" s="52">
        <v>1</v>
      </c>
    </row>
    <row r="486" spans="1:2" x14ac:dyDescent="0.35">
      <c r="A486" s="15">
        <v>1131679</v>
      </c>
      <c r="B486" s="52">
        <v>1</v>
      </c>
    </row>
    <row r="487" spans="1:2" x14ac:dyDescent="0.35">
      <c r="A487" s="15">
        <v>1131686</v>
      </c>
      <c r="B487" s="52">
        <v>1</v>
      </c>
    </row>
    <row r="488" spans="1:2" x14ac:dyDescent="0.35">
      <c r="A488" s="15">
        <v>1131735</v>
      </c>
      <c r="B488" s="52">
        <v>1</v>
      </c>
    </row>
    <row r="489" spans="1:2" x14ac:dyDescent="0.35">
      <c r="A489" s="15">
        <v>1131738</v>
      </c>
      <c r="B489" s="52">
        <v>1</v>
      </c>
    </row>
    <row r="490" spans="1:2" x14ac:dyDescent="0.35">
      <c r="A490" s="15">
        <v>1131755</v>
      </c>
      <c r="B490" s="52">
        <v>1</v>
      </c>
    </row>
    <row r="491" spans="1:2" x14ac:dyDescent="0.35">
      <c r="A491" s="15">
        <v>1131766</v>
      </c>
      <c r="B491" s="52">
        <v>1</v>
      </c>
    </row>
    <row r="492" spans="1:2" x14ac:dyDescent="0.35">
      <c r="A492" s="15">
        <v>1131774</v>
      </c>
      <c r="B492" s="52">
        <v>1</v>
      </c>
    </row>
    <row r="493" spans="1:2" x14ac:dyDescent="0.35">
      <c r="A493" s="15">
        <v>1131849</v>
      </c>
      <c r="B493" s="52">
        <v>1</v>
      </c>
    </row>
    <row r="494" spans="1:2" x14ac:dyDescent="0.35">
      <c r="A494" s="15">
        <v>1131944</v>
      </c>
      <c r="B494" s="52">
        <v>1</v>
      </c>
    </row>
    <row r="495" spans="1:2" x14ac:dyDescent="0.35">
      <c r="A495" s="15">
        <v>1131999</v>
      </c>
      <c r="B495" s="52">
        <v>1</v>
      </c>
    </row>
    <row r="496" spans="1:2" x14ac:dyDescent="0.35">
      <c r="A496" s="15">
        <v>1132000</v>
      </c>
      <c r="B496" s="52">
        <v>1</v>
      </c>
    </row>
    <row r="497" spans="1:2" x14ac:dyDescent="0.35">
      <c r="A497" s="15">
        <v>1132046</v>
      </c>
      <c r="B497" s="52">
        <v>1</v>
      </c>
    </row>
    <row r="498" spans="1:2" x14ac:dyDescent="0.35">
      <c r="A498" s="15">
        <v>1135081</v>
      </c>
      <c r="B498" s="52">
        <v>1</v>
      </c>
    </row>
    <row r="499" spans="1:2" x14ac:dyDescent="0.35">
      <c r="A499" s="15">
        <v>1135129</v>
      </c>
      <c r="B499" s="52">
        <v>1</v>
      </c>
    </row>
    <row r="500" spans="1:2" x14ac:dyDescent="0.35">
      <c r="A500" s="15">
        <v>1135235</v>
      </c>
      <c r="B500" s="52">
        <v>1</v>
      </c>
    </row>
    <row r="501" spans="1:2" x14ac:dyDescent="0.35">
      <c r="A501" s="15">
        <v>1135243</v>
      </c>
      <c r="B501" s="52">
        <v>1</v>
      </c>
    </row>
    <row r="502" spans="1:2" x14ac:dyDescent="0.35">
      <c r="A502" s="15">
        <v>1135352</v>
      </c>
      <c r="B502" s="52">
        <v>1</v>
      </c>
    </row>
    <row r="503" spans="1:2" x14ac:dyDescent="0.35">
      <c r="A503" s="15">
        <v>1135353</v>
      </c>
      <c r="B503" s="52">
        <v>1</v>
      </c>
    </row>
    <row r="504" spans="1:2" x14ac:dyDescent="0.35">
      <c r="A504" s="15">
        <v>1135394</v>
      </c>
      <c r="B504" s="52">
        <v>1</v>
      </c>
    </row>
    <row r="505" spans="1:2" x14ac:dyDescent="0.35">
      <c r="A505" s="15">
        <v>1135395</v>
      </c>
      <c r="B505" s="52">
        <v>1</v>
      </c>
    </row>
    <row r="506" spans="1:2" x14ac:dyDescent="0.35">
      <c r="A506" s="15">
        <v>1135396</v>
      </c>
      <c r="B506" s="52">
        <v>1</v>
      </c>
    </row>
    <row r="507" spans="1:2" x14ac:dyDescent="0.35">
      <c r="A507" s="15">
        <v>1135397</v>
      </c>
      <c r="B507" s="52">
        <v>1</v>
      </c>
    </row>
    <row r="508" spans="1:2" x14ac:dyDescent="0.35">
      <c r="A508" s="15">
        <v>1135398</v>
      </c>
      <c r="B508" s="52">
        <v>1</v>
      </c>
    </row>
    <row r="509" spans="1:2" x14ac:dyDescent="0.35">
      <c r="A509" s="15">
        <v>1135494</v>
      </c>
      <c r="B509" s="52">
        <v>1</v>
      </c>
    </row>
    <row r="510" spans="1:2" x14ac:dyDescent="0.35">
      <c r="A510" s="15">
        <v>1135565</v>
      </c>
      <c r="B510" s="52">
        <v>1</v>
      </c>
    </row>
    <row r="511" spans="1:2" x14ac:dyDescent="0.35">
      <c r="A511" s="15">
        <v>1135591</v>
      </c>
      <c r="B511" s="52">
        <v>1</v>
      </c>
    </row>
    <row r="512" spans="1:2" x14ac:dyDescent="0.35">
      <c r="A512" s="15">
        <v>1135603</v>
      </c>
      <c r="B512" s="52">
        <v>1</v>
      </c>
    </row>
    <row r="513" spans="1:2" x14ac:dyDescent="0.35">
      <c r="A513" s="15">
        <v>1135604</v>
      </c>
      <c r="B513" s="52">
        <v>1</v>
      </c>
    </row>
    <row r="514" spans="1:2" x14ac:dyDescent="0.35">
      <c r="A514" s="15">
        <v>1135608</v>
      </c>
      <c r="B514" s="52">
        <v>1</v>
      </c>
    </row>
    <row r="515" spans="1:2" x14ac:dyDescent="0.35">
      <c r="A515" s="15">
        <v>1135623</v>
      </c>
      <c r="B515" s="52">
        <v>1</v>
      </c>
    </row>
    <row r="516" spans="1:2" x14ac:dyDescent="0.35">
      <c r="A516" s="15">
        <v>1135624</v>
      </c>
      <c r="B516" s="52">
        <v>1</v>
      </c>
    </row>
    <row r="517" spans="1:2" x14ac:dyDescent="0.35">
      <c r="A517" s="15">
        <v>1135631</v>
      </c>
      <c r="B517" s="52">
        <v>1</v>
      </c>
    </row>
    <row r="518" spans="1:2" x14ac:dyDescent="0.35">
      <c r="A518" s="15">
        <v>1135636</v>
      </c>
      <c r="B518" s="52">
        <v>1</v>
      </c>
    </row>
    <row r="519" spans="1:2" x14ac:dyDescent="0.35">
      <c r="A519" s="15">
        <v>1135651</v>
      </c>
      <c r="B519" s="52">
        <v>1</v>
      </c>
    </row>
    <row r="520" spans="1:2" x14ac:dyDescent="0.35">
      <c r="A520" s="15">
        <v>1135655</v>
      </c>
      <c r="B520" s="52">
        <v>1</v>
      </c>
    </row>
    <row r="521" spans="1:2" x14ac:dyDescent="0.35">
      <c r="A521" s="15">
        <v>1135659</v>
      </c>
      <c r="B521" s="52">
        <v>1</v>
      </c>
    </row>
    <row r="522" spans="1:2" x14ac:dyDescent="0.35">
      <c r="A522" s="15">
        <v>1135670</v>
      </c>
      <c r="B522" s="52">
        <v>1</v>
      </c>
    </row>
    <row r="523" spans="1:2" x14ac:dyDescent="0.35">
      <c r="A523" s="15">
        <v>1135673</v>
      </c>
      <c r="B523" s="52">
        <v>1</v>
      </c>
    </row>
    <row r="524" spans="1:2" x14ac:dyDescent="0.35">
      <c r="A524" s="15">
        <v>1135674</v>
      </c>
      <c r="B524" s="52">
        <v>1</v>
      </c>
    </row>
    <row r="525" spans="1:2" x14ac:dyDescent="0.35">
      <c r="A525" s="15">
        <v>1135675</v>
      </c>
      <c r="B525" s="52">
        <v>1</v>
      </c>
    </row>
    <row r="526" spans="1:2" x14ac:dyDescent="0.35">
      <c r="A526" s="15">
        <v>1135684</v>
      </c>
      <c r="B526" s="52">
        <v>1</v>
      </c>
    </row>
    <row r="527" spans="1:2" x14ac:dyDescent="0.35">
      <c r="A527" s="15">
        <v>1135685</v>
      </c>
      <c r="B527" s="52">
        <v>1</v>
      </c>
    </row>
    <row r="528" spans="1:2" x14ac:dyDescent="0.35">
      <c r="A528" s="15">
        <v>1135686</v>
      </c>
      <c r="B528" s="52">
        <v>1</v>
      </c>
    </row>
    <row r="529" spans="1:2" x14ac:dyDescent="0.35">
      <c r="A529" s="15">
        <v>1135687</v>
      </c>
      <c r="B529" s="52">
        <v>1</v>
      </c>
    </row>
    <row r="530" spans="1:2" x14ac:dyDescent="0.35">
      <c r="A530" s="15">
        <v>1135689</v>
      </c>
      <c r="B530" s="52">
        <v>1</v>
      </c>
    </row>
    <row r="531" spans="1:2" x14ac:dyDescent="0.35">
      <c r="A531" s="15">
        <v>1135690</v>
      </c>
      <c r="B531" s="52">
        <v>1</v>
      </c>
    </row>
    <row r="532" spans="1:2" x14ac:dyDescent="0.35">
      <c r="A532" s="15">
        <v>1135693</v>
      </c>
      <c r="B532" s="52">
        <v>1</v>
      </c>
    </row>
    <row r="533" spans="1:2" x14ac:dyDescent="0.35">
      <c r="A533" s="15">
        <v>1135696</v>
      </c>
      <c r="B533" s="52">
        <v>1</v>
      </c>
    </row>
    <row r="534" spans="1:2" x14ac:dyDescent="0.35">
      <c r="A534" s="15">
        <v>1135703</v>
      </c>
      <c r="B534" s="52">
        <v>1</v>
      </c>
    </row>
    <row r="535" spans="1:2" x14ac:dyDescent="0.35">
      <c r="A535" s="15">
        <v>1135705</v>
      </c>
      <c r="B535" s="52">
        <v>1</v>
      </c>
    </row>
    <row r="536" spans="1:2" x14ac:dyDescent="0.35">
      <c r="A536" s="15">
        <v>1135713</v>
      </c>
      <c r="B536" s="52">
        <v>1</v>
      </c>
    </row>
    <row r="537" spans="1:2" x14ac:dyDescent="0.35">
      <c r="A537" s="15">
        <v>1135714</v>
      </c>
      <c r="B537" s="52">
        <v>1</v>
      </c>
    </row>
    <row r="538" spans="1:2" x14ac:dyDescent="0.35">
      <c r="A538" s="15">
        <v>1135715</v>
      </c>
      <c r="B538" s="52">
        <v>1</v>
      </c>
    </row>
    <row r="539" spans="1:2" x14ac:dyDescent="0.35">
      <c r="A539" s="15">
        <v>1135725</v>
      </c>
      <c r="B539" s="52">
        <v>1</v>
      </c>
    </row>
    <row r="540" spans="1:2" x14ac:dyDescent="0.35">
      <c r="A540" s="15">
        <v>1135736</v>
      </c>
      <c r="B540" s="52">
        <v>1</v>
      </c>
    </row>
    <row r="541" spans="1:2" x14ac:dyDescent="0.35">
      <c r="A541" s="15">
        <v>1135760</v>
      </c>
      <c r="B541" s="52">
        <v>1</v>
      </c>
    </row>
    <row r="542" spans="1:2" x14ac:dyDescent="0.35">
      <c r="A542" s="15">
        <v>1135772</v>
      </c>
      <c r="B542" s="52">
        <v>1</v>
      </c>
    </row>
    <row r="543" spans="1:2" x14ac:dyDescent="0.35">
      <c r="A543" s="15">
        <v>1135776</v>
      </c>
      <c r="B543" s="52">
        <v>1</v>
      </c>
    </row>
    <row r="544" spans="1:2" x14ac:dyDescent="0.35">
      <c r="A544" s="15">
        <v>1135788</v>
      </c>
      <c r="B544" s="52">
        <v>1</v>
      </c>
    </row>
    <row r="545" spans="1:2" x14ac:dyDescent="0.35">
      <c r="A545" s="15">
        <v>1135789</v>
      </c>
      <c r="B545" s="52">
        <v>1</v>
      </c>
    </row>
    <row r="546" spans="1:2" x14ac:dyDescent="0.35">
      <c r="A546" s="15">
        <v>1135795</v>
      </c>
      <c r="B546" s="52">
        <v>1</v>
      </c>
    </row>
    <row r="547" spans="1:2" x14ac:dyDescent="0.35">
      <c r="A547" s="15">
        <v>1135838</v>
      </c>
      <c r="B547" s="52">
        <v>1</v>
      </c>
    </row>
    <row r="548" spans="1:2" x14ac:dyDescent="0.35">
      <c r="A548" s="15">
        <v>1135877</v>
      </c>
      <c r="B548" s="52">
        <v>1</v>
      </c>
    </row>
    <row r="549" spans="1:2" x14ac:dyDescent="0.35">
      <c r="A549" s="15">
        <v>1139180</v>
      </c>
      <c r="B549" s="52">
        <v>1</v>
      </c>
    </row>
    <row r="550" spans="1:2" x14ac:dyDescent="0.35">
      <c r="A550" s="15">
        <v>1139181</v>
      </c>
      <c r="B550" s="52">
        <v>1</v>
      </c>
    </row>
    <row r="551" spans="1:2" x14ac:dyDescent="0.35">
      <c r="A551" s="15">
        <v>1140004</v>
      </c>
      <c r="B551" s="52">
        <v>1</v>
      </c>
    </row>
    <row r="552" spans="1:2" x14ac:dyDescent="0.35">
      <c r="A552" s="15">
        <v>1145001</v>
      </c>
      <c r="B552" s="52">
        <v>1</v>
      </c>
    </row>
    <row r="553" spans="1:2" x14ac:dyDescent="0.35">
      <c r="A553" s="15">
        <v>1145002</v>
      </c>
      <c r="B553" s="52">
        <v>1</v>
      </c>
    </row>
    <row r="554" spans="1:2" x14ac:dyDescent="0.35">
      <c r="A554" s="15">
        <v>1145003</v>
      </c>
      <c r="B554" s="52">
        <v>1</v>
      </c>
    </row>
    <row r="555" spans="1:2" x14ac:dyDescent="0.35">
      <c r="A555" s="15">
        <v>1145005</v>
      </c>
      <c r="B555" s="52">
        <v>1</v>
      </c>
    </row>
    <row r="556" spans="1:2" x14ac:dyDescent="0.35">
      <c r="A556" s="15">
        <v>1145006</v>
      </c>
      <c r="B556" s="52">
        <v>1</v>
      </c>
    </row>
    <row r="557" spans="1:2" x14ac:dyDescent="0.35">
      <c r="A557" s="15">
        <v>1145009</v>
      </c>
      <c r="B557" s="52">
        <v>1</v>
      </c>
    </row>
    <row r="558" spans="1:2" x14ac:dyDescent="0.35">
      <c r="A558" s="15">
        <v>1145011</v>
      </c>
      <c r="B558" s="52">
        <v>1</v>
      </c>
    </row>
    <row r="559" spans="1:2" x14ac:dyDescent="0.35">
      <c r="A559" s="15">
        <v>1145013</v>
      </c>
      <c r="B559" s="52">
        <v>1</v>
      </c>
    </row>
    <row r="560" spans="1:2" x14ac:dyDescent="0.35">
      <c r="A560" s="15">
        <v>1145014</v>
      </c>
      <c r="B560" s="52">
        <v>1</v>
      </c>
    </row>
    <row r="561" spans="1:2" x14ac:dyDescent="0.35">
      <c r="A561" s="15">
        <v>1145015</v>
      </c>
      <c r="B561" s="52">
        <v>1</v>
      </c>
    </row>
    <row r="562" spans="1:2" x14ac:dyDescent="0.35">
      <c r="A562" s="15">
        <v>1145016</v>
      </c>
      <c r="B562" s="52">
        <v>1</v>
      </c>
    </row>
    <row r="563" spans="1:2" x14ac:dyDescent="0.35">
      <c r="A563" s="15">
        <v>1145017</v>
      </c>
      <c r="B563" s="52">
        <v>1</v>
      </c>
    </row>
    <row r="564" spans="1:2" x14ac:dyDescent="0.35">
      <c r="A564" s="15">
        <v>1145020</v>
      </c>
      <c r="B564" s="52">
        <v>1</v>
      </c>
    </row>
    <row r="565" spans="1:2" x14ac:dyDescent="0.35">
      <c r="A565" s="15">
        <v>1145021</v>
      </c>
      <c r="B565" s="52">
        <v>1</v>
      </c>
    </row>
    <row r="566" spans="1:2" x14ac:dyDescent="0.35">
      <c r="A566" s="15">
        <v>1145400</v>
      </c>
      <c r="B566" s="52">
        <v>1</v>
      </c>
    </row>
    <row r="567" spans="1:2" x14ac:dyDescent="0.35">
      <c r="A567" s="15">
        <v>1145401</v>
      </c>
      <c r="B567" s="52">
        <v>1</v>
      </c>
    </row>
    <row r="568" spans="1:2" x14ac:dyDescent="0.35">
      <c r="A568" s="15">
        <v>1145402</v>
      </c>
      <c r="B568" s="52">
        <v>1</v>
      </c>
    </row>
    <row r="569" spans="1:2" x14ac:dyDescent="0.35">
      <c r="A569" s="15">
        <v>1145404</v>
      </c>
      <c r="B569" s="52">
        <v>1</v>
      </c>
    </row>
    <row r="570" spans="1:2" x14ac:dyDescent="0.35">
      <c r="A570" s="15">
        <v>1145405</v>
      </c>
      <c r="B570" s="52">
        <v>1</v>
      </c>
    </row>
    <row r="571" spans="1:2" x14ac:dyDescent="0.35">
      <c r="A571" s="15">
        <v>1145406</v>
      </c>
      <c r="B571" s="52">
        <v>1</v>
      </c>
    </row>
    <row r="572" spans="1:2" x14ac:dyDescent="0.35">
      <c r="A572" s="15">
        <v>1145408</v>
      </c>
      <c r="B572" s="52">
        <v>1</v>
      </c>
    </row>
    <row r="573" spans="1:2" x14ac:dyDescent="0.35">
      <c r="A573" s="15">
        <v>1145409</v>
      </c>
      <c r="B573" s="52">
        <v>1</v>
      </c>
    </row>
    <row r="574" spans="1:2" x14ac:dyDescent="0.35">
      <c r="A574" s="15">
        <v>1145410</v>
      </c>
      <c r="B574" s="52">
        <v>1</v>
      </c>
    </row>
    <row r="575" spans="1:2" x14ac:dyDescent="0.35">
      <c r="A575" s="15">
        <v>1145411</v>
      </c>
      <c r="B575" s="52">
        <v>1</v>
      </c>
    </row>
    <row r="576" spans="1:2" x14ac:dyDescent="0.35">
      <c r="A576" s="15">
        <v>1145419</v>
      </c>
      <c r="B576" s="52">
        <v>1</v>
      </c>
    </row>
    <row r="577" spans="1:2" x14ac:dyDescent="0.35">
      <c r="A577" s="15">
        <v>1145420</v>
      </c>
      <c r="B577" s="52">
        <v>1</v>
      </c>
    </row>
    <row r="578" spans="1:2" x14ac:dyDescent="0.35">
      <c r="A578" s="15">
        <v>1145430</v>
      </c>
      <c r="B578" s="52">
        <v>1</v>
      </c>
    </row>
    <row r="579" spans="1:2" x14ac:dyDescent="0.35">
      <c r="A579" s="15">
        <v>1145434</v>
      </c>
      <c r="B579" s="52">
        <v>1</v>
      </c>
    </row>
    <row r="580" spans="1:2" x14ac:dyDescent="0.35">
      <c r="A580" s="15">
        <v>1145435</v>
      </c>
      <c r="B580" s="52">
        <v>1</v>
      </c>
    </row>
    <row r="581" spans="1:2" x14ac:dyDescent="0.35">
      <c r="A581" s="15">
        <v>1145436</v>
      </c>
      <c r="B581" s="52">
        <v>1</v>
      </c>
    </row>
    <row r="582" spans="1:2" x14ac:dyDescent="0.35">
      <c r="A582" s="15">
        <v>1145438</v>
      </c>
      <c r="B582" s="52">
        <v>1</v>
      </c>
    </row>
    <row r="583" spans="1:2" x14ac:dyDescent="0.35">
      <c r="A583" s="15">
        <v>1145439</v>
      </c>
      <c r="B583" s="52">
        <v>1</v>
      </c>
    </row>
    <row r="584" spans="1:2" x14ac:dyDescent="0.35">
      <c r="A584" s="15">
        <v>1145447</v>
      </c>
      <c r="B584" s="52">
        <v>1</v>
      </c>
    </row>
    <row r="585" spans="1:2" x14ac:dyDescent="0.35">
      <c r="A585" s="15">
        <v>1145498</v>
      </c>
      <c r="B585" s="52">
        <v>1</v>
      </c>
    </row>
    <row r="586" spans="1:2" x14ac:dyDescent="0.35">
      <c r="A586" s="15">
        <v>1145500</v>
      </c>
      <c r="B586" s="52">
        <v>1</v>
      </c>
    </row>
    <row r="587" spans="1:2" x14ac:dyDescent="0.35">
      <c r="A587" s="15">
        <v>1145503</v>
      </c>
      <c r="B587" s="52">
        <v>1</v>
      </c>
    </row>
    <row r="588" spans="1:2" x14ac:dyDescent="0.35">
      <c r="A588" s="15">
        <v>1145504</v>
      </c>
      <c r="B588" s="52">
        <v>1</v>
      </c>
    </row>
    <row r="589" spans="1:2" x14ac:dyDescent="0.35">
      <c r="A589" s="15">
        <v>1145506</v>
      </c>
      <c r="B589" s="52">
        <v>1</v>
      </c>
    </row>
    <row r="590" spans="1:2" x14ac:dyDescent="0.35">
      <c r="A590" s="15">
        <v>1145509</v>
      </c>
      <c r="B590" s="52">
        <v>1</v>
      </c>
    </row>
    <row r="591" spans="1:2" x14ac:dyDescent="0.35">
      <c r="A591" s="15">
        <v>1145514</v>
      </c>
      <c r="B591" s="52">
        <v>1</v>
      </c>
    </row>
    <row r="592" spans="1:2" x14ac:dyDescent="0.35">
      <c r="A592" s="15">
        <v>1145517</v>
      </c>
      <c r="B592" s="52">
        <v>1</v>
      </c>
    </row>
    <row r="593" spans="1:2" x14ac:dyDescent="0.35">
      <c r="A593" s="15">
        <v>1145530</v>
      </c>
      <c r="B593" s="52">
        <v>1</v>
      </c>
    </row>
    <row r="594" spans="1:2" x14ac:dyDescent="0.35">
      <c r="A594" s="15">
        <v>1145540</v>
      </c>
      <c r="B594" s="52">
        <v>1</v>
      </c>
    </row>
    <row r="595" spans="1:2" x14ac:dyDescent="0.35">
      <c r="A595" s="15">
        <v>1145543</v>
      </c>
      <c r="B595" s="52">
        <v>1</v>
      </c>
    </row>
    <row r="596" spans="1:2" x14ac:dyDescent="0.35">
      <c r="A596" s="15">
        <v>1145544</v>
      </c>
      <c r="B596" s="52">
        <v>1</v>
      </c>
    </row>
    <row r="597" spans="1:2" x14ac:dyDescent="0.35">
      <c r="A597" s="15">
        <v>1145546</v>
      </c>
      <c r="B597" s="52">
        <v>1</v>
      </c>
    </row>
    <row r="598" spans="1:2" x14ac:dyDescent="0.35">
      <c r="A598" s="15">
        <v>1145547</v>
      </c>
      <c r="B598" s="52">
        <v>1</v>
      </c>
    </row>
    <row r="599" spans="1:2" x14ac:dyDescent="0.35">
      <c r="A599" s="15">
        <v>1145548</v>
      </c>
      <c r="B599" s="52">
        <v>1</v>
      </c>
    </row>
    <row r="600" spans="1:2" x14ac:dyDescent="0.35">
      <c r="A600" s="15">
        <v>1145549</v>
      </c>
      <c r="B600" s="52">
        <v>1</v>
      </c>
    </row>
    <row r="601" spans="1:2" x14ac:dyDescent="0.35">
      <c r="A601" s="15">
        <v>1145554</v>
      </c>
      <c r="B601" s="52">
        <v>1</v>
      </c>
    </row>
    <row r="602" spans="1:2" x14ac:dyDescent="0.35">
      <c r="A602" s="15">
        <v>1145570</v>
      </c>
      <c r="B602" s="52">
        <v>1</v>
      </c>
    </row>
    <row r="603" spans="1:2" x14ac:dyDescent="0.35">
      <c r="A603" s="15">
        <v>1145578</v>
      </c>
      <c r="B603" s="52">
        <v>1</v>
      </c>
    </row>
    <row r="604" spans="1:2" x14ac:dyDescent="0.35">
      <c r="A604" s="15">
        <v>1145580</v>
      </c>
      <c r="B604" s="52">
        <v>1</v>
      </c>
    </row>
    <row r="605" spans="1:2" x14ac:dyDescent="0.35">
      <c r="A605" s="15">
        <v>1145586</v>
      </c>
      <c r="B605" s="52">
        <v>1</v>
      </c>
    </row>
    <row r="606" spans="1:2" x14ac:dyDescent="0.35">
      <c r="A606" s="15">
        <v>1145623</v>
      </c>
      <c r="B606" s="52">
        <v>1</v>
      </c>
    </row>
    <row r="607" spans="1:2" x14ac:dyDescent="0.35">
      <c r="A607" s="15">
        <v>1145624</v>
      </c>
      <c r="B607" s="52">
        <v>1</v>
      </c>
    </row>
    <row r="608" spans="1:2" x14ac:dyDescent="0.35">
      <c r="A608" s="15">
        <v>1145625</v>
      </c>
      <c r="B608" s="52">
        <v>1</v>
      </c>
    </row>
    <row r="609" spans="1:2" x14ac:dyDescent="0.35">
      <c r="A609" s="15">
        <v>1145657</v>
      </c>
      <c r="B609" s="52">
        <v>1</v>
      </c>
    </row>
    <row r="610" spans="1:2" x14ac:dyDescent="0.35">
      <c r="A610" s="15">
        <v>1145698</v>
      </c>
      <c r="B610" s="52">
        <v>1</v>
      </c>
    </row>
    <row r="611" spans="1:2" x14ac:dyDescent="0.35">
      <c r="A611" s="15">
        <v>1146000</v>
      </c>
      <c r="B611" s="52">
        <v>1</v>
      </c>
    </row>
    <row r="612" spans="1:2" x14ac:dyDescent="0.35">
      <c r="A612" s="15">
        <v>1146018</v>
      </c>
      <c r="B612" s="52">
        <v>1</v>
      </c>
    </row>
    <row r="613" spans="1:2" x14ac:dyDescent="0.35">
      <c r="A613" s="15">
        <v>1146021</v>
      </c>
      <c r="B613" s="52">
        <v>1</v>
      </c>
    </row>
    <row r="614" spans="1:2" x14ac:dyDescent="0.35">
      <c r="A614" s="15">
        <v>1146031</v>
      </c>
      <c r="B614" s="52">
        <v>1</v>
      </c>
    </row>
    <row r="615" spans="1:2" x14ac:dyDescent="0.35">
      <c r="A615" s="15">
        <v>1146032</v>
      </c>
      <c r="B615" s="52">
        <v>1</v>
      </c>
    </row>
    <row r="616" spans="1:2" x14ac:dyDescent="0.35">
      <c r="A616" s="15">
        <v>1146033</v>
      </c>
      <c r="B616" s="52">
        <v>1</v>
      </c>
    </row>
    <row r="617" spans="1:2" x14ac:dyDescent="0.35">
      <c r="A617" s="15">
        <v>1146034</v>
      </c>
      <c r="B617" s="52">
        <v>1</v>
      </c>
    </row>
    <row r="618" spans="1:2" x14ac:dyDescent="0.35">
      <c r="A618" s="15">
        <v>1146035</v>
      </c>
      <c r="B618" s="52">
        <v>1</v>
      </c>
    </row>
    <row r="619" spans="1:2" x14ac:dyDescent="0.35">
      <c r="A619" s="15">
        <v>1146036</v>
      </c>
      <c r="B619" s="52">
        <v>1</v>
      </c>
    </row>
    <row r="620" spans="1:2" x14ac:dyDescent="0.35">
      <c r="A620" s="15">
        <v>1146037</v>
      </c>
      <c r="B620" s="52">
        <v>1</v>
      </c>
    </row>
    <row r="621" spans="1:2" x14ac:dyDescent="0.35">
      <c r="A621" s="15">
        <v>1146038</v>
      </c>
      <c r="B621" s="52">
        <v>1</v>
      </c>
    </row>
    <row r="622" spans="1:2" x14ac:dyDescent="0.35">
      <c r="A622" s="15">
        <v>1146039</v>
      </c>
      <c r="B622" s="52">
        <v>1</v>
      </c>
    </row>
    <row r="623" spans="1:2" x14ac:dyDescent="0.35">
      <c r="A623" s="15">
        <v>1146040</v>
      </c>
      <c r="B623" s="52">
        <v>1</v>
      </c>
    </row>
    <row r="624" spans="1:2" x14ac:dyDescent="0.35">
      <c r="A624" s="15">
        <v>1146041</v>
      </c>
      <c r="B624" s="52">
        <v>1</v>
      </c>
    </row>
    <row r="625" spans="1:2" x14ac:dyDescent="0.35">
      <c r="A625" s="15">
        <v>1146042</v>
      </c>
      <c r="B625" s="52">
        <v>1</v>
      </c>
    </row>
    <row r="626" spans="1:2" x14ac:dyDescent="0.35">
      <c r="A626" s="15">
        <v>1146043</v>
      </c>
      <c r="B626" s="52">
        <v>1</v>
      </c>
    </row>
    <row r="627" spans="1:2" x14ac:dyDescent="0.35">
      <c r="A627" s="15">
        <v>1146044</v>
      </c>
      <c r="B627" s="52">
        <v>1</v>
      </c>
    </row>
    <row r="628" spans="1:2" x14ac:dyDescent="0.35">
      <c r="A628" s="15">
        <v>1146045</v>
      </c>
      <c r="B628" s="52">
        <v>1</v>
      </c>
    </row>
    <row r="629" spans="1:2" x14ac:dyDescent="0.35">
      <c r="A629" s="15">
        <v>1146046</v>
      </c>
      <c r="B629" s="52">
        <v>1</v>
      </c>
    </row>
    <row r="630" spans="1:2" x14ac:dyDescent="0.35">
      <c r="A630" s="15">
        <v>1146050</v>
      </c>
      <c r="B630" s="52">
        <v>1</v>
      </c>
    </row>
    <row r="631" spans="1:2" x14ac:dyDescent="0.35">
      <c r="A631" s="15">
        <v>1146052</v>
      </c>
      <c r="B631" s="52">
        <v>1</v>
      </c>
    </row>
    <row r="632" spans="1:2" x14ac:dyDescent="0.35">
      <c r="A632" s="15">
        <v>1146054</v>
      </c>
      <c r="B632" s="52">
        <v>1</v>
      </c>
    </row>
    <row r="633" spans="1:2" x14ac:dyDescent="0.35">
      <c r="A633" s="15">
        <v>1146055</v>
      </c>
      <c r="B633" s="52">
        <v>1</v>
      </c>
    </row>
    <row r="634" spans="1:2" x14ac:dyDescent="0.35">
      <c r="A634" s="15">
        <v>1146063</v>
      </c>
      <c r="B634" s="52">
        <v>1</v>
      </c>
    </row>
    <row r="635" spans="1:2" x14ac:dyDescent="0.35">
      <c r="A635" s="15">
        <v>1146067</v>
      </c>
      <c r="B635" s="52">
        <v>1</v>
      </c>
    </row>
    <row r="636" spans="1:2" x14ac:dyDescent="0.35">
      <c r="A636" s="15">
        <v>1146070</v>
      </c>
      <c r="B636" s="52">
        <v>1</v>
      </c>
    </row>
    <row r="637" spans="1:2" x14ac:dyDescent="0.35">
      <c r="A637" s="15">
        <v>1146072</v>
      </c>
      <c r="B637" s="52">
        <v>1</v>
      </c>
    </row>
    <row r="638" spans="1:2" x14ac:dyDescent="0.35">
      <c r="A638" s="15">
        <v>1146074</v>
      </c>
      <c r="B638" s="52">
        <v>1</v>
      </c>
    </row>
    <row r="639" spans="1:2" x14ac:dyDescent="0.35">
      <c r="A639" s="15">
        <v>1146075</v>
      </c>
      <c r="B639" s="52">
        <v>1</v>
      </c>
    </row>
    <row r="640" spans="1:2" x14ac:dyDescent="0.35">
      <c r="A640" s="15">
        <v>1146078</v>
      </c>
      <c r="B640" s="52">
        <v>1</v>
      </c>
    </row>
    <row r="641" spans="1:2" x14ac:dyDescent="0.35">
      <c r="A641" s="15">
        <v>1146079</v>
      </c>
      <c r="B641" s="52">
        <v>1</v>
      </c>
    </row>
    <row r="642" spans="1:2" x14ac:dyDescent="0.35">
      <c r="A642" s="15">
        <v>1146092</v>
      </c>
      <c r="B642" s="52">
        <v>1</v>
      </c>
    </row>
    <row r="643" spans="1:2" x14ac:dyDescent="0.35">
      <c r="A643" s="15">
        <v>1146095</v>
      </c>
      <c r="B643" s="52">
        <v>1</v>
      </c>
    </row>
    <row r="644" spans="1:2" x14ac:dyDescent="0.35">
      <c r="A644" s="15">
        <v>1146098</v>
      </c>
      <c r="B644" s="52">
        <v>1</v>
      </c>
    </row>
    <row r="645" spans="1:2" x14ac:dyDescent="0.35">
      <c r="A645" s="15">
        <v>1146099</v>
      </c>
      <c r="B645" s="52">
        <v>1</v>
      </c>
    </row>
    <row r="646" spans="1:2" x14ac:dyDescent="0.35">
      <c r="A646" s="15">
        <v>1146116</v>
      </c>
      <c r="B646" s="52">
        <v>1</v>
      </c>
    </row>
    <row r="647" spans="1:2" x14ac:dyDescent="0.35">
      <c r="A647" s="15">
        <v>1146122</v>
      </c>
      <c r="B647" s="52">
        <v>1</v>
      </c>
    </row>
    <row r="648" spans="1:2" x14ac:dyDescent="0.35">
      <c r="A648" s="15">
        <v>1146123</v>
      </c>
      <c r="B648" s="52">
        <v>1</v>
      </c>
    </row>
    <row r="649" spans="1:2" x14ac:dyDescent="0.35">
      <c r="A649" s="15">
        <v>1146124</v>
      </c>
      <c r="B649" s="52">
        <v>1</v>
      </c>
    </row>
    <row r="650" spans="1:2" x14ac:dyDescent="0.35">
      <c r="A650" s="15">
        <v>1146125</v>
      </c>
      <c r="B650" s="52">
        <v>1</v>
      </c>
    </row>
    <row r="651" spans="1:2" x14ac:dyDescent="0.35">
      <c r="A651" s="15">
        <v>1146128</v>
      </c>
      <c r="B651" s="52">
        <v>1</v>
      </c>
    </row>
    <row r="652" spans="1:2" x14ac:dyDescent="0.35">
      <c r="A652" s="15">
        <v>1146129</v>
      </c>
      <c r="B652" s="52">
        <v>1</v>
      </c>
    </row>
    <row r="653" spans="1:2" x14ac:dyDescent="0.35">
      <c r="A653" s="15">
        <v>1146131</v>
      </c>
      <c r="B653" s="52">
        <v>1</v>
      </c>
    </row>
    <row r="654" spans="1:2" x14ac:dyDescent="0.35">
      <c r="A654" s="15">
        <v>1146133</v>
      </c>
      <c r="B654" s="52">
        <v>1</v>
      </c>
    </row>
    <row r="655" spans="1:2" x14ac:dyDescent="0.35">
      <c r="A655" s="15">
        <v>1146142</v>
      </c>
      <c r="B655" s="52">
        <v>1</v>
      </c>
    </row>
    <row r="656" spans="1:2" x14ac:dyDescent="0.35">
      <c r="A656" s="15">
        <v>1146144</v>
      </c>
      <c r="B656" s="52">
        <v>1</v>
      </c>
    </row>
    <row r="657" spans="1:2" x14ac:dyDescent="0.35">
      <c r="A657" s="15">
        <v>1146148</v>
      </c>
      <c r="B657" s="52">
        <v>1</v>
      </c>
    </row>
    <row r="658" spans="1:2" x14ac:dyDescent="0.35">
      <c r="A658" s="15">
        <v>1146153</v>
      </c>
      <c r="B658" s="52">
        <v>1</v>
      </c>
    </row>
    <row r="659" spans="1:2" x14ac:dyDescent="0.35">
      <c r="A659" s="15">
        <v>1146154</v>
      </c>
      <c r="B659" s="52">
        <v>1</v>
      </c>
    </row>
    <row r="660" spans="1:2" x14ac:dyDescent="0.35">
      <c r="A660" s="15">
        <v>1146157</v>
      </c>
      <c r="B660" s="52">
        <v>1</v>
      </c>
    </row>
    <row r="661" spans="1:2" x14ac:dyDescent="0.35">
      <c r="A661" s="15">
        <v>1146159</v>
      </c>
      <c r="B661" s="52">
        <v>1</v>
      </c>
    </row>
    <row r="662" spans="1:2" x14ac:dyDescent="0.35">
      <c r="A662" s="15">
        <v>1146169</v>
      </c>
      <c r="B662" s="52">
        <v>1</v>
      </c>
    </row>
    <row r="663" spans="1:2" x14ac:dyDescent="0.35">
      <c r="A663" s="15">
        <v>1146170</v>
      </c>
      <c r="B663" s="52">
        <v>1</v>
      </c>
    </row>
    <row r="664" spans="1:2" x14ac:dyDescent="0.35">
      <c r="A664" s="15">
        <v>1146171</v>
      </c>
      <c r="B664" s="52">
        <v>1</v>
      </c>
    </row>
    <row r="665" spans="1:2" x14ac:dyDescent="0.35">
      <c r="A665" s="15">
        <v>1146172</v>
      </c>
      <c r="B665" s="52">
        <v>1</v>
      </c>
    </row>
    <row r="666" spans="1:2" x14ac:dyDescent="0.35">
      <c r="A666" s="15">
        <v>1146173</v>
      </c>
      <c r="B666" s="52">
        <v>1</v>
      </c>
    </row>
    <row r="667" spans="1:2" x14ac:dyDescent="0.35">
      <c r="A667" s="15">
        <v>1146174</v>
      </c>
      <c r="B667" s="52">
        <v>1</v>
      </c>
    </row>
    <row r="668" spans="1:2" x14ac:dyDescent="0.35">
      <c r="A668" s="15">
        <v>1146175</v>
      </c>
      <c r="B668" s="52">
        <v>1</v>
      </c>
    </row>
    <row r="669" spans="1:2" x14ac:dyDescent="0.35">
      <c r="A669" s="15">
        <v>1146176</v>
      </c>
      <c r="B669" s="52">
        <v>1</v>
      </c>
    </row>
    <row r="670" spans="1:2" x14ac:dyDescent="0.35">
      <c r="A670" s="15">
        <v>1146177</v>
      </c>
      <c r="B670" s="52">
        <v>1</v>
      </c>
    </row>
    <row r="671" spans="1:2" x14ac:dyDescent="0.35">
      <c r="A671" s="15">
        <v>1146178</v>
      </c>
      <c r="B671" s="52">
        <v>1</v>
      </c>
    </row>
    <row r="672" spans="1:2" x14ac:dyDescent="0.35">
      <c r="A672" s="15">
        <v>1146179</v>
      </c>
      <c r="B672" s="52">
        <v>1</v>
      </c>
    </row>
    <row r="673" spans="1:2" x14ac:dyDescent="0.35">
      <c r="A673" s="15">
        <v>1146190</v>
      </c>
      <c r="B673" s="52">
        <v>1</v>
      </c>
    </row>
    <row r="674" spans="1:2" x14ac:dyDescent="0.35">
      <c r="A674" s="15">
        <v>1146192</v>
      </c>
      <c r="B674" s="52">
        <v>1</v>
      </c>
    </row>
    <row r="675" spans="1:2" x14ac:dyDescent="0.35">
      <c r="A675" s="15">
        <v>1146193</v>
      </c>
      <c r="B675" s="52">
        <v>1</v>
      </c>
    </row>
    <row r="676" spans="1:2" x14ac:dyDescent="0.35">
      <c r="A676" s="15">
        <v>1146194</v>
      </c>
      <c r="B676" s="52">
        <v>1</v>
      </c>
    </row>
    <row r="677" spans="1:2" x14ac:dyDescent="0.35">
      <c r="A677" s="15">
        <v>1146195</v>
      </c>
      <c r="B677" s="52">
        <v>1</v>
      </c>
    </row>
    <row r="678" spans="1:2" x14ac:dyDescent="0.35">
      <c r="A678" s="15">
        <v>1146202</v>
      </c>
      <c r="B678" s="52">
        <v>1</v>
      </c>
    </row>
    <row r="679" spans="1:2" x14ac:dyDescent="0.35">
      <c r="A679" s="15">
        <v>1146212</v>
      </c>
      <c r="B679" s="52">
        <v>1</v>
      </c>
    </row>
    <row r="680" spans="1:2" x14ac:dyDescent="0.35">
      <c r="A680" s="15">
        <v>1146213</v>
      </c>
      <c r="B680" s="52">
        <v>1</v>
      </c>
    </row>
    <row r="681" spans="1:2" x14ac:dyDescent="0.35">
      <c r="A681" s="15">
        <v>1146221</v>
      </c>
      <c r="B681" s="52">
        <v>1</v>
      </c>
    </row>
    <row r="682" spans="1:2" x14ac:dyDescent="0.35">
      <c r="A682" s="15">
        <v>1146223</v>
      </c>
      <c r="B682" s="52">
        <v>1</v>
      </c>
    </row>
    <row r="683" spans="1:2" x14ac:dyDescent="0.35">
      <c r="A683" s="15">
        <v>1146226</v>
      </c>
      <c r="B683" s="52">
        <v>1</v>
      </c>
    </row>
    <row r="684" spans="1:2" x14ac:dyDescent="0.35">
      <c r="A684" s="15">
        <v>1146227</v>
      </c>
      <c r="B684" s="52">
        <v>1</v>
      </c>
    </row>
    <row r="685" spans="1:2" x14ac:dyDescent="0.35">
      <c r="A685" s="15">
        <v>1146239</v>
      </c>
      <c r="B685" s="52">
        <v>1</v>
      </c>
    </row>
    <row r="686" spans="1:2" x14ac:dyDescent="0.35">
      <c r="A686" s="15">
        <v>1146240</v>
      </c>
      <c r="B686" s="52">
        <v>1</v>
      </c>
    </row>
    <row r="687" spans="1:2" x14ac:dyDescent="0.35">
      <c r="A687" s="15">
        <v>1146241</v>
      </c>
      <c r="B687" s="52">
        <v>1</v>
      </c>
    </row>
    <row r="688" spans="1:2" x14ac:dyDescent="0.35">
      <c r="A688" s="15">
        <v>1146243</v>
      </c>
      <c r="B688" s="52">
        <v>1</v>
      </c>
    </row>
    <row r="689" spans="1:2" x14ac:dyDescent="0.35">
      <c r="A689" s="15">
        <v>1146245</v>
      </c>
      <c r="B689" s="52">
        <v>1</v>
      </c>
    </row>
    <row r="690" spans="1:2" x14ac:dyDescent="0.35">
      <c r="A690" s="15">
        <v>1146248</v>
      </c>
      <c r="B690" s="52">
        <v>1</v>
      </c>
    </row>
    <row r="691" spans="1:2" x14ac:dyDescent="0.35">
      <c r="A691" s="15">
        <v>1146251</v>
      </c>
      <c r="B691" s="52">
        <v>1</v>
      </c>
    </row>
    <row r="692" spans="1:2" x14ac:dyDescent="0.35">
      <c r="A692" s="15">
        <v>1146269</v>
      </c>
      <c r="B692" s="52">
        <v>1</v>
      </c>
    </row>
    <row r="693" spans="1:2" x14ac:dyDescent="0.35">
      <c r="A693" s="15">
        <v>1146278</v>
      </c>
      <c r="B693" s="52">
        <v>1</v>
      </c>
    </row>
    <row r="694" spans="1:2" x14ac:dyDescent="0.35">
      <c r="A694" s="15">
        <v>1146280</v>
      </c>
      <c r="B694" s="52">
        <v>1</v>
      </c>
    </row>
    <row r="695" spans="1:2" x14ac:dyDescent="0.35">
      <c r="A695" s="15">
        <v>1146282</v>
      </c>
      <c r="B695" s="52">
        <v>1</v>
      </c>
    </row>
    <row r="696" spans="1:2" x14ac:dyDescent="0.35">
      <c r="A696" s="15">
        <v>1146283</v>
      </c>
      <c r="B696" s="52">
        <v>1</v>
      </c>
    </row>
    <row r="697" spans="1:2" x14ac:dyDescent="0.35">
      <c r="A697" s="15">
        <v>1146284</v>
      </c>
      <c r="B697" s="52">
        <v>1</v>
      </c>
    </row>
    <row r="698" spans="1:2" x14ac:dyDescent="0.35">
      <c r="A698" s="15">
        <v>1146286</v>
      </c>
      <c r="B698" s="52">
        <v>1</v>
      </c>
    </row>
    <row r="699" spans="1:2" x14ac:dyDescent="0.35">
      <c r="A699" s="15">
        <v>1146287</v>
      </c>
      <c r="B699" s="52">
        <v>1</v>
      </c>
    </row>
    <row r="700" spans="1:2" x14ac:dyDescent="0.35">
      <c r="A700" s="15">
        <v>1146290</v>
      </c>
      <c r="B700" s="52">
        <v>1</v>
      </c>
    </row>
    <row r="701" spans="1:2" x14ac:dyDescent="0.35">
      <c r="A701" s="15">
        <v>1146292</v>
      </c>
      <c r="B701" s="52">
        <v>1</v>
      </c>
    </row>
    <row r="702" spans="1:2" x14ac:dyDescent="0.35">
      <c r="A702" s="15">
        <v>1146293</v>
      </c>
      <c r="B702" s="52">
        <v>1</v>
      </c>
    </row>
    <row r="703" spans="1:2" x14ac:dyDescent="0.35">
      <c r="A703" s="15">
        <v>1146295</v>
      </c>
      <c r="B703" s="52">
        <v>1</v>
      </c>
    </row>
    <row r="704" spans="1:2" x14ac:dyDescent="0.35">
      <c r="A704" s="15">
        <v>1146296</v>
      </c>
      <c r="B704" s="52">
        <v>1</v>
      </c>
    </row>
    <row r="705" spans="1:2" x14ac:dyDescent="0.35">
      <c r="A705" s="15">
        <v>1146297</v>
      </c>
      <c r="B705" s="52">
        <v>1</v>
      </c>
    </row>
    <row r="706" spans="1:2" x14ac:dyDescent="0.35">
      <c r="A706" s="15">
        <v>1146300</v>
      </c>
      <c r="B706" s="52">
        <v>1</v>
      </c>
    </row>
    <row r="707" spans="1:2" x14ac:dyDescent="0.35">
      <c r="A707" s="15">
        <v>1146301</v>
      </c>
      <c r="B707" s="52">
        <v>1</v>
      </c>
    </row>
    <row r="708" spans="1:2" x14ac:dyDescent="0.35">
      <c r="A708" s="15">
        <v>1146302</v>
      </c>
      <c r="B708" s="52">
        <v>1</v>
      </c>
    </row>
    <row r="709" spans="1:2" x14ac:dyDescent="0.35">
      <c r="A709" s="15">
        <v>1146303</v>
      </c>
      <c r="B709" s="52">
        <v>1</v>
      </c>
    </row>
    <row r="710" spans="1:2" x14ac:dyDescent="0.35">
      <c r="A710" s="15">
        <v>1146304</v>
      </c>
      <c r="B710" s="52">
        <v>1</v>
      </c>
    </row>
    <row r="711" spans="1:2" x14ac:dyDescent="0.35">
      <c r="A711" s="15">
        <v>1146306</v>
      </c>
      <c r="B711" s="52">
        <v>1</v>
      </c>
    </row>
    <row r="712" spans="1:2" x14ac:dyDescent="0.35">
      <c r="A712" s="15">
        <v>1146307</v>
      </c>
      <c r="B712" s="52">
        <v>1</v>
      </c>
    </row>
    <row r="713" spans="1:2" x14ac:dyDescent="0.35">
      <c r="A713" s="15">
        <v>1146308</v>
      </c>
      <c r="B713" s="52">
        <v>1</v>
      </c>
    </row>
    <row r="714" spans="1:2" x14ac:dyDescent="0.35">
      <c r="A714" s="15">
        <v>1146309</v>
      </c>
      <c r="B714" s="52">
        <v>1</v>
      </c>
    </row>
    <row r="715" spans="1:2" x14ac:dyDescent="0.35">
      <c r="A715" s="15">
        <v>1146310</v>
      </c>
      <c r="B715" s="52">
        <v>1</v>
      </c>
    </row>
    <row r="716" spans="1:2" x14ac:dyDescent="0.35">
      <c r="A716" s="15">
        <v>1146312</v>
      </c>
      <c r="B716" s="52">
        <v>1</v>
      </c>
    </row>
    <row r="717" spans="1:2" x14ac:dyDescent="0.35">
      <c r="A717" s="15">
        <v>1146313</v>
      </c>
      <c r="B717" s="52">
        <v>1</v>
      </c>
    </row>
    <row r="718" spans="1:2" x14ac:dyDescent="0.35">
      <c r="A718" s="15">
        <v>1146317</v>
      </c>
      <c r="B718" s="52">
        <v>1</v>
      </c>
    </row>
    <row r="719" spans="1:2" x14ac:dyDescent="0.35">
      <c r="A719" s="15">
        <v>1146318</v>
      </c>
      <c r="B719" s="52">
        <v>1</v>
      </c>
    </row>
    <row r="720" spans="1:2" x14ac:dyDescent="0.35">
      <c r="A720" s="15">
        <v>1146320</v>
      </c>
      <c r="B720" s="52">
        <v>1</v>
      </c>
    </row>
    <row r="721" spans="1:2" x14ac:dyDescent="0.35">
      <c r="A721" s="15">
        <v>1146322</v>
      </c>
      <c r="B721" s="52">
        <v>1</v>
      </c>
    </row>
    <row r="722" spans="1:2" x14ac:dyDescent="0.35">
      <c r="A722" s="15">
        <v>1146324</v>
      </c>
      <c r="B722" s="52">
        <v>1</v>
      </c>
    </row>
    <row r="723" spans="1:2" x14ac:dyDescent="0.35">
      <c r="A723" s="15">
        <v>1146325</v>
      </c>
      <c r="B723" s="52">
        <v>1</v>
      </c>
    </row>
    <row r="724" spans="1:2" x14ac:dyDescent="0.35">
      <c r="A724" s="15">
        <v>1146327</v>
      </c>
      <c r="B724" s="52">
        <v>1</v>
      </c>
    </row>
    <row r="725" spans="1:2" x14ac:dyDescent="0.35">
      <c r="A725" s="15">
        <v>1146329</v>
      </c>
      <c r="B725" s="52">
        <v>1</v>
      </c>
    </row>
    <row r="726" spans="1:2" x14ac:dyDescent="0.35">
      <c r="A726" s="15">
        <v>1146330</v>
      </c>
      <c r="B726" s="52">
        <v>1</v>
      </c>
    </row>
    <row r="727" spans="1:2" x14ac:dyDescent="0.35">
      <c r="A727" s="15">
        <v>1146331</v>
      </c>
      <c r="B727" s="52">
        <v>1</v>
      </c>
    </row>
    <row r="728" spans="1:2" x14ac:dyDescent="0.35">
      <c r="A728" s="15">
        <v>1146334</v>
      </c>
      <c r="B728" s="52">
        <v>1</v>
      </c>
    </row>
    <row r="729" spans="1:2" x14ac:dyDescent="0.35">
      <c r="A729" s="15">
        <v>1146335</v>
      </c>
      <c r="B729" s="52">
        <v>1</v>
      </c>
    </row>
    <row r="730" spans="1:2" x14ac:dyDescent="0.35">
      <c r="A730" s="15">
        <v>1146337</v>
      </c>
      <c r="B730" s="52">
        <v>1</v>
      </c>
    </row>
    <row r="731" spans="1:2" x14ac:dyDescent="0.35">
      <c r="A731" s="15">
        <v>1146338</v>
      </c>
      <c r="B731" s="52">
        <v>1</v>
      </c>
    </row>
    <row r="732" spans="1:2" x14ac:dyDescent="0.35">
      <c r="A732" s="15">
        <v>1146339</v>
      </c>
      <c r="B732" s="52">
        <v>1</v>
      </c>
    </row>
    <row r="733" spans="1:2" x14ac:dyDescent="0.35">
      <c r="A733" s="15">
        <v>1146341</v>
      </c>
      <c r="B733" s="52">
        <v>1</v>
      </c>
    </row>
    <row r="734" spans="1:2" x14ac:dyDescent="0.35">
      <c r="A734" s="15">
        <v>1146343</v>
      </c>
      <c r="B734" s="52">
        <v>1</v>
      </c>
    </row>
    <row r="735" spans="1:2" x14ac:dyDescent="0.35">
      <c r="A735" s="15">
        <v>1146344</v>
      </c>
      <c r="B735" s="52">
        <v>1</v>
      </c>
    </row>
    <row r="736" spans="1:2" x14ac:dyDescent="0.35">
      <c r="A736" s="15">
        <v>1146345</v>
      </c>
      <c r="B736" s="52">
        <v>1</v>
      </c>
    </row>
    <row r="737" spans="1:2" x14ac:dyDescent="0.35">
      <c r="A737" s="15">
        <v>1146346</v>
      </c>
      <c r="B737" s="52">
        <v>1</v>
      </c>
    </row>
    <row r="738" spans="1:2" x14ac:dyDescent="0.35">
      <c r="A738" s="15">
        <v>1146347</v>
      </c>
      <c r="B738" s="52">
        <v>1</v>
      </c>
    </row>
    <row r="739" spans="1:2" x14ac:dyDescent="0.35">
      <c r="A739" s="15">
        <v>1146349</v>
      </c>
      <c r="B739" s="52">
        <v>1</v>
      </c>
    </row>
    <row r="740" spans="1:2" x14ac:dyDescent="0.35">
      <c r="A740" s="15">
        <v>1146351</v>
      </c>
      <c r="B740" s="52">
        <v>1</v>
      </c>
    </row>
    <row r="741" spans="1:2" x14ac:dyDescent="0.35">
      <c r="A741" s="15">
        <v>1146352</v>
      </c>
      <c r="B741" s="52">
        <v>1</v>
      </c>
    </row>
    <row r="742" spans="1:2" x14ac:dyDescent="0.35">
      <c r="A742" s="15">
        <v>1146356</v>
      </c>
      <c r="B742" s="52">
        <v>1</v>
      </c>
    </row>
    <row r="743" spans="1:2" x14ac:dyDescent="0.35">
      <c r="A743" s="15">
        <v>1146358</v>
      </c>
      <c r="B743" s="52">
        <v>1</v>
      </c>
    </row>
    <row r="744" spans="1:2" x14ac:dyDescent="0.35">
      <c r="A744" s="15">
        <v>1146362</v>
      </c>
      <c r="B744" s="52">
        <v>1</v>
      </c>
    </row>
    <row r="745" spans="1:2" x14ac:dyDescent="0.35">
      <c r="A745" s="15">
        <v>1146364</v>
      </c>
      <c r="B745" s="52">
        <v>1</v>
      </c>
    </row>
    <row r="746" spans="1:2" x14ac:dyDescent="0.35">
      <c r="A746" s="15">
        <v>1146369</v>
      </c>
      <c r="B746" s="52">
        <v>1</v>
      </c>
    </row>
    <row r="747" spans="1:2" x14ac:dyDescent="0.35">
      <c r="A747" s="15">
        <v>1146370</v>
      </c>
      <c r="B747" s="52">
        <v>1</v>
      </c>
    </row>
    <row r="748" spans="1:2" x14ac:dyDescent="0.35">
      <c r="A748" s="15">
        <v>1146372</v>
      </c>
      <c r="B748" s="52">
        <v>1</v>
      </c>
    </row>
    <row r="749" spans="1:2" x14ac:dyDescent="0.35">
      <c r="A749" s="15">
        <v>1146373</v>
      </c>
      <c r="B749" s="52">
        <v>1</v>
      </c>
    </row>
    <row r="750" spans="1:2" x14ac:dyDescent="0.35">
      <c r="A750" s="15">
        <v>1146374</v>
      </c>
      <c r="B750" s="52">
        <v>1</v>
      </c>
    </row>
    <row r="751" spans="1:2" x14ac:dyDescent="0.35">
      <c r="A751" s="15">
        <v>1146375</v>
      </c>
      <c r="B751" s="52">
        <v>1</v>
      </c>
    </row>
    <row r="752" spans="1:2" x14ac:dyDescent="0.35">
      <c r="A752" s="15">
        <v>1146376</v>
      </c>
      <c r="B752" s="52">
        <v>1</v>
      </c>
    </row>
    <row r="753" spans="1:2" x14ac:dyDescent="0.35">
      <c r="A753" s="15">
        <v>1146377</v>
      </c>
      <c r="B753" s="52">
        <v>1</v>
      </c>
    </row>
    <row r="754" spans="1:2" x14ac:dyDescent="0.35">
      <c r="A754" s="15">
        <v>1146378</v>
      </c>
      <c r="B754" s="52">
        <v>1</v>
      </c>
    </row>
    <row r="755" spans="1:2" x14ac:dyDescent="0.35">
      <c r="A755" s="15">
        <v>1146379</v>
      </c>
      <c r="B755" s="52">
        <v>1</v>
      </c>
    </row>
    <row r="756" spans="1:2" x14ac:dyDescent="0.35">
      <c r="A756" s="15">
        <v>1146380</v>
      </c>
      <c r="B756" s="52">
        <v>1</v>
      </c>
    </row>
    <row r="757" spans="1:2" x14ac:dyDescent="0.35">
      <c r="A757" s="15">
        <v>1146381</v>
      </c>
      <c r="B757" s="52">
        <v>1</v>
      </c>
    </row>
    <row r="758" spans="1:2" x14ac:dyDescent="0.35">
      <c r="A758" s="15">
        <v>1146382</v>
      </c>
      <c r="B758" s="52">
        <v>1</v>
      </c>
    </row>
    <row r="759" spans="1:2" x14ac:dyDescent="0.35">
      <c r="A759" s="15">
        <v>1146383</v>
      </c>
      <c r="B759" s="52">
        <v>1</v>
      </c>
    </row>
    <row r="760" spans="1:2" x14ac:dyDescent="0.35">
      <c r="A760" s="15">
        <v>1146384</v>
      </c>
      <c r="B760" s="52">
        <v>1</v>
      </c>
    </row>
    <row r="761" spans="1:2" x14ac:dyDescent="0.35">
      <c r="A761" s="15">
        <v>1146385</v>
      </c>
      <c r="B761" s="52">
        <v>1</v>
      </c>
    </row>
    <row r="762" spans="1:2" x14ac:dyDescent="0.35">
      <c r="A762" s="15">
        <v>1146386</v>
      </c>
      <c r="B762" s="52">
        <v>1</v>
      </c>
    </row>
    <row r="763" spans="1:2" x14ac:dyDescent="0.35">
      <c r="A763" s="15">
        <v>1146387</v>
      </c>
      <c r="B763" s="52">
        <v>1</v>
      </c>
    </row>
    <row r="764" spans="1:2" x14ac:dyDescent="0.35">
      <c r="A764" s="15">
        <v>1146397</v>
      </c>
      <c r="B764" s="52">
        <v>1</v>
      </c>
    </row>
    <row r="765" spans="1:2" x14ac:dyDescent="0.35">
      <c r="A765" s="15">
        <v>1146398</v>
      </c>
      <c r="B765" s="52">
        <v>1</v>
      </c>
    </row>
    <row r="766" spans="1:2" x14ac:dyDescent="0.35">
      <c r="A766" s="15">
        <v>1146399</v>
      </c>
      <c r="B766" s="52">
        <v>1</v>
      </c>
    </row>
    <row r="767" spans="1:2" x14ac:dyDescent="0.35">
      <c r="A767" s="15">
        <v>1146400</v>
      </c>
      <c r="B767" s="52">
        <v>1</v>
      </c>
    </row>
    <row r="768" spans="1:2" x14ac:dyDescent="0.35">
      <c r="A768" s="15">
        <v>1146401</v>
      </c>
      <c r="B768" s="52">
        <v>1</v>
      </c>
    </row>
    <row r="769" spans="1:2" x14ac:dyDescent="0.35">
      <c r="A769" s="15">
        <v>1146402</v>
      </c>
      <c r="B769" s="52">
        <v>1</v>
      </c>
    </row>
    <row r="770" spans="1:2" x14ac:dyDescent="0.35">
      <c r="A770" s="15">
        <v>1146403</v>
      </c>
      <c r="B770" s="52">
        <v>1</v>
      </c>
    </row>
    <row r="771" spans="1:2" x14ac:dyDescent="0.35">
      <c r="A771" s="15">
        <v>1146404</v>
      </c>
      <c r="B771" s="52">
        <v>1</v>
      </c>
    </row>
    <row r="772" spans="1:2" x14ac:dyDescent="0.35">
      <c r="A772" s="15">
        <v>1146405</v>
      </c>
      <c r="B772" s="52">
        <v>1</v>
      </c>
    </row>
    <row r="773" spans="1:2" x14ac:dyDescent="0.35">
      <c r="A773" s="15">
        <v>1146406</v>
      </c>
      <c r="B773" s="52">
        <v>1</v>
      </c>
    </row>
    <row r="774" spans="1:2" x14ac:dyDescent="0.35">
      <c r="A774" s="15">
        <v>1146407</v>
      </c>
      <c r="B774" s="52">
        <v>1</v>
      </c>
    </row>
    <row r="775" spans="1:2" x14ac:dyDescent="0.35">
      <c r="A775" s="15">
        <v>1146408</v>
      </c>
      <c r="B775" s="52">
        <v>1</v>
      </c>
    </row>
    <row r="776" spans="1:2" x14ac:dyDescent="0.35">
      <c r="A776" s="15">
        <v>1146409</v>
      </c>
      <c r="B776" s="52">
        <v>1</v>
      </c>
    </row>
    <row r="777" spans="1:2" x14ac:dyDescent="0.35">
      <c r="A777" s="15">
        <v>1146411</v>
      </c>
      <c r="B777" s="52">
        <v>1</v>
      </c>
    </row>
    <row r="778" spans="1:2" x14ac:dyDescent="0.35">
      <c r="A778" s="15">
        <v>1146412</v>
      </c>
      <c r="B778" s="52">
        <v>1</v>
      </c>
    </row>
    <row r="779" spans="1:2" x14ac:dyDescent="0.35">
      <c r="A779" s="15">
        <v>1146413</v>
      </c>
      <c r="B779" s="52">
        <v>1</v>
      </c>
    </row>
    <row r="780" spans="1:2" x14ac:dyDescent="0.35">
      <c r="A780" s="15">
        <v>1146414</v>
      </c>
      <c r="B780" s="52">
        <v>1</v>
      </c>
    </row>
    <row r="781" spans="1:2" x14ac:dyDescent="0.35">
      <c r="A781" s="15">
        <v>1146416</v>
      </c>
      <c r="B781" s="52">
        <v>1</v>
      </c>
    </row>
    <row r="782" spans="1:2" x14ac:dyDescent="0.35">
      <c r="A782" s="15">
        <v>1146417</v>
      </c>
      <c r="B782" s="52">
        <v>1</v>
      </c>
    </row>
    <row r="783" spans="1:2" x14ac:dyDescent="0.35">
      <c r="A783" s="15">
        <v>1146418</v>
      </c>
      <c r="B783" s="52">
        <v>1</v>
      </c>
    </row>
    <row r="784" spans="1:2" x14ac:dyDescent="0.35">
      <c r="A784" s="15">
        <v>1146419</v>
      </c>
      <c r="B784" s="52">
        <v>1</v>
      </c>
    </row>
    <row r="785" spans="1:2" x14ac:dyDescent="0.35">
      <c r="A785" s="15">
        <v>1146420</v>
      </c>
      <c r="B785" s="52">
        <v>1</v>
      </c>
    </row>
    <row r="786" spans="1:2" x14ac:dyDescent="0.35">
      <c r="A786" s="15">
        <v>1146424</v>
      </c>
      <c r="B786" s="52">
        <v>1</v>
      </c>
    </row>
    <row r="787" spans="1:2" x14ac:dyDescent="0.35">
      <c r="A787" s="15">
        <v>1146425</v>
      </c>
      <c r="B787" s="52">
        <v>1</v>
      </c>
    </row>
    <row r="788" spans="1:2" x14ac:dyDescent="0.35">
      <c r="A788" s="15">
        <v>1146427</v>
      </c>
      <c r="B788" s="52">
        <v>1</v>
      </c>
    </row>
    <row r="789" spans="1:2" x14ac:dyDescent="0.35">
      <c r="A789" s="15">
        <v>1146428</v>
      </c>
      <c r="B789" s="52">
        <v>1</v>
      </c>
    </row>
    <row r="790" spans="1:2" x14ac:dyDescent="0.35">
      <c r="A790" s="15">
        <v>1146429</v>
      </c>
      <c r="B790" s="52">
        <v>1</v>
      </c>
    </row>
    <row r="791" spans="1:2" x14ac:dyDescent="0.35">
      <c r="A791" s="15">
        <v>1146430</v>
      </c>
      <c r="B791" s="52">
        <v>1</v>
      </c>
    </row>
    <row r="792" spans="1:2" x14ac:dyDescent="0.35">
      <c r="A792" s="15">
        <v>1146431</v>
      </c>
      <c r="B792" s="52">
        <v>1</v>
      </c>
    </row>
    <row r="793" spans="1:2" x14ac:dyDescent="0.35">
      <c r="A793" s="15">
        <v>1146432</v>
      </c>
      <c r="B793" s="52">
        <v>1</v>
      </c>
    </row>
    <row r="794" spans="1:2" x14ac:dyDescent="0.35">
      <c r="A794" s="15">
        <v>1146433</v>
      </c>
      <c r="B794" s="52">
        <v>1</v>
      </c>
    </row>
    <row r="795" spans="1:2" x14ac:dyDescent="0.35">
      <c r="A795" s="15">
        <v>1146434</v>
      </c>
      <c r="B795" s="52">
        <v>1</v>
      </c>
    </row>
    <row r="796" spans="1:2" x14ac:dyDescent="0.35">
      <c r="A796" s="15">
        <v>1146435</v>
      </c>
      <c r="B796" s="52">
        <v>1</v>
      </c>
    </row>
    <row r="797" spans="1:2" x14ac:dyDescent="0.35">
      <c r="A797" s="15">
        <v>1146436</v>
      </c>
      <c r="B797" s="52">
        <v>1</v>
      </c>
    </row>
    <row r="798" spans="1:2" x14ac:dyDescent="0.35">
      <c r="A798" s="15">
        <v>1146437</v>
      </c>
      <c r="B798" s="52">
        <v>1</v>
      </c>
    </row>
    <row r="799" spans="1:2" x14ac:dyDescent="0.35">
      <c r="A799" s="15">
        <v>1146439</v>
      </c>
      <c r="B799" s="52">
        <v>1</v>
      </c>
    </row>
    <row r="800" spans="1:2" x14ac:dyDescent="0.35">
      <c r="A800" s="15">
        <v>1146440</v>
      </c>
      <c r="B800" s="52">
        <v>1</v>
      </c>
    </row>
    <row r="801" spans="1:2" x14ac:dyDescent="0.35">
      <c r="A801" s="15">
        <v>1146441</v>
      </c>
      <c r="B801" s="52">
        <v>1</v>
      </c>
    </row>
    <row r="802" spans="1:2" x14ac:dyDescent="0.35">
      <c r="A802" s="15">
        <v>1146442</v>
      </c>
      <c r="B802" s="52">
        <v>1</v>
      </c>
    </row>
    <row r="803" spans="1:2" x14ac:dyDescent="0.35">
      <c r="A803" s="15">
        <v>1146450</v>
      </c>
      <c r="B803" s="52">
        <v>1</v>
      </c>
    </row>
    <row r="804" spans="1:2" x14ac:dyDescent="0.35">
      <c r="A804" s="15">
        <v>1146464</v>
      </c>
      <c r="B804" s="52">
        <v>1</v>
      </c>
    </row>
    <row r="805" spans="1:2" x14ac:dyDescent="0.35">
      <c r="A805" s="15">
        <v>1146465</v>
      </c>
      <c r="B805" s="52">
        <v>1</v>
      </c>
    </row>
    <row r="806" spans="1:2" x14ac:dyDescent="0.35">
      <c r="A806" s="15">
        <v>1146466</v>
      </c>
      <c r="B806" s="52">
        <v>1</v>
      </c>
    </row>
    <row r="807" spans="1:2" x14ac:dyDescent="0.35">
      <c r="A807" s="15">
        <v>1146468</v>
      </c>
      <c r="B807" s="52">
        <v>1</v>
      </c>
    </row>
    <row r="808" spans="1:2" x14ac:dyDescent="0.35">
      <c r="A808" s="15">
        <v>1146469</v>
      </c>
      <c r="B808" s="52">
        <v>1</v>
      </c>
    </row>
    <row r="809" spans="1:2" x14ac:dyDescent="0.35">
      <c r="A809" s="15">
        <v>1146470</v>
      </c>
      <c r="B809" s="52">
        <v>1</v>
      </c>
    </row>
    <row r="810" spans="1:2" x14ac:dyDescent="0.35">
      <c r="A810" s="15">
        <v>1146471</v>
      </c>
      <c r="B810" s="52">
        <v>1</v>
      </c>
    </row>
    <row r="811" spans="1:2" x14ac:dyDescent="0.35">
      <c r="A811" s="15">
        <v>1146474</v>
      </c>
      <c r="B811" s="52">
        <v>1</v>
      </c>
    </row>
    <row r="812" spans="1:2" x14ac:dyDescent="0.35">
      <c r="A812" s="15">
        <v>1146498</v>
      </c>
      <c r="B812" s="52">
        <v>1</v>
      </c>
    </row>
    <row r="813" spans="1:2" x14ac:dyDescent="0.35">
      <c r="A813" s="15">
        <v>1146507</v>
      </c>
      <c r="B813" s="52">
        <v>1</v>
      </c>
    </row>
    <row r="814" spans="1:2" x14ac:dyDescent="0.35">
      <c r="A814" s="15">
        <v>1146509</v>
      </c>
      <c r="B814" s="52">
        <v>1</v>
      </c>
    </row>
    <row r="815" spans="1:2" x14ac:dyDescent="0.35">
      <c r="A815" s="15">
        <v>1146510</v>
      </c>
      <c r="B815" s="52">
        <v>1</v>
      </c>
    </row>
    <row r="816" spans="1:2" x14ac:dyDescent="0.35">
      <c r="A816" s="15">
        <v>1146516</v>
      </c>
      <c r="B816" s="52">
        <v>1</v>
      </c>
    </row>
    <row r="817" spans="1:2" x14ac:dyDescent="0.35">
      <c r="A817" s="15">
        <v>1146520</v>
      </c>
      <c r="B817" s="52">
        <v>1</v>
      </c>
    </row>
    <row r="818" spans="1:2" x14ac:dyDescent="0.35">
      <c r="A818" s="15">
        <v>1146522</v>
      </c>
      <c r="B818" s="52">
        <v>1</v>
      </c>
    </row>
    <row r="819" spans="1:2" x14ac:dyDescent="0.35">
      <c r="A819" s="15">
        <v>1146523</v>
      </c>
      <c r="B819" s="52">
        <v>1</v>
      </c>
    </row>
    <row r="820" spans="1:2" x14ac:dyDescent="0.35">
      <c r="A820" s="15">
        <v>1146524</v>
      </c>
      <c r="B820" s="52">
        <v>1</v>
      </c>
    </row>
    <row r="821" spans="1:2" x14ac:dyDescent="0.35">
      <c r="A821" s="15">
        <v>1146526</v>
      </c>
      <c r="B821" s="52">
        <v>1</v>
      </c>
    </row>
    <row r="822" spans="1:2" x14ac:dyDescent="0.35">
      <c r="A822" s="15">
        <v>1146535</v>
      </c>
      <c r="B822" s="52">
        <v>1</v>
      </c>
    </row>
    <row r="823" spans="1:2" x14ac:dyDescent="0.35">
      <c r="A823" s="15">
        <v>1146538</v>
      </c>
      <c r="B823" s="52">
        <v>1</v>
      </c>
    </row>
    <row r="824" spans="1:2" x14ac:dyDescent="0.35">
      <c r="A824" s="15">
        <v>1146540</v>
      </c>
      <c r="B824" s="52">
        <v>1</v>
      </c>
    </row>
    <row r="825" spans="1:2" x14ac:dyDescent="0.35">
      <c r="A825" s="15">
        <v>1146541</v>
      </c>
      <c r="B825" s="52">
        <v>1</v>
      </c>
    </row>
    <row r="826" spans="1:2" x14ac:dyDescent="0.35">
      <c r="A826" s="15">
        <v>1146542</v>
      </c>
      <c r="B826" s="52">
        <v>1</v>
      </c>
    </row>
    <row r="827" spans="1:2" x14ac:dyDescent="0.35">
      <c r="A827" s="15">
        <v>1146544</v>
      </c>
      <c r="B827" s="52">
        <v>1</v>
      </c>
    </row>
    <row r="828" spans="1:2" x14ac:dyDescent="0.35">
      <c r="A828" s="15">
        <v>1146552</v>
      </c>
      <c r="B828" s="52">
        <v>1</v>
      </c>
    </row>
    <row r="829" spans="1:2" x14ac:dyDescent="0.35">
      <c r="A829" s="15">
        <v>1146554</v>
      </c>
      <c r="B829" s="52">
        <v>1</v>
      </c>
    </row>
    <row r="830" spans="1:2" x14ac:dyDescent="0.35">
      <c r="A830" s="15">
        <v>1146559</v>
      </c>
      <c r="B830" s="52">
        <v>1</v>
      </c>
    </row>
    <row r="831" spans="1:2" x14ac:dyDescent="0.35">
      <c r="A831" s="15">
        <v>1146560</v>
      </c>
      <c r="B831" s="52">
        <v>1</v>
      </c>
    </row>
    <row r="832" spans="1:2" x14ac:dyDescent="0.35">
      <c r="A832" s="15">
        <v>1146562</v>
      </c>
      <c r="B832" s="52">
        <v>1</v>
      </c>
    </row>
    <row r="833" spans="1:2" x14ac:dyDescent="0.35">
      <c r="A833" s="15">
        <v>1146574</v>
      </c>
      <c r="B833" s="52">
        <v>1</v>
      </c>
    </row>
    <row r="834" spans="1:2" x14ac:dyDescent="0.35">
      <c r="A834" s="15">
        <v>1146575</v>
      </c>
      <c r="B834" s="52">
        <v>1</v>
      </c>
    </row>
    <row r="835" spans="1:2" x14ac:dyDescent="0.35">
      <c r="A835" s="15">
        <v>1146576</v>
      </c>
      <c r="B835" s="52">
        <v>1</v>
      </c>
    </row>
    <row r="836" spans="1:2" x14ac:dyDescent="0.35">
      <c r="A836" s="15">
        <v>1146577</v>
      </c>
      <c r="B836" s="52">
        <v>1</v>
      </c>
    </row>
    <row r="837" spans="1:2" x14ac:dyDescent="0.35">
      <c r="A837" s="15">
        <v>1146578</v>
      </c>
      <c r="B837" s="52">
        <v>1</v>
      </c>
    </row>
    <row r="838" spans="1:2" x14ac:dyDescent="0.35">
      <c r="A838" s="15">
        <v>1146579</v>
      </c>
      <c r="B838" s="52">
        <v>1</v>
      </c>
    </row>
    <row r="839" spans="1:2" x14ac:dyDescent="0.35">
      <c r="A839" s="15">
        <v>1146583</v>
      </c>
      <c r="B839" s="52">
        <v>1</v>
      </c>
    </row>
    <row r="840" spans="1:2" x14ac:dyDescent="0.35">
      <c r="A840" s="15">
        <v>1146594</v>
      </c>
      <c r="B840" s="52">
        <v>1</v>
      </c>
    </row>
    <row r="841" spans="1:2" x14ac:dyDescent="0.35">
      <c r="A841" s="15">
        <v>1146596</v>
      </c>
      <c r="B841" s="52">
        <v>1</v>
      </c>
    </row>
    <row r="842" spans="1:2" x14ac:dyDescent="0.35">
      <c r="A842" s="15">
        <v>1146597</v>
      </c>
      <c r="B842" s="52">
        <v>1</v>
      </c>
    </row>
    <row r="843" spans="1:2" x14ac:dyDescent="0.35">
      <c r="A843" s="15">
        <v>1146598</v>
      </c>
      <c r="B843" s="52">
        <v>1</v>
      </c>
    </row>
    <row r="844" spans="1:2" x14ac:dyDescent="0.35">
      <c r="A844" s="15">
        <v>1146599</v>
      </c>
      <c r="B844" s="52">
        <v>1</v>
      </c>
    </row>
    <row r="845" spans="1:2" x14ac:dyDescent="0.35">
      <c r="A845" s="15">
        <v>1146623</v>
      </c>
      <c r="B845" s="52">
        <v>1</v>
      </c>
    </row>
    <row r="846" spans="1:2" x14ac:dyDescent="0.35">
      <c r="A846" s="15">
        <v>1146625</v>
      </c>
      <c r="B846" s="52">
        <v>1</v>
      </c>
    </row>
    <row r="847" spans="1:2" x14ac:dyDescent="0.35">
      <c r="A847" s="15">
        <v>1146633</v>
      </c>
      <c r="B847" s="52">
        <v>1</v>
      </c>
    </row>
    <row r="848" spans="1:2" x14ac:dyDescent="0.35">
      <c r="A848" s="15">
        <v>1146640</v>
      </c>
      <c r="B848" s="52">
        <v>1</v>
      </c>
    </row>
    <row r="849" spans="1:2" x14ac:dyDescent="0.35">
      <c r="A849" s="15">
        <v>1146642</v>
      </c>
      <c r="B849" s="52">
        <v>1</v>
      </c>
    </row>
    <row r="850" spans="1:2" x14ac:dyDescent="0.35">
      <c r="A850" s="15">
        <v>1146649</v>
      </c>
      <c r="B850" s="52">
        <v>1</v>
      </c>
    </row>
    <row r="851" spans="1:2" x14ac:dyDescent="0.35">
      <c r="A851" s="15">
        <v>1146651</v>
      </c>
      <c r="B851" s="52">
        <v>1</v>
      </c>
    </row>
    <row r="852" spans="1:2" x14ac:dyDescent="0.35">
      <c r="A852" s="15">
        <v>1146653</v>
      </c>
      <c r="B852" s="52">
        <v>1</v>
      </c>
    </row>
    <row r="853" spans="1:2" x14ac:dyDescent="0.35">
      <c r="A853" s="15">
        <v>1146654</v>
      </c>
      <c r="B853" s="52">
        <v>1</v>
      </c>
    </row>
    <row r="854" spans="1:2" x14ac:dyDescent="0.35">
      <c r="A854" s="15">
        <v>1146656</v>
      </c>
      <c r="B854" s="52">
        <v>1</v>
      </c>
    </row>
    <row r="855" spans="1:2" x14ac:dyDescent="0.35">
      <c r="A855" s="15">
        <v>1146657</v>
      </c>
      <c r="B855" s="52">
        <v>1</v>
      </c>
    </row>
    <row r="856" spans="1:2" x14ac:dyDescent="0.35">
      <c r="A856" s="15">
        <v>1146659</v>
      </c>
      <c r="B856" s="52">
        <v>1</v>
      </c>
    </row>
    <row r="857" spans="1:2" x14ac:dyDescent="0.35">
      <c r="A857" s="15">
        <v>1146660</v>
      </c>
      <c r="B857" s="52">
        <v>1</v>
      </c>
    </row>
    <row r="858" spans="1:2" x14ac:dyDescent="0.35">
      <c r="A858" s="15">
        <v>1146661</v>
      </c>
      <c r="B858" s="52">
        <v>1</v>
      </c>
    </row>
    <row r="859" spans="1:2" x14ac:dyDescent="0.35">
      <c r="A859" s="15">
        <v>1146662</v>
      </c>
      <c r="B859" s="52">
        <v>1</v>
      </c>
    </row>
    <row r="860" spans="1:2" x14ac:dyDescent="0.35">
      <c r="A860" s="15">
        <v>1146663</v>
      </c>
      <c r="B860" s="52">
        <v>1</v>
      </c>
    </row>
    <row r="861" spans="1:2" x14ac:dyDescent="0.35">
      <c r="A861" s="15">
        <v>1146665</v>
      </c>
      <c r="B861" s="52">
        <v>1</v>
      </c>
    </row>
    <row r="862" spans="1:2" x14ac:dyDescent="0.35">
      <c r="A862" s="15">
        <v>1146666</v>
      </c>
      <c r="B862" s="52">
        <v>1</v>
      </c>
    </row>
    <row r="863" spans="1:2" x14ac:dyDescent="0.35">
      <c r="A863" s="15">
        <v>1146669</v>
      </c>
      <c r="B863" s="52">
        <v>1</v>
      </c>
    </row>
    <row r="864" spans="1:2" x14ac:dyDescent="0.35">
      <c r="A864" s="15">
        <v>1146675</v>
      </c>
      <c r="B864" s="52">
        <v>1</v>
      </c>
    </row>
    <row r="865" spans="1:2" x14ac:dyDescent="0.35">
      <c r="A865" s="15">
        <v>1146680</v>
      </c>
      <c r="B865" s="52">
        <v>1</v>
      </c>
    </row>
    <row r="866" spans="1:2" x14ac:dyDescent="0.35">
      <c r="A866" s="15">
        <v>1146687</v>
      </c>
      <c r="B866" s="52">
        <v>1</v>
      </c>
    </row>
    <row r="867" spans="1:2" x14ac:dyDescent="0.35">
      <c r="A867" s="15">
        <v>1146698</v>
      </c>
      <c r="B867" s="52">
        <v>1</v>
      </c>
    </row>
    <row r="868" spans="1:2" x14ac:dyDescent="0.35">
      <c r="A868" s="15">
        <v>1146699</v>
      </c>
      <c r="B868" s="52">
        <v>1</v>
      </c>
    </row>
    <row r="869" spans="1:2" x14ac:dyDescent="0.35">
      <c r="A869" s="15">
        <v>1146703</v>
      </c>
      <c r="B869" s="52">
        <v>1</v>
      </c>
    </row>
    <row r="870" spans="1:2" x14ac:dyDescent="0.35">
      <c r="A870" s="15">
        <v>1146707</v>
      </c>
      <c r="B870" s="52">
        <v>1</v>
      </c>
    </row>
    <row r="871" spans="1:2" x14ac:dyDescent="0.35">
      <c r="A871" s="15">
        <v>1146712</v>
      </c>
      <c r="B871" s="52">
        <v>1</v>
      </c>
    </row>
    <row r="872" spans="1:2" x14ac:dyDescent="0.35">
      <c r="A872" s="15">
        <v>1146714</v>
      </c>
      <c r="B872" s="52">
        <v>1</v>
      </c>
    </row>
    <row r="873" spans="1:2" x14ac:dyDescent="0.35">
      <c r="A873" s="15">
        <v>1146715</v>
      </c>
      <c r="B873" s="52">
        <v>1</v>
      </c>
    </row>
    <row r="874" spans="1:2" x14ac:dyDescent="0.35">
      <c r="A874" s="15">
        <v>1146717</v>
      </c>
      <c r="B874" s="52">
        <v>1</v>
      </c>
    </row>
    <row r="875" spans="1:2" x14ac:dyDescent="0.35">
      <c r="A875" s="15">
        <v>1146722</v>
      </c>
      <c r="B875" s="52">
        <v>1</v>
      </c>
    </row>
    <row r="876" spans="1:2" x14ac:dyDescent="0.35">
      <c r="A876" s="15">
        <v>1146724</v>
      </c>
      <c r="B876" s="52">
        <v>1</v>
      </c>
    </row>
    <row r="877" spans="1:2" x14ac:dyDescent="0.35">
      <c r="A877" s="15">
        <v>1146725</v>
      </c>
      <c r="B877" s="52">
        <v>1</v>
      </c>
    </row>
    <row r="878" spans="1:2" x14ac:dyDescent="0.35">
      <c r="A878" s="15">
        <v>1146728</v>
      </c>
      <c r="B878" s="52">
        <v>1</v>
      </c>
    </row>
    <row r="879" spans="1:2" x14ac:dyDescent="0.35">
      <c r="A879" s="15">
        <v>1146735</v>
      </c>
      <c r="B879" s="52">
        <v>1</v>
      </c>
    </row>
    <row r="880" spans="1:2" x14ac:dyDescent="0.35">
      <c r="A880" s="15">
        <v>1146740</v>
      </c>
      <c r="B880" s="52">
        <v>1</v>
      </c>
    </row>
    <row r="881" spans="1:2" x14ac:dyDescent="0.35">
      <c r="A881" s="15">
        <v>1146743</v>
      </c>
      <c r="B881" s="52">
        <v>1</v>
      </c>
    </row>
    <row r="882" spans="1:2" x14ac:dyDescent="0.35">
      <c r="A882" s="15">
        <v>1146751</v>
      </c>
      <c r="B882" s="52">
        <v>1</v>
      </c>
    </row>
    <row r="883" spans="1:2" x14ac:dyDescent="0.35">
      <c r="A883" s="15">
        <v>1146759</v>
      </c>
      <c r="B883" s="52">
        <v>1</v>
      </c>
    </row>
    <row r="884" spans="1:2" x14ac:dyDescent="0.35">
      <c r="A884" s="15">
        <v>1146762</v>
      </c>
      <c r="B884" s="52">
        <v>1</v>
      </c>
    </row>
    <row r="885" spans="1:2" x14ac:dyDescent="0.35">
      <c r="A885" s="15">
        <v>1146763</v>
      </c>
      <c r="B885" s="52">
        <v>1</v>
      </c>
    </row>
    <row r="886" spans="1:2" x14ac:dyDescent="0.35">
      <c r="A886" s="15">
        <v>1146764</v>
      </c>
      <c r="B886" s="52">
        <v>1</v>
      </c>
    </row>
    <row r="887" spans="1:2" x14ac:dyDescent="0.35">
      <c r="A887" s="15">
        <v>1146767</v>
      </c>
      <c r="B887" s="52">
        <v>1</v>
      </c>
    </row>
    <row r="888" spans="1:2" x14ac:dyDescent="0.35">
      <c r="A888" s="15">
        <v>1146768</v>
      </c>
      <c r="B888" s="52">
        <v>1</v>
      </c>
    </row>
    <row r="889" spans="1:2" x14ac:dyDescent="0.35">
      <c r="A889" s="15">
        <v>1146774</v>
      </c>
      <c r="B889" s="52">
        <v>1</v>
      </c>
    </row>
    <row r="890" spans="1:2" x14ac:dyDescent="0.35">
      <c r="A890" s="15">
        <v>1146775</v>
      </c>
      <c r="B890" s="52">
        <v>1</v>
      </c>
    </row>
    <row r="891" spans="1:2" x14ac:dyDescent="0.35">
      <c r="A891" s="15">
        <v>1146787</v>
      </c>
      <c r="B891" s="52">
        <v>1</v>
      </c>
    </row>
    <row r="892" spans="1:2" x14ac:dyDescent="0.35">
      <c r="A892" s="15">
        <v>1146800</v>
      </c>
      <c r="B892" s="52">
        <v>1</v>
      </c>
    </row>
    <row r="893" spans="1:2" x14ac:dyDescent="0.35">
      <c r="A893" s="15">
        <v>1146809</v>
      </c>
      <c r="B893" s="52">
        <v>1</v>
      </c>
    </row>
    <row r="894" spans="1:2" x14ac:dyDescent="0.35">
      <c r="A894" s="15">
        <v>1146818</v>
      </c>
      <c r="B894" s="52">
        <v>1</v>
      </c>
    </row>
    <row r="895" spans="1:2" x14ac:dyDescent="0.35">
      <c r="A895" s="15">
        <v>1146829</v>
      </c>
      <c r="B895" s="52">
        <v>1</v>
      </c>
    </row>
    <row r="896" spans="1:2" x14ac:dyDescent="0.35">
      <c r="A896" s="15">
        <v>1146847</v>
      </c>
      <c r="B896" s="52">
        <v>1</v>
      </c>
    </row>
    <row r="897" spans="1:2" x14ac:dyDescent="0.35">
      <c r="A897" s="15">
        <v>1146852</v>
      </c>
      <c r="B897" s="52">
        <v>1</v>
      </c>
    </row>
    <row r="898" spans="1:2" x14ac:dyDescent="0.35">
      <c r="A898" s="15">
        <v>1146866</v>
      </c>
      <c r="B898" s="52">
        <v>1</v>
      </c>
    </row>
    <row r="899" spans="1:2" x14ac:dyDescent="0.35">
      <c r="A899" s="15">
        <v>1146883</v>
      </c>
      <c r="B899" s="52">
        <v>1</v>
      </c>
    </row>
    <row r="900" spans="1:2" x14ac:dyDescent="0.35">
      <c r="A900" s="15">
        <v>1146901</v>
      </c>
      <c r="B900" s="52">
        <v>1</v>
      </c>
    </row>
    <row r="901" spans="1:2" x14ac:dyDescent="0.35">
      <c r="A901" s="15">
        <v>1146909</v>
      </c>
      <c r="B901" s="52">
        <v>1</v>
      </c>
    </row>
    <row r="902" spans="1:2" x14ac:dyDescent="0.35">
      <c r="A902" s="15">
        <v>1146912</v>
      </c>
      <c r="B902" s="52">
        <v>1</v>
      </c>
    </row>
    <row r="903" spans="1:2" x14ac:dyDescent="0.35">
      <c r="A903" s="15">
        <v>1146913</v>
      </c>
      <c r="B903" s="52">
        <v>1</v>
      </c>
    </row>
    <row r="904" spans="1:2" x14ac:dyDescent="0.35">
      <c r="A904" s="15">
        <v>1146914</v>
      </c>
      <c r="B904" s="52">
        <v>1</v>
      </c>
    </row>
    <row r="905" spans="1:2" x14ac:dyDescent="0.35">
      <c r="A905" s="15">
        <v>1146915</v>
      </c>
      <c r="B905" s="52">
        <v>1</v>
      </c>
    </row>
    <row r="906" spans="1:2" x14ac:dyDescent="0.35">
      <c r="A906" s="15">
        <v>1146916</v>
      </c>
      <c r="B906" s="52">
        <v>1</v>
      </c>
    </row>
    <row r="907" spans="1:2" x14ac:dyDescent="0.35">
      <c r="A907" s="15">
        <v>1146917</v>
      </c>
      <c r="B907" s="52">
        <v>1</v>
      </c>
    </row>
    <row r="908" spans="1:2" x14ac:dyDescent="0.35">
      <c r="A908" s="15">
        <v>1146918</v>
      </c>
      <c r="B908" s="52">
        <v>1</v>
      </c>
    </row>
    <row r="909" spans="1:2" x14ac:dyDescent="0.35">
      <c r="A909" s="15">
        <v>1146919</v>
      </c>
      <c r="B909" s="52">
        <v>1</v>
      </c>
    </row>
    <row r="910" spans="1:2" x14ac:dyDescent="0.35">
      <c r="A910" s="15">
        <v>1146922</v>
      </c>
      <c r="B910" s="52">
        <v>1</v>
      </c>
    </row>
    <row r="911" spans="1:2" x14ac:dyDescent="0.35">
      <c r="A911" s="15">
        <v>1146925</v>
      </c>
      <c r="B911" s="52">
        <v>1</v>
      </c>
    </row>
    <row r="912" spans="1:2" x14ac:dyDescent="0.35">
      <c r="A912" s="15">
        <v>1146926</v>
      </c>
      <c r="B912" s="52">
        <v>1</v>
      </c>
    </row>
    <row r="913" spans="1:2" x14ac:dyDescent="0.35">
      <c r="A913" s="15">
        <v>1146928</v>
      </c>
      <c r="B913" s="52">
        <v>1</v>
      </c>
    </row>
    <row r="914" spans="1:2" x14ac:dyDescent="0.35">
      <c r="A914" s="15">
        <v>1146930</v>
      </c>
      <c r="B914" s="52">
        <v>1</v>
      </c>
    </row>
    <row r="915" spans="1:2" x14ac:dyDescent="0.35">
      <c r="A915" s="15">
        <v>1146931</v>
      </c>
      <c r="B915" s="52">
        <v>1</v>
      </c>
    </row>
    <row r="916" spans="1:2" x14ac:dyDescent="0.35">
      <c r="A916" s="15">
        <v>1146940</v>
      </c>
      <c r="B916" s="52">
        <v>1</v>
      </c>
    </row>
    <row r="917" spans="1:2" x14ac:dyDescent="0.35">
      <c r="A917" s="15">
        <v>1146941</v>
      </c>
      <c r="B917" s="52">
        <v>1</v>
      </c>
    </row>
    <row r="918" spans="1:2" x14ac:dyDescent="0.35">
      <c r="A918" s="15">
        <v>1146953</v>
      </c>
      <c r="B918" s="52">
        <v>1</v>
      </c>
    </row>
    <row r="919" spans="1:2" x14ac:dyDescent="0.35">
      <c r="A919" s="15">
        <v>1146956</v>
      </c>
      <c r="B919" s="52">
        <v>1</v>
      </c>
    </row>
    <row r="920" spans="1:2" x14ac:dyDescent="0.35">
      <c r="A920" s="15">
        <v>1146957</v>
      </c>
      <c r="B920" s="52">
        <v>1</v>
      </c>
    </row>
    <row r="921" spans="1:2" x14ac:dyDescent="0.35">
      <c r="A921" s="15">
        <v>1146959</v>
      </c>
      <c r="B921" s="52">
        <v>1</v>
      </c>
    </row>
    <row r="922" spans="1:2" x14ac:dyDescent="0.35">
      <c r="A922" s="15">
        <v>1146961</v>
      </c>
      <c r="B922" s="52">
        <v>1</v>
      </c>
    </row>
    <row r="923" spans="1:2" x14ac:dyDescent="0.35">
      <c r="A923" s="15">
        <v>1146962</v>
      </c>
      <c r="B923" s="52">
        <v>1</v>
      </c>
    </row>
    <row r="924" spans="1:2" x14ac:dyDescent="0.35">
      <c r="A924" s="15">
        <v>1146963</v>
      </c>
      <c r="B924" s="52">
        <v>1</v>
      </c>
    </row>
    <row r="925" spans="1:2" x14ac:dyDescent="0.35">
      <c r="A925" s="15">
        <v>1146978</v>
      </c>
      <c r="B925" s="52">
        <v>1</v>
      </c>
    </row>
    <row r="926" spans="1:2" x14ac:dyDescent="0.35">
      <c r="A926" s="15">
        <v>1146980</v>
      </c>
      <c r="B926" s="52">
        <v>1</v>
      </c>
    </row>
    <row r="927" spans="1:2" x14ac:dyDescent="0.35">
      <c r="A927" s="15">
        <v>1146982</v>
      </c>
      <c r="B927" s="52">
        <v>1</v>
      </c>
    </row>
    <row r="928" spans="1:2" x14ac:dyDescent="0.35">
      <c r="A928" s="15">
        <v>1146985</v>
      </c>
      <c r="B928" s="52">
        <v>1</v>
      </c>
    </row>
    <row r="929" spans="1:2" x14ac:dyDescent="0.35">
      <c r="A929" s="15">
        <v>1146990</v>
      </c>
      <c r="B929" s="52">
        <v>1</v>
      </c>
    </row>
    <row r="930" spans="1:2" x14ac:dyDescent="0.35">
      <c r="A930" s="15">
        <v>1146991</v>
      </c>
      <c r="B930" s="52">
        <v>1</v>
      </c>
    </row>
    <row r="931" spans="1:2" x14ac:dyDescent="0.35">
      <c r="A931" s="15">
        <v>1146992</v>
      </c>
      <c r="B931" s="52">
        <v>1</v>
      </c>
    </row>
    <row r="932" spans="1:2" x14ac:dyDescent="0.35">
      <c r="A932" s="15">
        <v>1146997</v>
      </c>
      <c r="B932" s="52">
        <v>1</v>
      </c>
    </row>
    <row r="933" spans="1:2" x14ac:dyDescent="0.35">
      <c r="A933" s="15">
        <v>1147004</v>
      </c>
      <c r="B933" s="52">
        <v>1</v>
      </c>
    </row>
    <row r="934" spans="1:2" x14ac:dyDescent="0.35">
      <c r="A934" s="15">
        <v>1147005</v>
      </c>
      <c r="B934" s="52">
        <v>1</v>
      </c>
    </row>
    <row r="935" spans="1:2" x14ac:dyDescent="0.35">
      <c r="A935" s="15">
        <v>1147006</v>
      </c>
      <c r="B935" s="52">
        <v>1</v>
      </c>
    </row>
    <row r="936" spans="1:2" x14ac:dyDescent="0.35">
      <c r="A936" s="15">
        <v>1147007</v>
      </c>
      <c r="B936" s="52">
        <v>1</v>
      </c>
    </row>
    <row r="937" spans="1:2" x14ac:dyDescent="0.35">
      <c r="A937" s="15">
        <v>1147008</v>
      </c>
      <c r="B937" s="52">
        <v>1</v>
      </c>
    </row>
    <row r="938" spans="1:2" x14ac:dyDescent="0.35">
      <c r="A938" s="15">
        <v>1147009</v>
      </c>
      <c r="B938" s="52">
        <v>1</v>
      </c>
    </row>
    <row r="939" spans="1:2" x14ac:dyDescent="0.35">
      <c r="A939" s="15">
        <v>1147012</v>
      </c>
      <c r="B939" s="52">
        <v>1</v>
      </c>
    </row>
    <row r="940" spans="1:2" x14ac:dyDescent="0.35">
      <c r="A940" s="15">
        <v>1147013</v>
      </c>
      <c r="B940" s="52">
        <v>1</v>
      </c>
    </row>
    <row r="941" spans="1:2" x14ac:dyDescent="0.35">
      <c r="A941" s="15">
        <v>1147014</v>
      </c>
      <c r="B941" s="52">
        <v>1</v>
      </c>
    </row>
    <row r="942" spans="1:2" x14ac:dyDescent="0.35">
      <c r="A942" s="15">
        <v>1147015</v>
      </c>
      <c r="B942" s="52">
        <v>1</v>
      </c>
    </row>
    <row r="943" spans="1:2" x14ac:dyDescent="0.35">
      <c r="A943" s="15">
        <v>1147016</v>
      </c>
      <c r="B943" s="52">
        <v>1</v>
      </c>
    </row>
    <row r="944" spans="1:2" x14ac:dyDescent="0.35">
      <c r="A944" s="15">
        <v>1147017</v>
      </c>
      <c r="B944" s="52">
        <v>1</v>
      </c>
    </row>
    <row r="945" spans="1:2" x14ac:dyDescent="0.35">
      <c r="A945" s="15">
        <v>1147020</v>
      </c>
      <c r="B945" s="52">
        <v>1</v>
      </c>
    </row>
    <row r="946" spans="1:2" x14ac:dyDescent="0.35">
      <c r="A946" s="15">
        <v>1147021</v>
      </c>
      <c r="B946" s="52">
        <v>1</v>
      </c>
    </row>
    <row r="947" spans="1:2" x14ac:dyDescent="0.35">
      <c r="A947" s="15">
        <v>1147022</v>
      </c>
      <c r="B947" s="52">
        <v>1</v>
      </c>
    </row>
    <row r="948" spans="1:2" x14ac:dyDescent="0.35">
      <c r="A948" s="15">
        <v>1147023</v>
      </c>
      <c r="B948" s="52">
        <v>1</v>
      </c>
    </row>
    <row r="949" spans="1:2" x14ac:dyDescent="0.35">
      <c r="A949" s="15">
        <v>1147024</v>
      </c>
      <c r="B949" s="52">
        <v>1</v>
      </c>
    </row>
    <row r="950" spans="1:2" x14ac:dyDescent="0.35">
      <c r="A950" s="15">
        <v>1147025</v>
      </c>
      <c r="B950" s="52">
        <v>1</v>
      </c>
    </row>
    <row r="951" spans="1:2" x14ac:dyDescent="0.35">
      <c r="A951" s="15">
        <v>1147026</v>
      </c>
      <c r="B951" s="52">
        <v>1</v>
      </c>
    </row>
    <row r="952" spans="1:2" x14ac:dyDescent="0.35">
      <c r="A952" s="15">
        <v>1147028</v>
      </c>
      <c r="B952" s="52">
        <v>1</v>
      </c>
    </row>
    <row r="953" spans="1:2" x14ac:dyDescent="0.35">
      <c r="A953" s="15">
        <v>1147030</v>
      </c>
      <c r="B953" s="52">
        <v>1</v>
      </c>
    </row>
    <row r="954" spans="1:2" x14ac:dyDescent="0.35">
      <c r="A954" s="15">
        <v>1147031</v>
      </c>
      <c r="B954" s="52">
        <v>1</v>
      </c>
    </row>
    <row r="955" spans="1:2" x14ac:dyDescent="0.35">
      <c r="A955" s="15">
        <v>1147032</v>
      </c>
      <c r="B955" s="52">
        <v>1</v>
      </c>
    </row>
    <row r="956" spans="1:2" x14ac:dyDescent="0.35">
      <c r="A956" s="15">
        <v>1147033</v>
      </c>
      <c r="B956" s="52">
        <v>1</v>
      </c>
    </row>
    <row r="957" spans="1:2" x14ac:dyDescent="0.35">
      <c r="A957" s="15">
        <v>1147034</v>
      </c>
      <c r="B957" s="52">
        <v>1</v>
      </c>
    </row>
    <row r="958" spans="1:2" x14ac:dyDescent="0.35">
      <c r="A958" s="15">
        <v>1147042</v>
      </c>
      <c r="B958" s="52">
        <v>1</v>
      </c>
    </row>
    <row r="959" spans="1:2" x14ac:dyDescent="0.35">
      <c r="A959" s="15">
        <v>1147044</v>
      </c>
      <c r="B959" s="52">
        <v>1</v>
      </c>
    </row>
    <row r="960" spans="1:2" x14ac:dyDescent="0.35">
      <c r="A960" s="15">
        <v>1147045</v>
      </c>
      <c r="B960" s="52">
        <v>1</v>
      </c>
    </row>
    <row r="961" spans="1:2" x14ac:dyDescent="0.35">
      <c r="A961" s="15">
        <v>1147048</v>
      </c>
      <c r="B961" s="52">
        <v>1</v>
      </c>
    </row>
    <row r="962" spans="1:2" x14ac:dyDescent="0.35">
      <c r="A962" s="15">
        <v>1147049</v>
      </c>
      <c r="B962" s="52">
        <v>1</v>
      </c>
    </row>
    <row r="963" spans="1:2" x14ac:dyDescent="0.35">
      <c r="A963" s="15">
        <v>1147051</v>
      </c>
      <c r="B963" s="52">
        <v>1</v>
      </c>
    </row>
    <row r="964" spans="1:2" x14ac:dyDescent="0.35">
      <c r="A964" s="15">
        <v>1147055</v>
      </c>
      <c r="B964" s="52">
        <v>1</v>
      </c>
    </row>
    <row r="965" spans="1:2" x14ac:dyDescent="0.35">
      <c r="A965" s="15">
        <v>1147056</v>
      </c>
      <c r="B965" s="52">
        <v>1</v>
      </c>
    </row>
    <row r="966" spans="1:2" x14ac:dyDescent="0.35">
      <c r="A966" s="15">
        <v>1147058</v>
      </c>
      <c r="B966" s="52">
        <v>1</v>
      </c>
    </row>
    <row r="967" spans="1:2" x14ac:dyDescent="0.35">
      <c r="A967" s="15">
        <v>1147059</v>
      </c>
      <c r="B967" s="52">
        <v>1</v>
      </c>
    </row>
    <row r="968" spans="1:2" x14ac:dyDescent="0.35">
      <c r="A968" s="15">
        <v>1147064</v>
      </c>
      <c r="B968" s="52">
        <v>1</v>
      </c>
    </row>
    <row r="969" spans="1:2" x14ac:dyDescent="0.35">
      <c r="A969" s="15">
        <v>1147067</v>
      </c>
      <c r="B969" s="52">
        <v>1</v>
      </c>
    </row>
    <row r="970" spans="1:2" x14ac:dyDescent="0.35">
      <c r="A970" s="15">
        <v>1147072</v>
      </c>
      <c r="B970" s="52">
        <v>1</v>
      </c>
    </row>
    <row r="971" spans="1:2" x14ac:dyDescent="0.35">
      <c r="A971" s="15">
        <v>1147073</v>
      </c>
      <c r="B971" s="52">
        <v>1</v>
      </c>
    </row>
    <row r="972" spans="1:2" x14ac:dyDescent="0.35">
      <c r="A972" s="15">
        <v>1147074</v>
      </c>
      <c r="B972" s="52">
        <v>1</v>
      </c>
    </row>
    <row r="973" spans="1:2" x14ac:dyDescent="0.35">
      <c r="A973" s="15">
        <v>1147075</v>
      </c>
      <c r="B973" s="52">
        <v>1</v>
      </c>
    </row>
    <row r="974" spans="1:2" x14ac:dyDescent="0.35">
      <c r="A974" s="15">
        <v>1147083</v>
      </c>
      <c r="B974" s="52">
        <v>1</v>
      </c>
    </row>
    <row r="975" spans="1:2" x14ac:dyDescent="0.35">
      <c r="A975" s="15">
        <v>1147086</v>
      </c>
      <c r="B975" s="52">
        <v>1</v>
      </c>
    </row>
    <row r="976" spans="1:2" x14ac:dyDescent="0.35">
      <c r="A976" s="15">
        <v>1147091</v>
      </c>
      <c r="B976" s="52">
        <v>1</v>
      </c>
    </row>
    <row r="977" spans="1:2" x14ac:dyDescent="0.35">
      <c r="A977" s="15">
        <v>1147092</v>
      </c>
      <c r="B977" s="52">
        <v>1</v>
      </c>
    </row>
    <row r="978" spans="1:2" x14ac:dyDescent="0.35">
      <c r="A978" s="15">
        <v>1147093</v>
      </c>
      <c r="B978" s="52">
        <v>1</v>
      </c>
    </row>
    <row r="979" spans="1:2" x14ac:dyDescent="0.35">
      <c r="A979" s="15">
        <v>1147098</v>
      </c>
      <c r="B979" s="52">
        <v>1</v>
      </c>
    </row>
    <row r="980" spans="1:2" x14ac:dyDescent="0.35">
      <c r="A980" s="15">
        <v>1147100</v>
      </c>
      <c r="B980" s="52">
        <v>1</v>
      </c>
    </row>
    <row r="981" spans="1:2" x14ac:dyDescent="0.35">
      <c r="A981" s="15">
        <v>1147104</v>
      </c>
      <c r="B981" s="52">
        <v>1</v>
      </c>
    </row>
    <row r="982" spans="1:2" x14ac:dyDescent="0.35">
      <c r="A982" s="15">
        <v>1147106</v>
      </c>
      <c r="B982" s="52">
        <v>1</v>
      </c>
    </row>
    <row r="983" spans="1:2" x14ac:dyDescent="0.35">
      <c r="A983" s="15">
        <v>1147113</v>
      </c>
      <c r="B983" s="52">
        <v>1</v>
      </c>
    </row>
    <row r="984" spans="1:2" x14ac:dyDescent="0.35">
      <c r="A984" s="15">
        <v>1147121</v>
      </c>
      <c r="B984" s="52">
        <v>1</v>
      </c>
    </row>
    <row r="985" spans="1:2" x14ac:dyDescent="0.35">
      <c r="A985" s="15">
        <v>1147122</v>
      </c>
      <c r="B985" s="52">
        <v>1</v>
      </c>
    </row>
    <row r="986" spans="1:2" x14ac:dyDescent="0.35">
      <c r="A986" s="15">
        <v>1149002</v>
      </c>
      <c r="B986" s="52">
        <v>1</v>
      </c>
    </row>
    <row r="987" spans="1:2" x14ac:dyDescent="0.35">
      <c r="A987" s="15">
        <v>1149020</v>
      </c>
      <c r="B987" s="52">
        <v>1</v>
      </c>
    </row>
    <row r="988" spans="1:2" x14ac:dyDescent="0.35">
      <c r="A988" s="15">
        <v>1149021</v>
      </c>
      <c r="B988" s="52">
        <v>1</v>
      </c>
    </row>
    <row r="989" spans="1:2" x14ac:dyDescent="0.35">
      <c r="A989" s="15">
        <v>1149042</v>
      </c>
      <c r="B989" s="52">
        <v>1</v>
      </c>
    </row>
    <row r="990" spans="1:2" x14ac:dyDescent="0.35">
      <c r="A990" s="15">
        <v>1149043</v>
      </c>
      <c r="B990" s="52">
        <v>1</v>
      </c>
    </row>
    <row r="991" spans="1:2" x14ac:dyDescent="0.35">
      <c r="A991" s="15">
        <v>1149070</v>
      </c>
      <c r="B991" s="52">
        <v>1</v>
      </c>
    </row>
    <row r="992" spans="1:2" x14ac:dyDescent="0.35">
      <c r="A992" s="15">
        <v>1149074</v>
      </c>
      <c r="B992" s="52">
        <v>1</v>
      </c>
    </row>
    <row r="993" spans="1:2" x14ac:dyDescent="0.35">
      <c r="A993" s="15">
        <v>1149078</v>
      </c>
      <c r="B993" s="52">
        <v>1</v>
      </c>
    </row>
    <row r="994" spans="1:2" x14ac:dyDescent="0.35">
      <c r="A994" s="15">
        <v>1150001</v>
      </c>
      <c r="B994" s="52">
        <v>1</v>
      </c>
    </row>
    <row r="995" spans="1:2" x14ac:dyDescent="0.35">
      <c r="A995" s="15">
        <v>1150002</v>
      </c>
      <c r="B995" s="52">
        <v>1</v>
      </c>
    </row>
    <row r="996" spans="1:2" x14ac:dyDescent="0.35">
      <c r="A996" s="15">
        <v>1150003</v>
      </c>
      <c r="B996" s="52">
        <v>1</v>
      </c>
    </row>
    <row r="997" spans="1:2" x14ac:dyDescent="0.35">
      <c r="A997" s="15">
        <v>1150007</v>
      </c>
      <c r="B997" s="52">
        <v>1</v>
      </c>
    </row>
    <row r="998" spans="1:2" x14ac:dyDescent="0.35">
      <c r="A998" s="15">
        <v>1150008</v>
      </c>
      <c r="B998" s="52">
        <v>1</v>
      </c>
    </row>
    <row r="999" spans="1:2" x14ac:dyDescent="0.35">
      <c r="A999" s="15">
        <v>1150009</v>
      </c>
      <c r="B999" s="52">
        <v>1</v>
      </c>
    </row>
    <row r="1000" spans="1:2" x14ac:dyDescent="0.35">
      <c r="A1000" s="15">
        <v>1150010</v>
      </c>
      <c r="B1000" s="52">
        <v>1</v>
      </c>
    </row>
    <row r="1001" spans="1:2" x14ac:dyDescent="0.35">
      <c r="A1001" s="15">
        <v>1150011</v>
      </c>
      <c r="B1001" s="52">
        <v>1</v>
      </c>
    </row>
    <row r="1002" spans="1:2" x14ac:dyDescent="0.35">
      <c r="A1002" s="15">
        <v>1150012</v>
      </c>
      <c r="B1002" s="52">
        <v>1</v>
      </c>
    </row>
    <row r="1003" spans="1:2" x14ac:dyDescent="0.35">
      <c r="A1003" s="15">
        <v>1150013</v>
      </c>
      <c r="B1003" s="52">
        <v>1</v>
      </c>
    </row>
    <row r="1004" spans="1:2" x14ac:dyDescent="0.35">
      <c r="A1004" s="15">
        <v>1150016</v>
      </c>
      <c r="B1004" s="52">
        <v>1</v>
      </c>
    </row>
    <row r="1005" spans="1:2" x14ac:dyDescent="0.35">
      <c r="A1005" s="15">
        <v>1150017</v>
      </c>
      <c r="B1005" s="52">
        <v>1</v>
      </c>
    </row>
    <row r="1006" spans="1:2" x14ac:dyDescent="0.35">
      <c r="A1006" s="15">
        <v>1150019</v>
      </c>
      <c r="B1006" s="52">
        <v>1</v>
      </c>
    </row>
    <row r="1007" spans="1:2" x14ac:dyDescent="0.35">
      <c r="A1007" s="15">
        <v>1151001</v>
      </c>
      <c r="B1007" s="52">
        <v>1</v>
      </c>
    </row>
    <row r="1008" spans="1:2" x14ac:dyDescent="0.35">
      <c r="A1008" s="15">
        <v>1151002</v>
      </c>
      <c r="B1008" s="52">
        <v>1</v>
      </c>
    </row>
    <row r="1009" spans="1:2" x14ac:dyDescent="0.35">
      <c r="A1009" s="15">
        <v>1151004</v>
      </c>
      <c r="B1009" s="52">
        <v>1</v>
      </c>
    </row>
    <row r="1010" spans="1:2" x14ac:dyDescent="0.35">
      <c r="A1010" s="15">
        <v>1151006</v>
      </c>
      <c r="B1010" s="52">
        <v>1</v>
      </c>
    </row>
    <row r="1011" spans="1:2" x14ac:dyDescent="0.35">
      <c r="A1011" s="15">
        <v>1151010</v>
      </c>
      <c r="B1011" s="52">
        <v>1</v>
      </c>
    </row>
    <row r="1012" spans="1:2" x14ac:dyDescent="0.35">
      <c r="A1012" s="15">
        <v>1151016</v>
      </c>
      <c r="B1012" s="52">
        <v>1</v>
      </c>
    </row>
    <row r="1013" spans="1:2" x14ac:dyDescent="0.35">
      <c r="A1013" s="15">
        <v>1151020</v>
      </c>
      <c r="B1013" s="52">
        <v>1</v>
      </c>
    </row>
    <row r="1014" spans="1:2" x14ac:dyDescent="0.35">
      <c r="A1014" s="15">
        <v>1151023</v>
      </c>
      <c r="B1014" s="52">
        <v>1</v>
      </c>
    </row>
    <row r="1015" spans="1:2" x14ac:dyDescent="0.35">
      <c r="A1015" s="15">
        <v>1151031</v>
      </c>
      <c r="B1015" s="52">
        <v>1</v>
      </c>
    </row>
    <row r="1016" spans="1:2" x14ac:dyDescent="0.35">
      <c r="A1016" s="15">
        <v>1151035</v>
      </c>
      <c r="B1016" s="52">
        <v>1</v>
      </c>
    </row>
    <row r="1017" spans="1:2" x14ac:dyDescent="0.35">
      <c r="A1017" s="15">
        <v>1151037</v>
      </c>
      <c r="B1017" s="52">
        <v>1</v>
      </c>
    </row>
    <row r="1018" spans="1:2" x14ac:dyDescent="0.35">
      <c r="A1018" s="15">
        <v>1151038</v>
      </c>
      <c r="B1018" s="52">
        <v>1</v>
      </c>
    </row>
    <row r="1019" spans="1:2" x14ac:dyDescent="0.35">
      <c r="A1019" s="15">
        <v>1151039</v>
      </c>
      <c r="B1019" s="52">
        <v>1</v>
      </c>
    </row>
    <row r="1020" spans="1:2" x14ac:dyDescent="0.35">
      <c r="A1020" s="15">
        <v>1151040</v>
      </c>
      <c r="B1020" s="52">
        <v>1</v>
      </c>
    </row>
    <row r="1021" spans="1:2" x14ac:dyDescent="0.35">
      <c r="A1021" s="15">
        <v>1151042</v>
      </c>
      <c r="B1021" s="52">
        <v>1</v>
      </c>
    </row>
    <row r="1022" spans="1:2" x14ac:dyDescent="0.35">
      <c r="A1022" s="15">
        <v>1151052</v>
      </c>
      <c r="B1022" s="52">
        <v>1</v>
      </c>
    </row>
    <row r="1023" spans="1:2" x14ac:dyDescent="0.35">
      <c r="A1023" s="15">
        <v>1152003</v>
      </c>
      <c r="B1023" s="52">
        <v>1</v>
      </c>
    </row>
    <row r="1024" spans="1:2" x14ac:dyDescent="0.35">
      <c r="A1024" s="15">
        <v>1152137</v>
      </c>
      <c r="B1024" s="52">
        <v>1</v>
      </c>
    </row>
    <row r="1025" spans="1:2" x14ac:dyDescent="0.35">
      <c r="A1025" s="15">
        <v>1152163</v>
      </c>
      <c r="B1025" s="52">
        <v>1</v>
      </c>
    </row>
    <row r="1026" spans="1:2" x14ac:dyDescent="0.35">
      <c r="A1026" s="15">
        <v>1152170</v>
      </c>
      <c r="B1026" s="52">
        <v>1</v>
      </c>
    </row>
    <row r="1027" spans="1:2" x14ac:dyDescent="0.35">
      <c r="A1027" s="15">
        <v>1152173</v>
      </c>
      <c r="B1027" s="52">
        <v>1</v>
      </c>
    </row>
    <row r="1028" spans="1:2" x14ac:dyDescent="0.35">
      <c r="A1028" s="15">
        <v>1152193</v>
      </c>
      <c r="B1028" s="52">
        <v>1</v>
      </c>
    </row>
    <row r="1029" spans="1:2" x14ac:dyDescent="0.35">
      <c r="A1029" s="15">
        <v>1152196</v>
      </c>
      <c r="B1029" s="52">
        <v>1</v>
      </c>
    </row>
    <row r="1030" spans="1:2" x14ac:dyDescent="0.35">
      <c r="A1030" s="15">
        <v>1152229</v>
      </c>
      <c r="B1030" s="52">
        <v>1</v>
      </c>
    </row>
    <row r="1031" spans="1:2" x14ac:dyDescent="0.35">
      <c r="A1031" s="15">
        <v>1152252</v>
      </c>
      <c r="B1031" s="52">
        <v>1</v>
      </c>
    </row>
    <row r="1032" spans="1:2" x14ac:dyDescent="0.35">
      <c r="A1032" s="15">
        <v>1155002</v>
      </c>
      <c r="B1032" s="52">
        <v>1</v>
      </c>
    </row>
    <row r="1033" spans="1:2" x14ac:dyDescent="0.35">
      <c r="A1033" s="15">
        <v>1155003</v>
      </c>
      <c r="B1033" s="52">
        <v>1</v>
      </c>
    </row>
    <row r="1034" spans="1:2" x14ac:dyDescent="0.35">
      <c r="A1034" s="15">
        <v>1155006</v>
      </c>
      <c r="B1034" s="52">
        <v>1</v>
      </c>
    </row>
    <row r="1035" spans="1:2" x14ac:dyDescent="0.35">
      <c r="A1035" s="15">
        <v>1155007</v>
      </c>
      <c r="B1035" s="52">
        <v>1</v>
      </c>
    </row>
    <row r="1036" spans="1:2" x14ac:dyDescent="0.35">
      <c r="A1036" s="15">
        <v>1155008</v>
      </c>
      <c r="B1036" s="52">
        <v>1</v>
      </c>
    </row>
    <row r="1037" spans="1:2" x14ac:dyDescent="0.35">
      <c r="A1037" s="15">
        <v>1155009</v>
      </c>
      <c r="B1037" s="52">
        <v>1</v>
      </c>
    </row>
    <row r="1038" spans="1:2" x14ac:dyDescent="0.35">
      <c r="A1038" s="15">
        <v>1155010</v>
      </c>
      <c r="B1038" s="52">
        <v>1</v>
      </c>
    </row>
    <row r="1039" spans="1:2" x14ac:dyDescent="0.35">
      <c r="A1039" s="15">
        <v>1155011</v>
      </c>
      <c r="B1039" s="52">
        <v>1</v>
      </c>
    </row>
    <row r="1040" spans="1:2" x14ac:dyDescent="0.35">
      <c r="A1040" s="15">
        <v>1155012</v>
      </c>
      <c r="B1040" s="52">
        <v>1</v>
      </c>
    </row>
    <row r="1041" spans="1:2" x14ac:dyDescent="0.35">
      <c r="A1041" s="15">
        <v>1155013</v>
      </c>
      <c r="B1041" s="52">
        <v>1</v>
      </c>
    </row>
    <row r="1042" spans="1:2" x14ac:dyDescent="0.35">
      <c r="A1042" s="15">
        <v>1155014</v>
      </c>
      <c r="B1042" s="52">
        <v>1</v>
      </c>
    </row>
    <row r="1043" spans="1:2" x14ac:dyDescent="0.35">
      <c r="A1043" s="15">
        <v>1155015</v>
      </c>
      <c r="B1043" s="52">
        <v>1</v>
      </c>
    </row>
    <row r="1044" spans="1:2" x14ac:dyDescent="0.35">
      <c r="A1044" s="15">
        <v>1155016</v>
      </c>
      <c r="B1044" s="52">
        <v>1</v>
      </c>
    </row>
    <row r="1045" spans="1:2" x14ac:dyDescent="0.35">
      <c r="A1045" s="15">
        <v>1155017</v>
      </c>
      <c r="B1045" s="52">
        <v>1</v>
      </c>
    </row>
    <row r="1046" spans="1:2" x14ac:dyDescent="0.35">
      <c r="A1046" s="15">
        <v>1155018</v>
      </c>
      <c r="B1046" s="52">
        <v>1</v>
      </c>
    </row>
    <row r="1047" spans="1:2" x14ac:dyDescent="0.35">
      <c r="A1047" s="15">
        <v>1155019</v>
      </c>
      <c r="B1047" s="52">
        <v>1</v>
      </c>
    </row>
    <row r="1048" spans="1:2" x14ac:dyDescent="0.35">
      <c r="A1048" s="15">
        <v>1155020</v>
      </c>
      <c r="B1048" s="52">
        <v>1</v>
      </c>
    </row>
    <row r="1049" spans="1:2" x14ac:dyDescent="0.35">
      <c r="A1049" s="15">
        <v>1155022</v>
      </c>
      <c r="B1049" s="52">
        <v>1</v>
      </c>
    </row>
    <row r="1050" spans="1:2" x14ac:dyDescent="0.35">
      <c r="A1050" s="15">
        <v>1155023</v>
      </c>
      <c r="B1050" s="52">
        <v>1</v>
      </c>
    </row>
    <row r="1051" spans="1:2" x14ac:dyDescent="0.35">
      <c r="A1051" s="15">
        <v>1155025</v>
      </c>
      <c r="B1051" s="52">
        <v>1</v>
      </c>
    </row>
    <row r="1052" spans="1:2" x14ac:dyDescent="0.35">
      <c r="A1052" s="15">
        <v>1155027</v>
      </c>
      <c r="B1052" s="52">
        <v>1</v>
      </c>
    </row>
    <row r="1053" spans="1:2" x14ac:dyDescent="0.35">
      <c r="A1053" s="15">
        <v>1155028</v>
      </c>
      <c r="B1053" s="52">
        <v>1</v>
      </c>
    </row>
    <row r="1054" spans="1:2" x14ac:dyDescent="0.35">
      <c r="A1054" s="15">
        <v>1155029</v>
      </c>
      <c r="B1054" s="52">
        <v>1</v>
      </c>
    </row>
    <row r="1055" spans="1:2" x14ac:dyDescent="0.35">
      <c r="A1055" s="15">
        <v>1155030</v>
      </c>
      <c r="B1055" s="52">
        <v>1</v>
      </c>
    </row>
    <row r="1056" spans="1:2" x14ac:dyDescent="0.35">
      <c r="A1056" s="15">
        <v>1155031</v>
      </c>
      <c r="B1056" s="52">
        <v>1</v>
      </c>
    </row>
    <row r="1057" spans="1:2" x14ac:dyDescent="0.35">
      <c r="A1057" s="15">
        <v>1155032</v>
      </c>
      <c r="B1057" s="52">
        <v>1</v>
      </c>
    </row>
    <row r="1058" spans="1:2" x14ac:dyDescent="0.35">
      <c r="A1058" s="15">
        <v>1155033</v>
      </c>
      <c r="B1058" s="52">
        <v>1</v>
      </c>
    </row>
    <row r="1059" spans="1:2" x14ac:dyDescent="0.35">
      <c r="A1059" s="15">
        <v>1155034</v>
      </c>
      <c r="B1059" s="52">
        <v>1</v>
      </c>
    </row>
    <row r="1060" spans="1:2" x14ac:dyDescent="0.35">
      <c r="A1060" s="15">
        <v>1155035</v>
      </c>
      <c r="B1060" s="52">
        <v>1</v>
      </c>
    </row>
    <row r="1061" spans="1:2" x14ac:dyDescent="0.35">
      <c r="A1061" s="15">
        <v>1155036</v>
      </c>
      <c r="B1061" s="52">
        <v>1</v>
      </c>
    </row>
    <row r="1062" spans="1:2" x14ac:dyDescent="0.35">
      <c r="A1062" s="15">
        <v>1155038</v>
      </c>
      <c r="B1062" s="52">
        <v>1</v>
      </c>
    </row>
    <row r="1063" spans="1:2" x14ac:dyDescent="0.35">
      <c r="A1063" s="15">
        <v>1155039</v>
      </c>
      <c r="B1063" s="52">
        <v>1</v>
      </c>
    </row>
    <row r="1064" spans="1:2" x14ac:dyDescent="0.35">
      <c r="A1064" s="15">
        <v>1155040</v>
      </c>
      <c r="B1064" s="52">
        <v>1</v>
      </c>
    </row>
    <row r="1065" spans="1:2" x14ac:dyDescent="0.35">
      <c r="A1065" s="15">
        <v>1155041</v>
      </c>
      <c r="B1065" s="52">
        <v>1</v>
      </c>
    </row>
    <row r="1066" spans="1:2" x14ac:dyDescent="0.35">
      <c r="A1066" s="15">
        <v>1155042</v>
      </c>
      <c r="B1066" s="52">
        <v>1</v>
      </c>
    </row>
    <row r="1067" spans="1:2" x14ac:dyDescent="0.35">
      <c r="A1067" s="15">
        <v>1155043</v>
      </c>
      <c r="B1067" s="52">
        <v>1</v>
      </c>
    </row>
    <row r="1068" spans="1:2" x14ac:dyDescent="0.35">
      <c r="A1068" s="15">
        <v>1155044</v>
      </c>
      <c r="B1068" s="52">
        <v>1</v>
      </c>
    </row>
    <row r="1069" spans="1:2" x14ac:dyDescent="0.35">
      <c r="A1069" s="15">
        <v>1155046</v>
      </c>
      <c r="B1069" s="52">
        <v>1</v>
      </c>
    </row>
    <row r="1070" spans="1:2" x14ac:dyDescent="0.35">
      <c r="A1070" s="15">
        <v>1155048</v>
      </c>
      <c r="B1070" s="52">
        <v>1</v>
      </c>
    </row>
    <row r="1071" spans="1:2" x14ac:dyDescent="0.35">
      <c r="A1071" s="15">
        <v>1155050</v>
      </c>
      <c r="B1071" s="52">
        <v>1</v>
      </c>
    </row>
    <row r="1072" spans="1:2" x14ac:dyDescent="0.35">
      <c r="A1072" s="15">
        <v>1155052</v>
      </c>
      <c r="B1072" s="52">
        <v>1</v>
      </c>
    </row>
    <row r="1073" spans="1:2" x14ac:dyDescent="0.35">
      <c r="A1073" s="15">
        <v>1155053</v>
      </c>
      <c r="B1073" s="52">
        <v>1</v>
      </c>
    </row>
    <row r="1074" spans="1:2" x14ac:dyDescent="0.35">
      <c r="A1074" s="15">
        <v>1155054</v>
      </c>
      <c r="B1074" s="52">
        <v>1</v>
      </c>
    </row>
    <row r="1075" spans="1:2" x14ac:dyDescent="0.35">
      <c r="A1075" s="15">
        <v>1155055</v>
      </c>
      <c r="B1075" s="52">
        <v>1</v>
      </c>
    </row>
    <row r="1076" spans="1:2" x14ac:dyDescent="0.35">
      <c r="A1076" s="15">
        <v>1155057</v>
      </c>
      <c r="B1076" s="52">
        <v>1</v>
      </c>
    </row>
    <row r="1077" spans="1:2" x14ac:dyDescent="0.35">
      <c r="A1077" s="15">
        <v>1155058</v>
      </c>
      <c r="B1077" s="52">
        <v>1</v>
      </c>
    </row>
    <row r="1078" spans="1:2" x14ac:dyDescent="0.35">
      <c r="A1078" s="15">
        <v>1155059</v>
      </c>
      <c r="B1078" s="52">
        <v>1</v>
      </c>
    </row>
    <row r="1079" spans="1:2" x14ac:dyDescent="0.35">
      <c r="A1079" s="15">
        <v>1155060</v>
      </c>
      <c r="B1079" s="52">
        <v>1</v>
      </c>
    </row>
    <row r="1080" spans="1:2" x14ac:dyDescent="0.35">
      <c r="A1080" s="15">
        <v>1155061</v>
      </c>
      <c r="B1080" s="52">
        <v>1</v>
      </c>
    </row>
    <row r="1081" spans="1:2" x14ac:dyDescent="0.35">
      <c r="A1081" s="15">
        <v>1155062</v>
      </c>
      <c r="B1081" s="52">
        <v>1</v>
      </c>
    </row>
    <row r="1082" spans="1:2" x14ac:dyDescent="0.35">
      <c r="A1082" s="15">
        <v>1155065</v>
      </c>
      <c r="B1082" s="52">
        <v>1</v>
      </c>
    </row>
    <row r="1083" spans="1:2" x14ac:dyDescent="0.35">
      <c r="A1083" s="15">
        <v>1155066</v>
      </c>
      <c r="B1083" s="52">
        <v>1</v>
      </c>
    </row>
    <row r="1084" spans="1:2" x14ac:dyDescent="0.35">
      <c r="A1084" s="15">
        <v>1155069</v>
      </c>
      <c r="B1084" s="52">
        <v>1</v>
      </c>
    </row>
    <row r="1085" spans="1:2" x14ac:dyDescent="0.35">
      <c r="A1085" s="15">
        <v>1155070</v>
      </c>
      <c r="B1085" s="52">
        <v>1</v>
      </c>
    </row>
    <row r="1086" spans="1:2" x14ac:dyDescent="0.35">
      <c r="A1086" s="15">
        <v>1155071</v>
      </c>
      <c r="B1086" s="52">
        <v>1</v>
      </c>
    </row>
    <row r="1087" spans="1:2" x14ac:dyDescent="0.35">
      <c r="A1087" s="15">
        <v>1155072</v>
      </c>
      <c r="B1087" s="52">
        <v>1</v>
      </c>
    </row>
    <row r="1088" spans="1:2" x14ac:dyDescent="0.35">
      <c r="A1088" s="15">
        <v>1155073</v>
      </c>
      <c r="B1088" s="52">
        <v>1</v>
      </c>
    </row>
    <row r="1089" spans="1:2" x14ac:dyDescent="0.35">
      <c r="A1089" s="15">
        <v>1155074</v>
      </c>
      <c r="B1089" s="52">
        <v>1</v>
      </c>
    </row>
    <row r="1090" spans="1:2" x14ac:dyDescent="0.35">
      <c r="A1090" s="15">
        <v>1155075</v>
      </c>
      <c r="B1090" s="52">
        <v>1</v>
      </c>
    </row>
    <row r="1091" spans="1:2" x14ac:dyDescent="0.35">
      <c r="A1091" s="15">
        <v>1155076</v>
      </c>
      <c r="B1091" s="52">
        <v>1</v>
      </c>
    </row>
    <row r="1092" spans="1:2" x14ac:dyDescent="0.35">
      <c r="A1092" s="15">
        <v>1155077</v>
      </c>
      <c r="B1092" s="52">
        <v>1</v>
      </c>
    </row>
    <row r="1093" spans="1:2" x14ac:dyDescent="0.35">
      <c r="A1093" s="15">
        <v>1155078</v>
      </c>
      <c r="B1093" s="52">
        <v>1</v>
      </c>
    </row>
    <row r="1094" spans="1:2" x14ac:dyDescent="0.35">
      <c r="A1094" s="15">
        <v>1155079</v>
      </c>
      <c r="B1094" s="52">
        <v>1</v>
      </c>
    </row>
    <row r="1095" spans="1:2" x14ac:dyDescent="0.35">
      <c r="A1095" s="15">
        <v>1155080</v>
      </c>
      <c r="B1095" s="52">
        <v>1</v>
      </c>
    </row>
    <row r="1096" spans="1:2" x14ac:dyDescent="0.35">
      <c r="A1096" s="15">
        <v>1155081</v>
      </c>
      <c r="B1096" s="52">
        <v>1</v>
      </c>
    </row>
    <row r="1097" spans="1:2" x14ac:dyDescent="0.35">
      <c r="A1097" s="15">
        <v>1155082</v>
      </c>
      <c r="B1097" s="52">
        <v>1</v>
      </c>
    </row>
    <row r="1098" spans="1:2" x14ac:dyDescent="0.35">
      <c r="A1098" s="15">
        <v>1155083</v>
      </c>
      <c r="B1098" s="52">
        <v>1</v>
      </c>
    </row>
    <row r="1099" spans="1:2" x14ac:dyDescent="0.35">
      <c r="A1099" s="15">
        <v>1155084</v>
      </c>
      <c r="B1099" s="52">
        <v>1</v>
      </c>
    </row>
    <row r="1100" spans="1:2" x14ac:dyDescent="0.35">
      <c r="A1100" s="15">
        <v>1155085</v>
      </c>
      <c r="B1100" s="52">
        <v>1</v>
      </c>
    </row>
    <row r="1101" spans="1:2" x14ac:dyDescent="0.35">
      <c r="A1101" s="15">
        <v>1155086</v>
      </c>
      <c r="B1101" s="52">
        <v>1</v>
      </c>
    </row>
    <row r="1102" spans="1:2" x14ac:dyDescent="0.35">
      <c r="A1102" s="15">
        <v>1155087</v>
      </c>
      <c r="B1102" s="52">
        <v>1</v>
      </c>
    </row>
    <row r="1103" spans="1:2" x14ac:dyDescent="0.35">
      <c r="A1103" s="15">
        <v>1155088</v>
      </c>
      <c r="B1103" s="52">
        <v>1</v>
      </c>
    </row>
    <row r="1104" spans="1:2" x14ac:dyDescent="0.35">
      <c r="A1104" s="15">
        <v>1155090</v>
      </c>
      <c r="B1104" s="52">
        <v>1</v>
      </c>
    </row>
    <row r="1105" spans="1:2" x14ac:dyDescent="0.35">
      <c r="A1105" s="15">
        <v>1155091</v>
      </c>
      <c r="B1105" s="52">
        <v>1</v>
      </c>
    </row>
    <row r="1106" spans="1:2" x14ac:dyDescent="0.35">
      <c r="A1106" s="15">
        <v>1155092</v>
      </c>
      <c r="B1106" s="52">
        <v>1</v>
      </c>
    </row>
    <row r="1107" spans="1:2" x14ac:dyDescent="0.35">
      <c r="A1107" s="15">
        <v>1155093</v>
      </c>
      <c r="B1107" s="52">
        <v>1</v>
      </c>
    </row>
    <row r="1108" spans="1:2" x14ac:dyDescent="0.35">
      <c r="A1108" s="15">
        <v>1155094</v>
      </c>
      <c r="B1108" s="52">
        <v>1</v>
      </c>
    </row>
    <row r="1109" spans="1:2" x14ac:dyDescent="0.35">
      <c r="A1109" s="15">
        <v>1155095</v>
      </c>
      <c r="B1109" s="52">
        <v>1</v>
      </c>
    </row>
    <row r="1110" spans="1:2" x14ac:dyDescent="0.35">
      <c r="A1110" s="15">
        <v>1155096</v>
      </c>
      <c r="B1110" s="52">
        <v>1</v>
      </c>
    </row>
    <row r="1111" spans="1:2" x14ac:dyDescent="0.35">
      <c r="A1111" s="15">
        <v>1155098</v>
      </c>
      <c r="B1111" s="52">
        <v>1</v>
      </c>
    </row>
    <row r="1112" spans="1:2" x14ac:dyDescent="0.35">
      <c r="A1112" s="15">
        <v>1155104</v>
      </c>
      <c r="B1112" s="52">
        <v>1</v>
      </c>
    </row>
    <row r="1113" spans="1:2" x14ac:dyDescent="0.35">
      <c r="A1113" s="15">
        <v>1155105</v>
      </c>
      <c r="B1113" s="52">
        <v>1</v>
      </c>
    </row>
    <row r="1114" spans="1:2" x14ac:dyDescent="0.35">
      <c r="A1114" s="15">
        <v>1155106</v>
      </c>
      <c r="B1114" s="52">
        <v>1</v>
      </c>
    </row>
    <row r="1115" spans="1:2" x14ac:dyDescent="0.35">
      <c r="A1115" s="15">
        <v>1155107</v>
      </c>
      <c r="B1115" s="52">
        <v>1</v>
      </c>
    </row>
    <row r="1116" spans="1:2" x14ac:dyDescent="0.35">
      <c r="A1116" s="15">
        <v>1155108</v>
      </c>
      <c r="B1116" s="52">
        <v>1</v>
      </c>
    </row>
    <row r="1117" spans="1:2" x14ac:dyDescent="0.35">
      <c r="A1117" s="15">
        <v>1155109</v>
      </c>
      <c r="B1117" s="52">
        <v>1</v>
      </c>
    </row>
    <row r="1118" spans="1:2" x14ac:dyDescent="0.35">
      <c r="A1118" s="15">
        <v>1155111</v>
      </c>
      <c r="B1118" s="52">
        <v>1</v>
      </c>
    </row>
    <row r="1119" spans="1:2" x14ac:dyDescent="0.35">
      <c r="A1119" s="15">
        <v>1155112</v>
      </c>
      <c r="B1119" s="52">
        <v>1</v>
      </c>
    </row>
    <row r="1120" spans="1:2" x14ac:dyDescent="0.35">
      <c r="A1120" s="15">
        <v>1155113</v>
      </c>
      <c r="B1120" s="52">
        <v>1</v>
      </c>
    </row>
    <row r="1121" spans="1:2" x14ac:dyDescent="0.35">
      <c r="A1121" s="15">
        <v>1155114</v>
      </c>
      <c r="B1121" s="52">
        <v>1</v>
      </c>
    </row>
    <row r="1122" spans="1:2" x14ac:dyDescent="0.35">
      <c r="A1122" s="15">
        <v>1155115</v>
      </c>
      <c r="B1122" s="52">
        <v>1</v>
      </c>
    </row>
    <row r="1123" spans="1:2" x14ac:dyDescent="0.35">
      <c r="A1123" s="15">
        <v>1155116</v>
      </c>
      <c r="B1123" s="52">
        <v>1</v>
      </c>
    </row>
    <row r="1124" spans="1:2" x14ac:dyDescent="0.35">
      <c r="A1124" s="15">
        <v>1155117</v>
      </c>
      <c r="B1124" s="52">
        <v>1</v>
      </c>
    </row>
    <row r="1125" spans="1:2" x14ac:dyDescent="0.35">
      <c r="A1125" s="15">
        <v>1155118</v>
      </c>
      <c r="B1125" s="52">
        <v>1</v>
      </c>
    </row>
    <row r="1126" spans="1:2" x14ac:dyDescent="0.35">
      <c r="A1126" s="15">
        <v>1155119</v>
      </c>
      <c r="B1126" s="52">
        <v>1</v>
      </c>
    </row>
    <row r="1127" spans="1:2" x14ac:dyDescent="0.35">
      <c r="A1127" s="15">
        <v>1155120</v>
      </c>
      <c r="B1127" s="52">
        <v>1</v>
      </c>
    </row>
    <row r="1128" spans="1:2" x14ac:dyDescent="0.35">
      <c r="A1128" s="15">
        <v>1155122</v>
      </c>
      <c r="B1128" s="52">
        <v>1</v>
      </c>
    </row>
    <row r="1129" spans="1:2" x14ac:dyDescent="0.35">
      <c r="A1129" s="15">
        <v>1155128</v>
      </c>
      <c r="B1129" s="52">
        <v>1</v>
      </c>
    </row>
    <row r="1130" spans="1:2" x14ac:dyDescent="0.35">
      <c r="A1130" s="15">
        <v>1155138</v>
      </c>
      <c r="B1130" s="52">
        <v>1</v>
      </c>
    </row>
    <row r="1131" spans="1:2" x14ac:dyDescent="0.35">
      <c r="A1131" s="15">
        <v>1155139</v>
      </c>
      <c r="B1131" s="52">
        <v>1</v>
      </c>
    </row>
    <row r="1132" spans="1:2" x14ac:dyDescent="0.35">
      <c r="A1132" s="15">
        <v>1155141</v>
      </c>
      <c r="B1132" s="52">
        <v>1</v>
      </c>
    </row>
    <row r="1133" spans="1:2" x14ac:dyDescent="0.35">
      <c r="A1133" s="15">
        <v>1155142</v>
      </c>
      <c r="B1133" s="52">
        <v>1</v>
      </c>
    </row>
    <row r="1134" spans="1:2" x14ac:dyDescent="0.35">
      <c r="A1134" s="15">
        <v>1155144</v>
      </c>
      <c r="B1134" s="52">
        <v>1</v>
      </c>
    </row>
    <row r="1135" spans="1:2" x14ac:dyDescent="0.35">
      <c r="A1135" s="15">
        <v>1155145</v>
      </c>
      <c r="B1135" s="52">
        <v>1</v>
      </c>
    </row>
    <row r="1136" spans="1:2" x14ac:dyDescent="0.35">
      <c r="A1136" s="15">
        <v>1155146</v>
      </c>
      <c r="B1136" s="52">
        <v>1</v>
      </c>
    </row>
    <row r="1137" spans="1:2" x14ac:dyDescent="0.35">
      <c r="A1137" s="15">
        <v>1155190</v>
      </c>
      <c r="B1137" s="52">
        <v>1</v>
      </c>
    </row>
    <row r="1138" spans="1:2" x14ac:dyDescent="0.35">
      <c r="A1138" s="15">
        <v>1155195</v>
      </c>
      <c r="B1138" s="52">
        <v>1</v>
      </c>
    </row>
    <row r="1139" spans="1:2" x14ac:dyDescent="0.35">
      <c r="A1139" s="15">
        <v>1155196</v>
      </c>
      <c r="B1139" s="52">
        <v>1</v>
      </c>
    </row>
    <row r="1140" spans="1:2" x14ac:dyDescent="0.35">
      <c r="A1140" s="15">
        <v>1155202</v>
      </c>
      <c r="B1140" s="52">
        <v>1</v>
      </c>
    </row>
    <row r="1141" spans="1:2" x14ac:dyDescent="0.35">
      <c r="A1141" s="15">
        <v>1155203</v>
      </c>
      <c r="B1141" s="52">
        <v>1</v>
      </c>
    </row>
    <row r="1142" spans="1:2" x14ac:dyDescent="0.35">
      <c r="A1142" s="15">
        <v>1155204</v>
      </c>
      <c r="B1142" s="52">
        <v>1</v>
      </c>
    </row>
    <row r="1143" spans="1:2" x14ac:dyDescent="0.35">
      <c r="A1143" s="15">
        <v>1155205</v>
      </c>
      <c r="B1143" s="52">
        <v>1</v>
      </c>
    </row>
    <row r="1144" spans="1:2" x14ac:dyDescent="0.35">
      <c r="A1144" s="15">
        <v>1155206</v>
      </c>
      <c r="B1144" s="52">
        <v>1</v>
      </c>
    </row>
    <row r="1145" spans="1:2" x14ac:dyDescent="0.35">
      <c r="A1145" s="15">
        <v>1155209</v>
      </c>
      <c r="B1145" s="52">
        <v>1</v>
      </c>
    </row>
    <row r="1146" spans="1:2" x14ac:dyDescent="0.35">
      <c r="A1146" s="15">
        <v>1155210</v>
      </c>
      <c r="B1146" s="52">
        <v>1</v>
      </c>
    </row>
    <row r="1147" spans="1:2" x14ac:dyDescent="0.35">
      <c r="A1147" s="15">
        <v>1155211</v>
      </c>
      <c r="B1147" s="52">
        <v>1</v>
      </c>
    </row>
    <row r="1148" spans="1:2" x14ac:dyDescent="0.35">
      <c r="A1148" s="15">
        <v>1155214</v>
      </c>
      <c r="B1148" s="52">
        <v>1</v>
      </c>
    </row>
    <row r="1149" spans="1:2" x14ac:dyDescent="0.35">
      <c r="A1149" s="15">
        <v>1155216</v>
      </c>
      <c r="B1149" s="52">
        <v>1</v>
      </c>
    </row>
    <row r="1150" spans="1:2" x14ac:dyDescent="0.35">
      <c r="A1150" s="15">
        <v>1155218</v>
      </c>
      <c r="B1150" s="52">
        <v>1</v>
      </c>
    </row>
    <row r="1151" spans="1:2" x14ac:dyDescent="0.35">
      <c r="A1151" s="15">
        <v>1155226</v>
      </c>
      <c r="B1151" s="52">
        <v>1</v>
      </c>
    </row>
    <row r="1152" spans="1:2" x14ac:dyDescent="0.35">
      <c r="A1152" s="15">
        <v>1155228</v>
      </c>
      <c r="B1152" s="52">
        <v>1</v>
      </c>
    </row>
    <row r="1153" spans="1:2" x14ac:dyDescent="0.35">
      <c r="A1153" s="15">
        <v>1155234</v>
      </c>
      <c r="B1153" s="52">
        <v>1</v>
      </c>
    </row>
    <row r="1154" spans="1:2" x14ac:dyDescent="0.35">
      <c r="A1154" s="15">
        <v>1155235</v>
      </c>
      <c r="B1154" s="52">
        <v>1</v>
      </c>
    </row>
    <row r="1155" spans="1:2" x14ac:dyDescent="0.35">
      <c r="A1155" s="15">
        <v>1155238</v>
      </c>
      <c r="B1155" s="52">
        <v>1</v>
      </c>
    </row>
    <row r="1156" spans="1:2" x14ac:dyDescent="0.35">
      <c r="A1156" s="15">
        <v>1155240</v>
      </c>
      <c r="B1156" s="52">
        <v>1</v>
      </c>
    </row>
    <row r="1157" spans="1:2" x14ac:dyDescent="0.35">
      <c r="A1157" s="15">
        <v>1155246</v>
      </c>
      <c r="B1157" s="52">
        <v>1</v>
      </c>
    </row>
    <row r="1158" spans="1:2" x14ac:dyDescent="0.35">
      <c r="A1158" s="15">
        <v>1156005</v>
      </c>
      <c r="B1158" s="52">
        <v>1</v>
      </c>
    </row>
    <row r="1159" spans="1:2" x14ac:dyDescent="0.35">
      <c r="A1159" s="15">
        <v>1156006</v>
      </c>
      <c r="B1159" s="52">
        <v>1</v>
      </c>
    </row>
    <row r="1160" spans="1:2" x14ac:dyDescent="0.35">
      <c r="A1160" s="15">
        <v>1156009</v>
      </c>
      <c r="B1160" s="52">
        <v>1</v>
      </c>
    </row>
    <row r="1161" spans="1:2" x14ac:dyDescent="0.35">
      <c r="A1161" s="15">
        <v>1157001</v>
      </c>
      <c r="B1161" s="52">
        <v>1</v>
      </c>
    </row>
    <row r="1162" spans="1:2" x14ac:dyDescent="0.35">
      <c r="A1162" s="15">
        <v>1157010</v>
      </c>
      <c r="B1162" s="52">
        <v>1</v>
      </c>
    </row>
    <row r="1163" spans="1:2" x14ac:dyDescent="0.35">
      <c r="A1163" s="15">
        <v>1157012</v>
      </c>
      <c r="B1163" s="52">
        <v>1</v>
      </c>
    </row>
    <row r="1164" spans="1:2" x14ac:dyDescent="0.35">
      <c r="A1164" s="15">
        <v>1157013</v>
      </c>
      <c r="B1164" s="52">
        <v>1</v>
      </c>
    </row>
    <row r="1165" spans="1:2" x14ac:dyDescent="0.35">
      <c r="A1165" s="15">
        <v>1157014</v>
      </c>
      <c r="B1165" s="52">
        <v>1</v>
      </c>
    </row>
    <row r="1166" spans="1:2" x14ac:dyDescent="0.35">
      <c r="A1166" s="15">
        <v>1157016</v>
      </c>
      <c r="B1166" s="52">
        <v>1</v>
      </c>
    </row>
    <row r="1167" spans="1:2" x14ac:dyDescent="0.35">
      <c r="A1167" s="15">
        <v>1157017</v>
      </c>
      <c r="B1167" s="52">
        <v>1</v>
      </c>
    </row>
    <row r="1168" spans="1:2" x14ac:dyDescent="0.35">
      <c r="A1168" s="15">
        <v>1157018</v>
      </c>
      <c r="B1168" s="52">
        <v>1</v>
      </c>
    </row>
    <row r="1169" spans="1:2" x14ac:dyDescent="0.35">
      <c r="A1169" s="15">
        <v>1157019</v>
      </c>
      <c r="B1169" s="52">
        <v>1</v>
      </c>
    </row>
    <row r="1170" spans="1:2" x14ac:dyDescent="0.35">
      <c r="A1170" s="15">
        <v>1157020</v>
      </c>
      <c r="B1170" s="52">
        <v>1</v>
      </c>
    </row>
    <row r="1171" spans="1:2" x14ac:dyDescent="0.35">
      <c r="A1171" s="15">
        <v>1157021</v>
      </c>
      <c r="B1171" s="52">
        <v>1</v>
      </c>
    </row>
    <row r="1172" spans="1:2" x14ac:dyDescent="0.35">
      <c r="A1172" s="15">
        <v>1159004</v>
      </c>
      <c r="B1172" s="52">
        <v>1</v>
      </c>
    </row>
    <row r="1173" spans="1:2" x14ac:dyDescent="0.35">
      <c r="A1173" s="15">
        <v>1161001</v>
      </c>
      <c r="B1173" s="52">
        <v>1</v>
      </c>
    </row>
    <row r="1174" spans="1:2" x14ac:dyDescent="0.35">
      <c r="A1174" s="15">
        <v>1161003</v>
      </c>
      <c r="B1174" s="52">
        <v>1</v>
      </c>
    </row>
    <row r="1175" spans="1:2" x14ac:dyDescent="0.35">
      <c r="A1175" s="15">
        <v>1161004</v>
      </c>
      <c r="B1175" s="52">
        <v>1</v>
      </c>
    </row>
    <row r="1176" spans="1:2" x14ac:dyDescent="0.35">
      <c r="A1176" s="15">
        <v>1161005</v>
      </c>
      <c r="B1176" s="52">
        <v>1</v>
      </c>
    </row>
    <row r="1177" spans="1:2" x14ac:dyDescent="0.35">
      <c r="A1177" s="15">
        <v>1161006</v>
      </c>
      <c r="B1177" s="52">
        <v>1</v>
      </c>
    </row>
    <row r="1178" spans="1:2" x14ac:dyDescent="0.35">
      <c r="A1178" s="15">
        <v>1161007</v>
      </c>
      <c r="B1178" s="52">
        <v>1</v>
      </c>
    </row>
    <row r="1179" spans="1:2" x14ac:dyDescent="0.35">
      <c r="A1179" s="15">
        <v>1161008</v>
      </c>
      <c r="B1179" s="52">
        <v>1</v>
      </c>
    </row>
    <row r="1180" spans="1:2" x14ac:dyDescent="0.35">
      <c r="A1180" s="15">
        <v>1161010</v>
      </c>
      <c r="B1180" s="52">
        <v>1</v>
      </c>
    </row>
    <row r="1181" spans="1:2" x14ac:dyDescent="0.35">
      <c r="A1181" s="15">
        <v>1161018</v>
      </c>
      <c r="B1181" s="52">
        <v>1</v>
      </c>
    </row>
    <row r="1182" spans="1:2" x14ac:dyDescent="0.35">
      <c r="A1182" s="15">
        <v>1161035</v>
      </c>
      <c r="B1182" s="52">
        <v>1</v>
      </c>
    </row>
    <row r="1183" spans="1:2" x14ac:dyDescent="0.35">
      <c r="A1183" s="15">
        <v>1161036</v>
      </c>
      <c r="B1183" s="52">
        <v>1</v>
      </c>
    </row>
    <row r="1184" spans="1:2" x14ac:dyDescent="0.35">
      <c r="A1184" s="15">
        <v>1161053</v>
      </c>
      <c r="B1184" s="52">
        <v>1</v>
      </c>
    </row>
    <row r="1185" spans="1:2" x14ac:dyDescent="0.35">
      <c r="A1185" s="15">
        <v>1169010</v>
      </c>
      <c r="B1185" s="52">
        <v>1</v>
      </c>
    </row>
    <row r="1186" spans="1:2" x14ac:dyDescent="0.35">
      <c r="A1186" s="15">
        <v>1169011</v>
      </c>
      <c r="B1186" s="52">
        <v>1</v>
      </c>
    </row>
    <row r="1187" spans="1:2" x14ac:dyDescent="0.35">
      <c r="A1187" s="15">
        <v>1169013</v>
      </c>
      <c r="B1187" s="52">
        <v>1</v>
      </c>
    </row>
    <row r="1188" spans="1:2" x14ac:dyDescent="0.35">
      <c r="A1188" s="15">
        <v>1169020</v>
      </c>
      <c r="B1188" s="52">
        <v>1</v>
      </c>
    </row>
    <row r="1189" spans="1:2" x14ac:dyDescent="0.35">
      <c r="A1189" s="15">
        <v>1169022</v>
      </c>
      <c r="B1189" s="52">
        <v>1</v>
      </c>
    </row>
    <row r="1190" spans="1:2" x14ac:dyDescent="0.35">
      <c r="A1190" s="15">
        <v>1169041</v>
      </c>
      <c r="B1190" s="52">
        <v>1</v>
      </c>
    </row>
    <row r="1191" spans="1:2" x14ac:dyDescent="0.35">
      <c r="A1191" s="15">
        <v>1169052</v>
      </c>
      <c r="B1191" s="52">
        <v>1</v>
      </c>
    </row>
    <row r="1192" spans="1:2" x14ac:dyDescent="0.35">
      <c r="A1192" s="15">
        <v>1169060</v>
      </c>
      <c r="B1192" s="52">
        <v>1</v>
      </c>
    </row>
    <row r="1193" spans="1:2" x14ac:dyDescent="0.35">
      <c r="A1193" s="15">
        <v>1169078</v>
      </c>
      <c r="B1193" s="52">
        <v>1</v>
      </c>
    </row>
    <row r="1194" spans="1:2" x14ac:dyDescent="0.35">
      <c r="A1194" s="15">
        <v>1169083</v>
      </c>
      <c r="B1194" s="52">
        <v>1</v>
      </c>
    </row>
    <row r="1195" spans="1:2" x14ac:dyDescent="0.35">
      <c r="A1195" s="15">
        <v>1170004</v>
      </c>
      <c r="B1195" s="52">
        <v>1</v>
      </c>
    </row>
    <row r="1196" spans="1:2" x14ac:dyDescent="0.35">
      <c r="A1196" s="15">
        <v>1170005</v>
      </c>
      <c r="B1196" s="52">
        <v>1</v>
      </c>
    </row>
    <row r="1197" spans="1:2" x14ac:dyDescent="0.35">
      <c r="A1197" s="15">
        <v>1170006</v>
      </c>
      <c r="B1197" s="52">
        <v>1</v>
      </c>
    </row>
    <row r="1198" spans="1:2" x14ac:dyDescent="0.35">
      <c r="A1198" s="15">
        <v>1170011</v>
      </c>
      <c r="B1198" s="52">
        <v>1</v>
      </c>
    </row>
    <row r="1199" spans="1:2" x14ac:dyDescent="0.35">
      <c r="A1199" s="15">
        <v>1170012</v>
      </c>
      <c r="B1199" s="52">
        <v>1</v>
      </c>
    </row>
    <row r="1200" spans="1:2" x14ac:dyDescent="0.35">
      <c r="A1200" s="15">
        <v>1170013</v>
      </c>
      <c r="B1200" s="52">
        <v>1</v>
      </c>
    </row>
    <row r="1201" spans="1:2" x14ac:dyDescent="0.35">
      <c r="A1201" s="15">
        <v>1170014</v>
      </c>
      <c r="B1201" s="52">
        <v>1</v>
      </c>
    </row>
    <row r="1202" spans="1:2" x14ac:dyDescent="0.35">
      <c r="A1202" s="15">
        <v>1170015</v>
      </c>
      <c r="B1202" s="52">
        <v>1</v>
      </c>
    </row>
    <row r="1203" spans="1:2" x14ac:dyDescent="0.35">
      <c r="A1203" s="15">
        <v>1170019</v>
      </c>
      <c r="B1203" s="52">
        <v>1</v>
      </c>
    </row>
    <row r="1204" spans="1:2" x14ac:dyDescent="0.35">
      <c r="A1204" s="15">
        <v>1170020</v>
      </c>
      <c r="B1204" s="52">
        <v>1</v>
      </c>
    </row>
    <row r="1205" spans="1:2" x14ac:dyDescent="0.35">
      <c r="A1205" s="15">
        <v>1170025</v>
      </c>
      <c r="B1205" s="52">
        <v>1</v>
      </c>
    </row>
    <row r="1206" spans="1:2" x14ac:dyDescent="0.35">
      <c r="A1206" s="15">
        <v>1170028</v>
      </c>
      <c r="B1206" s="52">
        <v>1</v>
      </c>
    </row>
    <row r="1207" spans="1:2" x14ac:dyDescent="0.35">
      <c r="A1207" s="15">
        <v>1170033</v>
      </c>
      <c r="B1207" s="52">
        <v>1</v>
      </c>
    </row>
    <row r="1208" spans="1:2" x14ac:dyDescent="0.35">
      <c r="A1208" s="15">
        <v>1170034</v>
      </c>
      <c r="B1208" s="52">
        <v>1</v>
      </c>
    </row>
    <row r="1209" spans="1:2" x14ac:dyDescent="0.35">
      <c r="A1209" s="15">
        <v>1174015</v>
      </c>
      <c r="B1209" s="52">
        <v>1</v>
      </c>
    </row>
    <row r="1210" spans="1:2" x14ac:dyDescent="0.35">
      <c r="A1210" s="15">
        <v>1176051</v>
      </c>
      <c r="B1210" s="52">
        <v>1</v>
      </c>
    </row>
    <row r="1211" spans="1:2" x14ac:dyDescent="0.35">
      <c r="A1211" s="15">
        <v>1176056</v>
      </c>
      <c r="B1211" s="52">
        <v>1</v>
      </c>
    </row>
    <row r="1212" spans="1:2" x14ac:dyDescent="0.35">
      <c r="A1212" s="15">
        <v>1176057</v>
      </c>
      <c r="B1212" s="52">
        <v>1</v>
      </c>
    </row>
    <row r="1213" spans="1:2" x14ac:dyDescent="0.35">
      <c r="A1213" s="15">
        <v>1176097</v>
      </c>
      <c r="B1213" s="52">
        <v>1</v>
      </c>
    </row>
    <row r="1214" spans="1:2" x14ac:dyDescent="0.35">
      <c r="A1214" s="15">
        <v>1176289</v>
      </c>
      <c r="B1214" s="52">
        <v>1</v>
      </c>
    </row>
    <row r="1215" spans="1:2" x14ac:dyDescent="0.35">
      <c r="A1215" s="15">
        <v>1176367</v>
      </c>
      <c r="B1215" s="52">
        <v>1</v>
      </c>
    </row>
    <row r="1216" spans="1:2" x14ac:dyDescent="0.35">
      <c r="A1216" s="15">
        <v>1189003</v>
      </c>
      <c r="B1216" s="52">
        <v>1</v>
      </c>
    </row>
    <row r="1217" spans="1:2" x14ac:dyDescent="0.35">
      <c r="A1217" s="15">
        <v>1202028</v>
      </c>
      <c r="B1217" s="52">
        <v>1</v>
      </c>
    </row>
    <row r="1218" spans="1:2" x14ac:dyDescent="0.35">
      <c r="A1218" s="15">
        <v>1202032</v>
      </c>
      <c r="B1218" s="52">
        <v>1</v>
      </c>
    </row>
    <row r="1219" spans="1:2" x14ac:dyDescent="0.35">
      <c r="A1219" s="15">
        <v>1202088</v>
      </c>
      <c r="B1219" s="52">
        <v>1</v>
      </c>
    </row>
    <row r="1220" spans="1:2" x14ac:dyDescent="0.35">
      <c r="A1220" s="15">
        <v>1202206</v>
      </c>
      <c r="B1220" s="52">
        <v>1</v>
      </c>
    </row>
    <row r="1221" spans="1:2" x14ac:dyDescent="0.35">
      <c r="A1221" s="15">
        <v>1202219</v>
      </c>
      <c r="B1221" s="52">
        <v>1</v>
      </c>
    </row>
    <row r="1222" spans="1:2" x14ac:dyDescent="0.35">
      <c r="A1222" s="15">
        <v>1202220</v>
      </c>
      <c r="B1222" s="52">
        <v>1</v>
      </c>
    </row>
    <row r="1223" spans="1:2" x14ac:dyDescent="0.35">
      <c r="A1223" s="15">
        <v>1202223</v>
      </c>
      <c r="B1223" s="52">
        <v>1</v>
      </c>
    </row>
    <row r="1224" spans="1:2" x14ac:dyDescent="0.35">
      <c r="A1224" s="15">
        <v>1202238</v>
      </c>
      <c r="B1224" s="52">
        <v>1</v>
      </c>
    </row>
    <row r="1225" spans="1:2" x14ac:dyDescent="0.35">
      <c r="A1225" s="15">
        <v>1202239</v>
      </c>
      <c r="B1225" s="52">
        <v>1</v>
      </c>
    </row>
    <row r="1226" spans="1:2" x14ac:dyDescent="0.35">
      <c r="A1226" s="15">
        <v>1202240</v>
      </c>
      <c r="B1226" s="52">
        <v>1</v>
      </c>
    </row>
    <row r="1227" spans="1:2" x14ac:dyDescent="0.35">
      <c r="A1227" s="15">
        <v>1202242</v>
      </c>
      <c r="B1227" s="52">
        <v>1</v>
      </c>
    </row>
    <row r="1228" spans="1:2" x14ac:dyDescent="0.35">
      <c r="A1228" s="15">
        <v>1202254</v>
      </c>
      <c r="B1228" s="52">
        <v>1</v>
      </c>
    </row>
    <row r="1229" spans="1:2" x14ac:dyDescent="0.35">
      <c r="A1229" s="15">
        <v>1202255</v>
      </c>
      <c r="B1229" s="52">
        <v>1</v>
      </c>
    </row>
    <row r="1230" spans="1:2" x14ac:dyDescent="0.35">
      <c r="A1230" s="15">
        <v>1202256</v>
      </c>
      <c r="B1230" s="52">
        <v>1</v>
      </c>
    </row>
    <row r="1231" spans="1:2" x14ac:dyDescent="0.35">
      <c r="A1231" s="15">
        <v>1202262</v>
      </c>
      <c r="B1231" s="52">
        <v>1</v>
      </c>
    </row>
    <row r="1232" spans="1:2" x14ac:dyDescent="0.35">
      <c r="A1232" s="15">
        <v>1202266</v>
      </c>
      <c r="B1232" s="52">
        <v>1</v>
      </c>
    </row>
    <row r="1233" spans="1:2" x14ac:dyDescent="0.35">
      <c r="A1233" s="15">
        <v>1202268</v>
      </c>
      <c r="B1233" s="52">
        <v>1</v>
      </c>
    </row>
    <row r="1234" spans="1:2" x14ac:dyDescent="0.35">
      <c r="A1234" s="15">
        <v>1202321</v>
      </c>
      <c r="B1234" s="52">
        <v>1</v>
      </c>
    </row>
    <row r="1235" spans="1:2" x14ac:dyDescent="0.35">
      <c r="A1235" s="15">
        <v>1202339</v>
      </c>
      <c r="B1235" s="52">
        <v>1</v>
      </c>
    </row>
    <row r="1236" spans="1:2" x14ac:dyDescent="0.35">
      <c r="A1236" s="15">
        <v>1202373</v>
      </c>
      <c r="B1236" s="52">
        <v>1</v>
      </c>
    </row>
    <row r="1237" spans="1:2" x14ac:dyDescent="0.35">
      <c r="A1237" s="15">
        <v>1202383</v>
      </c>
      <c r="B1237" s="52">
        <v>1</v>
      </c>
    </row>
    <row r="1238" spans="1:2" x14ac:dyDescent="0.35">
      <c r="A1238" s="15">
        <v>1202463</v>
      </c>
      <c r="B1238" s="52">
        <v>1</v>
      </c>
    </row>
    <row r="1239" spans="1:2" x14ac:dyDescent="0.35">
      <c r="A1239" s="15">
        <v>1202511</v>
      </c>
      <c r="B1239" s="52">
        <v>1</v>
      </c>
    </row>
    <row r="1240" spans="1:2" x14ac:dyDescent="0.35">
      <c r="A1240" s="15">
        <v>1202516</v>
      </c>
      <c r="B1240" s="52">
        <v>1</v>
      </c>
    </row>
    <row r="1241" spans="1:2" x14ac:dyDescent="0.35">
      <c r="A1241" s="15">
        <v>1202531</v>
      </c>
      <c r="B1241" s="52">
        <v>1</v>
      </c>
    </row>
    <row r="1242" spans="1:2" x14ac:dyDescent="0.35">
      <c r="A1242" s="15">
        <v>1202532</v>
      </c>
      <c r="B1242" s="52">
        <v>1</v>
      </c>
    </row>
    <row r="1243" spans="1:2" x14ac:dyDescent="0.35">
      <c r="A1243" s="15">
        <v>1202533</v>
      </c>
      <c r="B1243" s="52">
        <v>1</v>
      </c>
    </row>
    <row r="1244" spans="1:2" x14ac:dyDescent="0.35">
      <c r="A1244" s="15">
        <v>1202537</v>
      </c>
      <c r="B1244" s="52">
        <v>1</v>
      </c>
    </row>
    <row r="1245" spans="1:2" x14ac:dyDescent="0.35">
      <c r="A1245" s="15">
        <v>1202596</v>
      </c>
      <c r="B1245" s="52">
        <v>1</v>
      </c>
    </row>
    <row r="1246" spans="1:2" x14ac:dyDescent="0.35">
      <c r="A1246" s="15">
        <v>1202602</v>
      </c>
      <c r="B1246" s="52">
        <v>1</v>
      </c>
    </row>
    <row r="1247" spans="1:2" x14ac:dyDescent="0.35">
      <c r="A1247" s="15">
        <v>1202634</v>
      </c>
      <c r="B1247" s="52">
        <v>1</v>
      </c>
    </row>
    <row r="1248" spans="1:2" x14ac:dyDescent="0.35">
      <c r="A1248" s="15">
        <v>1202663</v>
      </c>
      <c r="B1248" s="52">
        <v>1</v>
      </c>
    </row>
    <row r="1249" spans="1:2" x14ac:dyDescent="0.35">
      <c r="A1249" s="15">
        <v>1202681</v>
      </c>
      <c r="B1249" s="52">
        <v>1</v>
      </c>
    </row>
    <row r="1250" spans="1:2" x14ac:dyDescent="0.35">
      <c r="A1250" s="15">
        <v>1202694</v>
      </c>
      <c r="B1250" s="52">
        <v>1</v>
      </c>
    </row>
    <row r="1251" spans="1:2" x14ac:dyDescent="0.35">
      <c r="A1251" s="15">
        <v>1202740</v>
      </c>
      <c r="B1251" s="52">
        <v>1</v>
      </c>
    </row>
    <row r="1252" spans="1:2" x14ac:dyDescent="0.35">
      <c r="A1252" s="15">
        <v>1202782</v>
      </c>
      <c r="B1252" s="52">
        <v>1</v>
      </c>
    </row>
    <row r="1253" spans="1:2" x14ac:dyDescent="0.35">
      <c r="A1253" s="15">
        <v>1202795</v>
      </c>
      <c r="B1253" s="52">
        <v>1</v>
      </c>
    </row>
    <row r="1254" spans="1:2" x14ac:dyDescent="0.35">
      <c r="A1254" s="15">
        <v>1203001</v>
      </c>
      <c r="B1254" s="52">
        <v>1</v>
      </c>
    </row>
    <row r="1255" spans="1:2" x14ac:dyDescent="0.35">
      <c r="A1255" s="15">
        <v>1210004</v>
      </c>
      <c r="B1255" s="52">
        <v>1</v>
      </c>
    </row>
    <row r="1256" spans="1:2" x14ac:dyDescent="0.35">
      <c r="A1256" s="15">
        <v>1210005</v>
      </c>
      <c r="B1256" s="52">
        <v>1</v>
      </c>
    </row>
    <row r="1257" spans="1:2" x14ac:dyDescent="0.35">
      <c r="A1257" s="15">
        <v>1210205</v>
      </c>
      <c r="B1257" s="52">
        <v>1</v>
      </c>
    </row>
    <row r="1258" spans="1:2" x14ac:dyDescent="0.35">
      <c r="A1258" s="15">
        <v>1250080</v>
      </c>
      <c r="B1258" s="52">
        <v>1</v>
      </c>
    </row>
    <row r="1259" spans="1:2" x14ac:dyDescent="0.35">
      <c r="A1259" s="15">
        <v>1250258</v>
      </c>
      <c r="B1259" s="52">
        <v>1</v>
      </c>
    </row>
    <row r="1260" spans="1:2" x14ac:dyDescent="0.35">
      <c r="A1260" s="15">
        <v>1250324</v>
      </c>
      <c r="B1260" s="52">
        <v>1</v>
      </c>
    </row>
    <row r="1261" spans="1:2" x14ac:dyDescent="0.35">
      <c r="A1261" s="15">
        <v>1250326</v>
      </c>
      <c r="B1261" s="52">
        <v>1</v>
      </c>
    </row>
    <row r="1262" spans="1:2" x14ac:dyDescent="0.35">
      <c r="A1262" s="15">
        <v>1250353</v>
      </c>
      <c r="B1262" s="52">
        <v>1</v>
      </c>
    </row>
    <row r="1263" spans="1:2" x14ac:dyDescent="0.35">
      <c r="A1263" s="15">
        <v>1250363</v>
      </c>
      <c r="B1263" s="52">
        <v>1</v>
      </c>
    </row>
    <row r="1264" spans="1:2" x14ac:dyDescent="0.35">
      <c r="A1264" s="15">
        <v>1260262</v>
      </c>
      <c r="B1264" s="52">
        <v>1</v>
      </c>
    </row>
    <row r="1265" spans="1:2" x14ac:dyDescent="0.35">
      <c r="A1265" s="15">
        <v>1260292</v>
      </c>
      <c r="B1265" s="52">
        <v>1</v>
      </c>
    </row>
    <row r="1266" spans="1:2" x14ac:dyDescent="0.35">
      <c r="A1266" s="15">
        <v>1260311</v>
      </c>
      <c r="B1266" s="52">
        <v>1</v>
      </c>
    </row>
    <row r="1267" spans="1:2" x14ac:dyDescent="0.35">
      <c r="A1267" s="15">
        <v>1260316</v>
      </c>
      <c r="B1267" s="52">
        <v>1</v>
      </c>
    </row>
    <row r="1268" spans="1:2" x14ac:dyDescent="0.35">
      <c r="A1268" s="15">
        <v>1260439</v>
      </c>
      <c r="B1268" s="52">
        <v>1</v>
      </c>
    </row>
    <row r="1269" spans="1:2" x14ac:dyDescent="0.35">
      <c r="A1269" s="15">
        <v>1260480</v>
      </c>
      <c r="B1269" s="52">
        <v>1</v>
      </c>
    </row>
    <row r="1270" spans="1:2" x14ac:dyDescent="0.35">
      <c r="A1270" s="15">
        <v>1260506</v>
      </c>
      <c r="B1270" s="52">
        <v>1</v>
      </c>
    </row>
    <row r="1271" spans="1:2" x14ac:dyDescent="0.35">
      <c r="A1271" s="15">
        <v>1260511</v>
      </c>
      <c r="B1271" s="52">
        <v>1</v>
      </c>
    </row>
    <row r="1272" spans="1:2" x14ac:dyDescent="0.35">
      <c r="A1272" s="15">
        <v>1260512</v>
      </c>
      <c r="B1272" s="52">
        <v>1</v>
      </c>
    </row>
    <row r="1273" spans="1:2" x14ac:dyDescent="0.35">
      <c r="A1273" s="15">
        <v>1260513</v>
      </c>
      <c r="B1273" s="52">
        <v>1</v>
      </c>
    </row>
    <row r="1274" spans="1:2" x14ac:dyDescent="0.35">
      <c r="A1274" s="15">
        <v>1260530</v>
      </c>
      <c r="B1274" s="52">
        <v>1</v>
      </c>
    </row>
    <row r="1275" spans="1:2" x14ac:dyDescent="0.35">
      <c r="A1275" s="15">
        <v>1260549</v>
      </c>
      <c r="B1275" s="52">
        <v>1</v>
      </c>
    </row>
    <row r="1276" spans="1:2" x14ac:dyDescent="0.35">
      <c r="A1276" s="15">
        <v>1260550</v>
      </c>
      <c r="B1276" s="52">
        <v>1</v>
      </c>
    </row>
    <row r="1277" spans="1:2" x14ac:dyDescent="0.35">
      <c r="A1277" s="15">
        <v>1260560</v>
      </c>
      <c r="B1277" s="52">
        <v>1</v>
      </c>
    </row>
    <row r="1278" spans="1:2" x14ac:dyDescent="0.35">
      <c r="A1278" s="15">
        <v>1260591</v>
      </c>
      <c r="B1278" s="52">
        <v>1</v>
      </c>
    </row>
    <row r="1279" spans="1:2" x14ac:dyDescent="0.35">
      <c r="A1279" s="15">
        <v>1260617</v>
      </c>
      <c r="B1279" s="52">
        <v>1</v>
      </c>
    </row>
    <row r="1280" spans="1:2" x14ac:dyDescent="0.35">
      <c r="A1280" s="15">
        <v>1260650</v>
      </c>
      <c r="B1280" s="52">
        <v>1</v>
      </c>
    </row>
    <row r="1281" spans="1:2" x14ac:dyDescent="0.35">
      <c r="A1281" s="15">
        <v>1260654</v>
      </c>
      <c r="B1281" s="52">
        <v>1</v>
      </c>
    </row>
    <row r="1282" spans="1:2" x14ac:dyDescent="0.35">
      <c r="A1282" s="15">
        <v>1260659</v>
      </c>
      <c r="B1282" s="52">
        <v>1</v>
      </c>
    </row>
    <row r="1283" spans="1:2" x14ac:dyDescent="0.35">
      <c r="A1283" s="15">
        <v>1260692</v>
      </c>
      <c r="B1283" s="52">
        <v>1</v>
      </c>
    </row>
    <row r="1284" spans="1:2" x14ac:dyDescent="0.35">
      <c r="A1284" s="15">
        <v>1260693</v>
      </c>
      <c r="B1284" s="52">
        <v>1</v>
      </c>
    </row>
    <row r="1285" spans="1:2" x14ac:dyDescent="0.35">
      <c r="A1285" s="15">
        <v>1260696</v>
      </c>
      <c r="B1285" s="52">
        <v>1</v>
      </c>
    </row>
    <row r="1286" spans="1:2" x14ac:dyDescent="0.35">
      <c r="A1286" s="15">
        <v>1260701</v>
      </c>
      <c r="B1286" s="52">
        <v>1</v>
      </c>
    </row>
    <row r="1287" spans="1:2" x14ac:dyDescent="0.35">
      <c r="A1287" s="15">
        <v>1260705</v>
      </c>
      <c r="B1287" s="52">
        <v>1</v>
      </c>
    </row>
    <row r="1288" spans="1:2" x14ac:dyDescent="0.35">
      <c r="A1288" s="15">
        <v>1260783</v>
      </c>
      <c r="B1288" s="52">
        <v>1</v>
      </c>
    </row>
    <row r="1289" spans="1:2" x14ac:dyDescent="0.35">
      <c r="A1289" s="15">
        <v>1260864</v>
      </c>
      <c r="B1289" s="52">
        <v>1</v>
      </c>
    </row>
    <row r="1290" spans="1:2" x14ac:dyDescent="0.35">
      <c r="A1290" s="15">
        <v>1261068</v>
      </c>
      <c r="B1290" s="52">
        <v>1</v>
      </c>
    </row>
    <row r="1291" spans="1:2" x14ac:dyDescent="0.35">
      <c r="A1291" s="15">
        <v>1261733</v>
      </c>
      <c r="B1291" s="52">
        <v>1</v>
      </c>
    </row>
    <row r="1292" spans="1:2" x14ac:dyDescent="0.35">
      <c r="A1292" s="15">
        <v>1261735</v>
      </c>
      <c r="B1292" s="52">
        <v>1</v>
      </c>
    </row>
    <row r="1293" spans="1:2" x14ac:dyDescent="0.35">
      <c r="A1293" s="15">
        <v>1261747</v>
      </c>
      <c r="B1293" s="52">
        <v>1</v>
      </c>
    </row>
    <row r="1294" spans="1:2" x14ac:dyDescent="0.35">
      <c r="A1294" s="15">
        <v>1261751</v>
      </c>
      <c r="B1294" s="52">
        <v>1</v>
      </c>
    </row>
    <row r="1295" spans="1:2" x14ac:dyDescent="0.35">
      <c r="A1295" s="15">
        <v>1261752</v>
      </c>
      <c r="B1295" s="52">
        <v>1</v>
      </c>
    </row>
    <row r="1296" spans="1:2" x14ac:dyDescent="0.35">
      <c r="A1296" s="15">
        <v>1261761</v>
      </c>
      <c r="B1296" s="52">
        <v>1</v>
      </c>
    </row>
    <row r="1297" spans="1:2" x14ac:dyDescent="0.35">
      <c r="A1297" s="15">
        <v>1261762</v>
      </c>
      <c r="B1297" s="52">
        <v>1</v>
      </c>
    </row>
    <row r="1298" spans="1:2" x14ac:dyDescent="0.35">
      <c r="A1298" s="15">
        <v>1261767</v>
      </c>
      <c r="B1298" s="52">
        <v>1</v>
      </c>
    </row>
    <row r="1299" spans="1:2" x14ac:dyDescent="0.35">
      <c r="A1299" s="15">
        <v>1261768</v>
      </c>
      <c r="B1299" s="52">
        <v>1</v>
      </c>
    </row>
    <row r="1300" spans="1:2" x14ac:dyDescent="0.35">
      <c r="A1300" s="15">
        <v>1261842</v>
      </c>
      <c r="B1300" s="52">
        <v>1</v>
      </c>
    </row>
    <row r="1301" spans="1:2" x14ac:dyDescent="0.35">
      <c r="A1301" s="15">
        <v>1261853</v>
      </c>
      <c r="B1301" s="52">
        <v>1</v>
      </c>
    </row>
    <row r="1302" spans="1:2" x14ac:dyDescent="0.35">
      <c r="A1302" s="15">
        <v>1261970</v>
      </c>
      <c r="B1302" s="52">
        <v>1</v>
      </c>
    </row>
    <row r="1303" spans="1:2" x14ac:dyDescent="0.35">
      <c r="A1303" s="15">
        <v>1262007</v>
      </c>
      <c r="B1303" s="52">
        <v>1</v>
      </c>
    </row>
    <row r="1304" spans="1:2" x14ac:dyDescent="0.35">
      <c r="A1304" s="15">
        <v>1262063</v>
      </c>
      <c r="B1304" s="52">
        <v>1</v>
      </c>
    </row>
    <row r="1305" spans="1:2" x14ac:dyDescent="0.35">
      <c r="A1305" s="15">
        <v>1262064</v>
      </c>
      <c r="B1305" s="52">
        <v>1</v>
      </c>
    </row>
    <row r="1306" spans="1:2" x14ac:dyDescent="0.35">
      <c r="A1306" s="15">
        <v>1262066</v>
      </c>
      <c r="B1306" s="52">
        <v>1</v>
      </c>
    </row>
    <row r="1307" spans="1:2" x14ac:dyDescent="0.35">
      <c r="A1307" s="15">
        <v>1262075</v>
      </c>
      <c r="B1307" s="52">
        <v>1</v>
      </c>
    </row>
    <row r="1308" spans="1:2" x14ac:dyDescent="0.35">
      <c r="A1308" s="15">
        <v>1262087</v>
      </c>
      <c r="B1308" s="52">
        <v>1</v>
      </c>
    </row>
    <row r="1309" spans="1:2" x14ac:dyDescent="0.35">
      <c r="A1309" s="15">
        <v>1262110</v>
      </c>
      <c r="B1309" s="52">
        <v>1</v>
      </c>
    </row>
    <row r="1310" spans="1:2" x14ac:dyDescent="0.35">
      <c r="A1310" s="15">
        <v>1262123</v>
      </c>
      <c r="B1310" s="52">
        <v>1</v>
      </c>
    </row>
    <row r="1311" spans="1:2" x14ac:dyDescent="0.35">
      <c r="A1311" s="15">
        <v>1262129</v>
      </c>
      <c r="B1311" s="52">
        <v>1</v>
      </c>
    </row>
    <row r="1312" spans="1:2" x14ac:dyDescent="0.35">
      <c r="A1312" s="15">
        <v>1262143</v>
      </c>
      <c r="B1312" s="52">
        <v>1</v>
      </c>
    </row>
    <row r="1313" spans="1:2" x14ac:dyDescent="0.35">
      <c r="A1313" s="15">
        <v>1262162</v>
      </c>
      <c r="B1313" s="52">
        <v>1</v>
      </c>
    </row>
    <row r="1314" spans="1:2" x14ac:dyDescent="0.35">
      <c r="A1314" s="15">
        <v>1262177</v>
      </c>
      <c r="B1314" s="52">
        <v>1</v>
      </c>
    </row>
    <row r="1315" spans="1:2" x14ac:dyDescent="0.35">
      <c r="A1315" s="15">
        <v>1262187</v>
      </c>
      <c r="B1315" s="52">
        <v>1</v>
      </c>
    </row>
    <row r="1316" spans="1:2" x14ac:dyDescent="0.35">
      <c r="A1316" s="15">
        <v>1264027</v>
      </c>
      <c r="B1316" s="52">
        <v>1</v>
      </c>
    </row>
    <row r="1317" spans="1:2" x14ac:dyDescent="0.35">
      <c r="A1317" s="15">
        <v>1301014</v>
      </c>
      <c r="B1317" s="52">
        <v>1</v>
      </c>
    </row>
    <row r="1318" spans="1:2" x14ac:dyDescent="0.35">
      <c r="A1318" s="15">
        <v>1301015</v>
      </c>
      <c r="B1318" s="52">
        <v>1</v>
      </c>
    </row>
    <row r="1319" spans="1:2" x14ac:dyDescent="0.35">
      <c r="A1319" s="15">
        <v>1301051</v>
      </c>
      <c r="B1319" s="52">
        <v>1</v>
      </c>
    </row>
    <row r="1320" spans="1:2" x14ac:dyDescent="0.35">
      <c r="A1320" s="15">
        <v>1301052</v>
      </c>
      <c r="B1320" s="52">
        <v>1</v>
      </c>
    </row>
    <row r="1321" spans="1:2" x14ac:dyDescent="0.35">
      <c r="A1321" s="15">
        <v>1301062</v>
      </c>
      <c r="B1321" s="52">
        <v>1</v>
      </c>
    </row>
    <row r="1322" spans="1:2" x14ac:dyDescent="0.35">
      <c r="A1322" s="15">
        <v>1301081</v>
      </c>
      <c r="B1322" s="52">
        <v>1</v>
      </c>
    </row>
    <row r="1323" spans="1:2" x14ac:dyDescent="0.35">
      <c r="A1323" s="15">
        <v>1301093</v>
      </c>
      <c r="B1323" s="52">
        <v>1</v>
      </c>
    </row>
    <row r="1324" spans="1:2" x14ac:dyDescent="0.35">
      <c r="A1324" s="15">
        <v>1301107</v>
      </c>
      <c r="B1324" s="52">
        <v>1</v>
      </c>
    </row>
    <row r="1325" spans="1:2" x14ac:dyDescent="0.35">
      <c r="A1325" s="15">
        <v>1301200</v>
      </c>
      <c r="B1325" s="52">
        <v>1</v>
      </c>
    </row>
    <row r="1326" spans="1:2" x14ac:dyDescent="0.35">
      <c r="A1326" s="15">
        <v>1301202</v>
      </c>
      <c r="B1326" s="52">
        <v>1</v>
      </c>
    </row>
    <row r="1327" spans="1:2" x14ac:dyDescent="0.35">
      <c r="A1327" s="15">
        <v>1301203</v>
      </c>
      <c r="B1327" s="52">
        <v>1</v>
      </c>
    </row>
    <row r="1328" spans="1:2" x14ac:dyDescent="0.35">
      <c r="A1328" s="15">
        <v>1301204</v>
      </c>
      <c r="B1328" s="52">
        <v>1</v>
      </c>
    </row>
    <row r="1329" spans="1:2" x14ac:dyDescent="0.35">
      <c r="A1329" s="15">
        <v>1301205</v>
      </c>
      <c r="B1329" s="52">
        <v>1</v>
      </c>
    </row>
    <row r="1330" spans="1:2" x14ac:dyDescent="0.35">
      <c r="A1330" s="15">
        <v>1301206</v>
      </c>
      <c r="B1330" s="52">
        <v>1</v>
      </c>
    </row>
    <row r="1331" spans="1:2" x14ac:dyDescent="0.35">
      <c r="A1331" s="15">
        <v>1301207</v>
      </c>
      <c r="B1331" s="52">
        <v>1</v>
      </c>
    </row>
    <row r="1332" spans="1:2" x14ac:dyDescent="0.35">
      <c r="A1332" s="15">
        <v>1301249</v>
      </c>
      <c r="B1332" s="52">
        <v>1</v>
      </c>
    </row>
    <row r="1333" spans="1:2" x14ac:dyDescent="0.35">
      <c r="A1333" s="15">
        <v>1301250</v>
      </c>
      <c r="B1333" s="52">
        <v>1</v>
      </c>
    </row>
    <row r="1334" spans="1:2" x14ac:dyDescent="0.35">
      <c r="A1334" s="15">
        <v>1301254</v>
      </c>
      <c r="B1334" s="52">
        <v>1</v>
      </c>
    </row>
    <row r="1335" spans="1:2" x14ac:dyDescent="0.35">
      <c r="A1335" s="15">
        <v>1301256</v>
      </c>
      <c r="B1335" s="52">
        <v>1</v>
      </c>
    </row>
    <row r="1336" spans="1:2" x14ac:dyDescent="0.35">
      <c r="A1336" s="15">
        <v>1301258</v>
      </c>
      <c r="B1336" s="52">
        <v>1</v>
      </c>
    </row>
    <row r="1337" spans="1:2" x14ac:dyDescent="0.35">
      <c r="A1337" s="15">
        <v>1301259</v>
      </c>
      <c r="B1337" s="52">
        <v>1</v>
      </c>
    </row>
    <row r="1338" spans="1:2" x14ac:dyDescent="0.35">
      <c r="A1338" s="15">
        <v>1301263</v>
      </c>
      <c r="B1338" s="52">
        <v>1</v>
      </c>
    </row>
    <row r="1339" spans="1:2" x14ac:dyDescent="0.35">
      <c r="A1339" s="15">
        <v>1302058</v>
      </c>
      <c r="B1339" s="52">
        <v>1</v>
      </c>
    </row>
    <row r="1340" spans="1:2" x14ac:dyDescent="0.35">
      <c r="A1340" s="15">
        <v>1304056</v>
      </c>
      <c r="B1340" s="52">
        <v>1</v>
      </c>
    </row>
    <row r="1341" spans="1:2" x14ac:dyDescent="0.35">
      <c r="A1341" s="15">
        <v>1304067</v>
      </c>
      <c r="B1341" s="52">
        <v>1</v>
      </c>
    </row>
    <row r="1342" spans="1:2" x14ac:dyDescent="0.35">
      <c r="A1342" s="15">
        <v>1304068</v>
      </c>
      <c r="B1342" s="52">
        <v>1</v>
      </c>
    </row>
    <row r="1343" spans="1:2" x14ac:dyDescent="0.35">
      <c r="A1343" s="15">
        <v>1304070</v>
      </c>
      <c r="B1343" s="52">
        <v>1</v>
      </c>
    </row>
    <row r="1344" spans="1:2" x14ac:dyDescent="0.35">
      <c r="A1344" s="15">
        <v>1304076</v>
      </c>
      <c r="B1344" s="52">
        <v>1</v>
      </c>
    </row>
    <row r="1345" spans="1:2" x14ac:dyDescent="0.35">
      <c r="A1345" s="15">
        <v>1304077</v>
      </c>
      <c r="B1345" s="52">
        <v>1</v>
      </c>
    </row>
    <row r="1346" spans="1:2" x14ac:dyDescent="0.35">
      <c r="A1346" s="15">
        <v>1304078</v>
      </c>
      <c r="B1346" s="52">
        <v>1</v>
      </c>
    </row>
    <row r="1347" spans="1:2" x14ac:dyDescent="0.35">
      <c r="A1347" s="15">
        <v>1304080</v>
      </c>
      <c r="B1347" s="52">
        <v>1</v>
      </c>
    </row>
    <row r="1348" spans="1:2" x14ac:dyDescent="0.35">
      <c r="A1348" s="15">
        <v>1304081</v>
      </c>
      <c r="B1348" s="52">
        <v>1</v>
      </c>
    </row>
    <row r="1349" spans="1:2" x14ac:dyDescent="0.35">
      <c r="A1349" s="15">
        <v>1304152</v>
      </c>
      <c r="B1349" s="52">
        <v>1</v>
      </c>
    </row>
    <row r="1350" spans="1:2" x14ac:dyDescent="0.35">
      <c r="A1350" s="15">
        <v>1304154</v>
      </c>
      <c r="B1350" s="52">
        <v>1</v>
      </c>
    </row>
    <row r="1351" spans="1:2" x14ac:dyDescent="0.35">
      <c r="A1351" s="15">
        <v>1305123</v>
      </c>
      <c r="B1351" s="52">
        <v>1</v>
      </c>
    </row>
    <row r="1352" spans="1:2" x14ac:dyDescent="0.35">
      <c r="A1352" s="15">
        <v>1305133</v>
      </c>
      <c r="B1352" s="52">
        <v>1</v>
      </c>
    </row>
    <row r="1353" spans="1:2" x14ac:dyDescent="0.35">
      <c r="A1353" s="15">
        <v>1305134</v>
      </c>
      <c r="B1353" s="52">
        <v>1</v>
      </c>
    </row>
    <row r="1354" spans="1:2" x14ac:dyDescent="0.35">
      <c r="A1354" s="15">
        <v>1305138</v>
      </c>
      <c r="B1354" s="52">
        <v>1</v>
      </c>
    </row>
    <row r="1355" spans="1:2" x14ac:dyDescent="0.35">
      <c r="A1355" s="15">
        <v>1305155</v>
      </c>
      <c r="B1355" s="52">
        <v>1</v>
      </c>
    </row>
    <row r="1356" spans="1:2" x14ac:dyDescent="0.35">
      <c r="A1356" s="15">
        <v>1305157</v>
      </c>
      <c r="B1356" s="52">
        <v>1</v>
      </c>
    </row>
    <row r="1357" spans="1:2" x14ac:dyDescent="0.35">
      <c r="A1357" s="15">
        <v>1305159</v>
      </c>
      <c r="B1357" s="52">
        <v>1</v>
      </c>
    </row>
    <row r="1358" spans="1:2" x14ac:dyDescent="0.35">
      <c r="A1358" s="15">
        <v>1305165</v>
      </c>
      <c r="B1358" s="52">
        <v>1</v>
      </c>
    </row>
    <row r="1359" spans="1:2" x14ac:dyDescent="0.35">
      <c r="A1359" s="15">
        <v>1305166</v>
      </c>
      <c r="B1359" s="52">
        <v>1</v>
      </c>
    </row>
    <row r="1360" spans="1:2" x14ac:dyDescent="0.35">
      <c r="A1360" s="15">
        <v>1305171</v>
      </c>
      <c r="B1360" s="52">
        <v>1</v>
      </c>
    </row>
    <row r="1361" spans="1:2" x14ac:dyDescent="0.35">
      <c r="A1361" s="15">
        <v>1305181</v>
      </c>
      <c r="B1361" s="52">
        <v>1</v>
      </c>
    </row>
    <row r="1362" spans="1:2" x14ac:dyDescent="0.35">
      <c r="A1362" s="15">
        <v>1305184</v>
      </c>
      <c r="B1362" s="52">
        <v>1</v>
      </c>
    </row>
    <row r="1363" spans="1:2" x14ac:dyDescent="0.35">
      <c r="A1363" s="15">
        <v>1305190</v>
      </c>
      <c r="B1363" s="52">
        <v>1</v>
      </c>
    </row>
    <row r="1364" spans="1:2" x14ac:dyDescent="0.35">
      <c r="A1364" s="15">
        <v>1305196</v>
      </c>
      <c r="B1364" s="52">
        <v>1</v>
      </c>
    </row>
    <row r="1365" spans="1:2" x14ac:dyDescent="0.35">
      <c r="A1365" s="15">
        <v>1305199</v>
      </c>
      <c r="B1365" s="52">
        <v>1</v>
      </c>
    </row>
    <row r="1366" spans="1:2" x14ac:dyDescent="0.35">
      <c r="A1366" s="15">
        <v>1305203</v>
      </c>
      <c r="B1366" s="52">
        <v>1</v>
      </c>
    </row>
    <row r="1367" spans="1:2" x14ac:dyDescent="0.35">
      <c r="A1367" s="15">
        <v>1305204</v>
      </c>
      <c r="B1367" s="52">
        <v>1</v>
      </c>
    </row>
    <row r="1368" spans="1:2" x14ac:dyDescent="0.35">
      <c r="A1368" s="15">
        <v>1305206</v>
      </c>
      <c r="B1368" s="52">
        <v>1</v>
      </c>
    </row>
    <row r="1369" spans="1:2" x14ac:dyDescent="0.35">
      <c r="A1369" s="15">
        <v>1305207</v>
      </c>
      <c r="B1369" s="52">
        <v>1</v>
      </c>
    </row>
    <row r="1370" spans="1:2" x14ac:dyDescent="0.35">
      <c r="A1370" s="15">
        <v>1305208</v>
      </c>
      <c r="B1370" s="52">
        <v>1</v>
      </c>
    </row>
    <row r="1371" spans="1:2" x14ac:dyDescent="0.35">
      <c r="A1371" s="15">
        <v>1305211</v>
      </c>
      <c r="B1371" s="52">
        <v>1</v>
      </c>
    </row>
    <row r="1372" spans="1:2" x14ac:dyDescent="0.35">
      <c r="A1372" s="15">
        <v>1305213</v>
      </c>
      <c r="B1372" s="52">
        <v>1</v>
      </c>
    </row>
    <row r="1373" spans="1:2" x14ac:dyDescent="0.35">
      <c r="A1373" s="15">
        <v>1305215</v>
      </c>
      <c r="B1373" s="52">
        <v>1</v>
      </c>
    </row>
    <row r="1374" spans="1:2" x14ac:dyDescent="0.35">
      <c r="A1374" s="15">
        <v>1305219</v>
      </c>
      <c r="B1374" s="52">
        <v>1</v>
      </c>
    </row>
    <row r="1375" spans="1:2" x14ac:dyDescent="0.35">
      <c r="A1375" s="15">
        <v>1305223</v>
      </c>
      <c r="B1375" s="52">
        <v>1</v>
      </c>
    </row>
    <row r="1376" spans="1:2" x14ac:dyDescent="0.35">
      <c r="A1376" s="15">
        <v>1305237</v>
      </c>
      <c r="B1376" s="52">
        <v>1</v>
      </c>
    </row>
    <row r="1377" spans="1:2" x14ac:dyDescent="0.35">
      <c r="A1377" s="15">
        <v>1305306</v>
      </c>
      <c r="B1377" s="52">
        <v>1</v>
      </c>
    </row>
    <row r="1378" spans="1:2" x14ac:dyDescent="0.35">
      <c r="A1378" s="15">
        <v>1308011</v>
      </c>
      <c r="B1378" s="52">
        <v>1</v>
      </c>
    </row>
    <row r="1379" spans="1:2" x14ac:dyDescent="0.35">
      <c r="A1379" s="15">
        <v>1313015</v>
      </c>
      <c r="B1379" s="52">
        <v>1</v>
      </c>
    </row>
    <row r="1380" spans="1:2" x14ac:dyDescent="0.35">
      <c r="A1380" s="15">
        <v>1313018</v>
      </c>
      <c r="B1380" s="52">
        <v>1</v>
      </c>
    </row>
    <row r="1381" spans="1:2" x14ac:dyDescent="0.35">
      <c r="A1381" s="15">
        <v>1316016</v>
      </c>
      <c r="B1381" s="52">
        <v>1</v>
      </c>
    </row>
    <row r="1382" spans="1:2" x14ac:dyDescent="0.35">
      <c r="A1382" s="15">
        <v>1316017</v>
      </c>
      <c r="B1382" s="52">
        <v>1</v>
      </c>
    </row>
    <row r="1383" spans="1:2" x14ac:dyDescent="0.35">
      <c r="A1383" s="15">
        <v>1316022</v>
      </c>
      <c r="B1383" s="52">
        <v>1</v>
      </c>
    </row>
    <row r="1384" spans="1:2" x14ac:dyDescent="0.35">
      <c r="A1384" s="15">
        <v>1316027</v>
      </c>
      <c r="B1384" s="52">
        <v>1</v>
      </c>
    </row>
    <row r="1385" spans="1:2" x14ac:dyDescent="0.35">
      <c r="A1385" s="15">
        <v>1316037</v>
      </c>
      <c r="B1385" s="52">
        <v>1</v>
      </c>
    </row>
    <row r="1386" spans="1:2" x14ac:dyDescent="0.35">
      <c r="A1386" s="15">
        <v>1317012</v>
      </c>
      <c r="B1386" s="52">
        <v>1</v>
      </c>
    </row>
    <row r="1387" spans="1:2" x14ac:dyDescent="0.35">
      <c r="A1387" s="15">
        <v>1317040</v>
      </c>
      <c r="B1387" s="52">
        <v>1</v>
      </c>
    </row>
    <row r="1388" spans="1:2" x14ac:dyDescent="0.35">
      <c r="A1388" s="15">
        <v>1321027</v>
      </c>
      <c r="B1388" s="52">
        <v>1</v>
      </c>
    </row>
    <row r="1389" spans="1:2" x14ac:dyDescent="0.35">
      <c r="A1389" s="15">
        <v>1322034</v>
      </c>
      <c r="B1389" s="52">
        <v>1</v>
      </c>
    </row>
    <row r="1390" spans="1:2" x14ac:dyDescent="0.35">
      <c r="A1390" s="15">
        <v>1322039</v>
      </c>
      <c r="B1390" s="52">
        <v>1</v>
      </c>
    </row>
    <row r="1391" spans="1:2" x14ac:dyDescent="0.35">
      <c r="A1391" s="15">
        <v>1324002</v>
      </c>
      <c r="B1391" s="52">
        <v>1</v>
      </c>
    </row>
    <row r="1392" spans="1:2" x14ac:dyDescent="0.35">
      <c r="A1392" s="15">
        <v>1324013</v>
      </c>
      <c r="B1392" s="52">
        <v>1</v>
      </c>
    </row>
    <row r="1393" spans="1:2" x14ac:dyDescent="0.35">
      <c r="A1393" s="15">
        <v>1324016</v>
      </c>
      <c r="B1393" s="52">
        <v>1</v>
      </c>
    </row>
    <row r="1394" spans="1:2" x14ac:dyDescent="0.35">
      <c r="A1394" s="15">
        <v>1325001</v>
      </c>
      <c r="B1394" s="52">
        <v>1</v>
      </c>
    </row>
    <row r="1395" spans="1:2" x14ac:dyDescent="0.35">
      <c r="A1395" s="15">
        <v>1325009</v>
      </c>
      <c r="B1395" s="52">
        <v>1</v>
      </c>
    </row>
    <row r="1396" spans="1:2" x14ac:dyDescent="0.35">
      <c r="A1396" s="15">
        <v>1325015</v>
      </c>
      <c r="B1396" s="52">
        <v>1</v>
      </c>
    </row>
    <row r="1397" spans="1:2" x14ac:dyDescent="0.35">
      <c r="A1397" s="15">
        <v>1325030</v>
      </c>
      <c r="B1397" s="52">
        <v>1</v>
      </c>
    </row>
    <row r="1398" spans="1:2" x14ac:dyDescent="0.35">
      <c r="A1398" s="15">
        <v>1326016</v>
      </c>
      <c r="B1398" s="52">
        <v>1</v>
      </c>
    </row>
    <row r="1399" spans="1:2" x14ac:dyDescent="0.35">
      <c r="A1399" s="15">
        <v>1328003</v>
      </c>
      <c r="B1399" s="52">
        <v>1</v>
      </c>
    </row>
    <row r="1400" spans="1:2" x14ac:dyDescent="0.35">
      <c r="A1400" s="15">
        <v>1328004</v>
      </c>
      <c r="B1400" s="52">
        <v>1</v>
      </c>
    </row>
    <row r="1401" spans="1:2" x14ac:dyDescent="0.35">
      <c r="A1401" s="15">
        <v>1328011</v>
      </c>
      <c r="B1401" s="52">
        <v>1</v>
      </c>
    </row>
    <row r="1402" spans="1:2" x14ac:dyDescent="0.35">
      <c r="A1402" s="15">
        <v>1328013</v>
      </c>
      <c r="B1402" s="52">
        <v>1</v>
      </c>
    </row>
    <row r="1403" spans="1:2" x14ac:dyDescent="0.35">
      <c r="A1403" s="15">
        <v>1348003</v>
      </c>
      <c r="B1403" s="52">
        <v>1</v>
      </c>
    </row>
    <row r="1404" spans="1:2" x14ac:dyDescent="0.35">
      <c r="A1404" s="15">
        <v>1348011</v>
      </c>
      <c r="B1404" s="52">
        <v>1</v>
      </c>
    </row>
    <row r="1405" spans="1:2" x14ac:dyDescent="0.35">
      <c r="A1405" s="15">
        <v>1348029</v>
      </c>
      <c r="B1405" s="52">
        <v>1</v>
      </c>
    </row>
    <row r="1406" spans="1:2" x14ac:dyDescent="0.35">
      <c r="A1406" s="15">
        <v>1350006</v>
      </c>
      <c r="B1406" s="52">
        <v>1</v>
      </c>
    </row>
    <row r="1407" spans="1:2" x14ac:dyDescent="0.35">
      <c r="A1407" s="15">
        <v>1360003</v>
      </c>
      <c r="B1407" s="52">
        <v>1</v>
      </c>
    </row>
    <row r="1408" spans="1:2" x14ac:dyDescent="0.35">
      <c r="A1408" s="15">
        <v>1360005</v>
      </c>
      <c r="B1408" s="52">
        <v>1</v>
      </c>
    </row>
    <row r="1409" spans="1:2" x14ac:dyDescent="0.35">
      <c r="A1409" s="15">
        <v>1360016</v>
      </c>
      <c r="B1409" s="52">
        <v>1</v>
      </c>
    </row>
    <row r="1410" spans="1:2" x14ac:dyDescent="0.35">
      <c r="A1410" s="15">
        <v>1360022</v>
      </c>
      <c r="B1410" s="52">
        <v>1</v>
      </c>
    </row>
    <row r="1411" spans="1:2" x14ac:dyDescent="0.35">
      <c r="A1411" s="15">
        <v>1360058</v>
      </c>
      <c r="B1411" s="52">
        <v>1</v>
      </c>
    </row>
    <row r="1412" spans="1:2" x14ac:dyDescent="0.35">
      <c r="A1412" s="15">
        <v>1360133</v>
      </c>
      <c r="B1412" s="52">
        <v>1</v>
      </c>
    </row>
    <row r="1413" spans="1:2" x14ac:dyDescent="0.35">
      <c r="A1413" s="15">
        <v>1360147</v>
      </c>
      <c r="B1413" s="52">
        <v>1</v>
      </c>
    </row>
    <row r="1414" spans="1:2" x14ac:dyDescent="0.35">
      <c r="A1414" s="15">
        <v>1360159</v>
      </c>
      <c r="B1414" s="52">
        <v>1</v>
      </c>
    </row>
    <row r="1415" spans="1:2" x14ac:dyDescent="0.35">
      <c r="A1415" s="15">
        <v>1360166</v>
      </c>
      <c r="B1415" s="52">
        <v>1</v>
      </c>
    </row>
    <row r="1416" spans="1:2" x14ac:dyDescent="0.35">
      <c r="A1416" s="15">
        <v>1360181</v>
      </c>
      <c r="B1416" s="52">
        <v>1</v>
      </c>
    </row>
    <row r="1417" spans="1:2" x14ac:dyDescent="0.35">
      <c r="A1417" s="15">
        <v>1360281</v>
      </c>
      <c r="B1417" s="52">
        <v>1</v>
      </c>
    </row>
    <row r="1418" spans="1:2" x14ac:dyDescent="0.35">
      <c r="A1418" s="15">
        <v>1360297</v>
      </c>
      <c r="B1418" s="52">
        <v>1</v>
      </c>
    </row>
    <row r="1419" spans="1:2" x14ac:dyDescent="0.35">
      <c r="A1419" s="15">
        <v>1360319</v>
      </c>
      <c r="B1419" s="52">
        <v>1</v>
      </c>
    </row>
    <row r="1420" spans="1:2" x14ac:dyDescent="0.35">
      <c r="A1420" s="15">
        <v>1360320</v>
      </c>
      <c r="B1420" s="52">
        <v>1</v>
      </c>
    </row>
    <row r="1421" spans="1:2" x14ac:dyDescent="0.35">
      <c r="A1421" s="15">
        <v>1360368</v>
      </c>
      <c r="B1421" s="52">
        <v>1</v>
      </c>
    </row>
    <row r="1422" spans="1:2" x14ac:dyDescent="0.35">
      <c r="A1422" s="15">
        <v>1360387</v>
      </c>
      <c r="B1422" s="52">
        <v>1</v>
      </c>
    </row>
    <row r="1423" spans="1:2" x14ac:dyDescent="0.35">
      <c r="A1423" s="15">
        <v>1360412</v>
      </c>
      <c r="B1423" s="52">
        <v>1</v>
      </c>
    </row>
    <row r="1424" spans="1:2" x14ac:dyDescent="0.35">
      <c r="A1424" s="15">
        <v>1360592</v>
      </c>
      <c r="B1424" s="52">
        <v>1</v>
      </c>
    </row>
    <row r="1425" spans="1:2" x14ac:dyDescent="0.35">
      <c r="A1425" s="15">
        <v>1360608</v>
      </c>
      <c r="B1425" s="52">
        <v>1</v>
      </c>
    </row>
    <row r="1426" spans="1:2" x14ac:dyDescent="0.35">
      <c r="A1426" s="15">
        <v>1360614</v>
      </c>
      <c r="B1426" s="52">
        <v>1</v>
      </c>
    </row>
    <row r="1427" spans="1:2" x14ac:dyDescent="0.35">
      <c r="A1427" s="15">
        <v>1360617</v>
      </c>
      <c r="B1427" s="52">
        <v>1</v>
      </c>
    </row>
    <row r="1428" spans="1:2" x14ac:dyDescent="0.35">
      <c r="A1428" s="15">
        <v>1360638</v>
      </c>
      <c r="B1428" s="52">
        <v>1</v>
      </c>
    </row>
    <row r="1429" spans="1:2" x14ac:dyDescent="0.35">
      <c r="A1429" s="15">
        <v>1360639</v>
      </c>
      <c r="B1429" s="52">
        <v>1</v>
      </c>
    </row>
    <row r="1430" spans="1:2" x14ac:dyDescent="0.35">
      <c r="A1430" s="15">
        <v>1360663</v>
      </c>
      <c r="B1430" s="52">
        <v>1</v>
      </c>
    </row>
    <row r="1431" spans="1:2" x14ac:dyDescent="0.35">
      <c r="A1431" s="15">
        <v>1360677</v>
      </c>
      <c r="B1431" s="52">
        <v>1</v>
      </c>
    </row>
    <row r="1432" spans="1:2" x14ac:dyDescent="0.35">
      <c r="A1432" s="15">
        <v>1360681</v>
      </c>
      <c r="B1432" s="52">
        <v>1</v>
      </c>
    </row>
    <row r="1433" spans="1:2" x14ac:dyDescent="0.35">
      <c r="A1433" s="15">
        <v>1360694</v>
      </c>
      <c r="B1433" s="52">
        <v>1</v>
      </c>
    </row>
    <row r="1434" spans="1:2" x14ac:dyDescent="0.35">
      <c r="A1434" s="15">
        <v>1360696</v>
      </c>
      <c r="B1434" s="52">
        <v>1</v>
      </c>
    </row>
    <row r="1435" spans="1:2" x14ac:dyDescent="0.35">
      <c r="A1435" s="15">
        <v>1360702</v>
      </c>
      <c r="B1435" s="52">
        <v>1</v>
      </c>
    </row>
    <row r="1436" spans="1:2" x14ac:dyDescent="0.35">
      <c r="A1436" s="15">
        <v>1360704</v>
      </c>
      <c r="B1436" s="52">
        <v>1</v>
      </c>
    </row>
    <row r="1437" spans="1:2" x14ac:dyDescent="0.35">
      <c r="A1437" s="15">
        <v>1360738</v>
      </c>
      <c r="B1437" s="52">
        <v>1</v>
      </c>
    </row>
    <row r="1438" spans="1:2" x14ac:dyDescent="0.35">
      <c r="A1438" s="15">
        <v>1360739</v>
      </c>
      <c r="B1438" s="52">
        <v>1</v>
      </c>
    </row>
    <row r="1439" spans="1:2" x14ac:dyDescent="0.35">
      <c r="A1439" s="15">
        <v>1360746</v>
      </c>
      <c r="B1439" s="52">
        <v>1</v>
      </c>
    </row>
    <row r="1440" spans="1:2" x14ac:dyDescent="0.35">
      <c r="A1440" s="15">
        <v>1360747</v>
      </c>
      <c r="B1440" s="52">
        <v>1</v>
      </c>
    </row>
    <row r="1441" spans="1:2" x14ac:dyDescent="0.35">
      <c r="A1441" s="15">
        <v>1360748</v>
      </c>
      <c r="B1441" s="52">
        <v>1</v>
      </c>
    </row>
    <row r="1442" spans="1:2" x14ac:dyDescent="0.35">
      <c r="A1442" s="15">
        <v>1360754</v>
      </c>
      <c r="B1442" s="52">
        <v>1</v>
      </c>
    </row>
    <row r="1443" spans="1:2" x14ac:dyDescent="0.35">
      <c r="A1443" s="15">
        <v>1360755</v>
      </c>
      <c r="B1443" s="52">
        <v>1</v>
      </c>
    </row>
    <row r="1444" spans="1:2" x14ac:dyDescent="0.35">
      <c r="A1444" s="15">
        <v>1360862</v>
      </c>
      <c r="B1444" s="52">
        <v>1</v>
      </c>
    </row>
    <row r="1445" spans="1:2" x14ac:dyDescent="0.35">
      <c r="A1445" s="15">
        <v>1360867</v>
      </c>
      <c r="B1445" s="52">
        <v>1</v>
      </c>
    </row>
    <row r="1446" spans="1:2" x14ac:dyDescent="0.35">
      <c r="A1446" s="15">
        <v>1360869</v>
      </c>
      <c r="B1446" s="52">
        <v>1</v>
      </c>
    </row>
    <row r="1447" spans="1:2" x14ac:dyDescent="0.35">
      <c r="A1447" s="15">
        <v>1360923</v>
      </c>
      <c r="B1447" s="52">
        <v>1</v>
      </c>
    </row>
    <row r="1448" spans="1:2" x14ac:dyDescent="0.35">
      <c r="A1448" s="15">
        <v>1360962</v>
      </c>
      <c r="B1448" s="52">
        <v>1</v>
      </c>
    </row>
    <row r="1449" spans="1:2" x14ac:dyDescent="0.35">
      <c r="A1449" s="15">
        <v>1361012</v>
      </c>
      <c r="B1449" s="52">
        <v>1</v>
      </c>
    </row>
    <row r="1450" spans="1:2" x14ac:dyDescent="0.35">
      <c r="A1450" s="15">
        <v>1361015</v>
      </c>
      <c r="B1450" s="52">
        <v>1</v>
      </c>
    </row>
    <row r="1451" spans="1:2" x14ac:dyDescent="0.35">
      <c r="A1451" s="15">
        <v>1361024</v>
      </c>
      <c r="B1451" s="52">
        <v>1</v>
      </c>
    </row>
    <row r="1452" spans="1:2" x14ac:dyDescent="0.35">
      <c r="A1452" s="15">
        <v>1361040</v>
      </c>
      <c r="B1452" s="52">
        <v>1</v>
      </c>
    </row>
    <row r="1453" spans="1:2" x14ac:dyDescent="0.35">
      <c r="A1453" s="15">
        <v>1361047</v>
      </c>
      <c r="B1453" s="52">
        <v>1</v>
      </c>
    </row>
    <row r="1454" spans="1:2" x14ac:dyDescent="0.35">
      <c r="A1454" s="15">
        <v>1361103</v>
      </c>
      <c r="B1454" s="52">
        <v>1</v>
      </c>
    </row>
    <row r="1455" spans="1:2" x14ac:dyDescent="0.35">
      <c r="A1455" s="15">
        <v>1361104</v>
      </c>
      <c r="B1455" s="52">
        <v>1</v>
      </c>
    </row>
    <row r="1456" spans="1:2" x14ac:dyDescent="0.35">
      <c r="A1456" s="15">
        <v>1361105</v>
      </c>
      <c r="B1456" s="52">
        <v>1</v>
      </c>
    </row>
    <row r="1457" spans="1:2" x14ac:dyDescent="0.35">
      <c r="A1457" s="15">
        <v>1361113</v>
      </c>
      <c r="B1457" s="52">
        <v>1</v>
      </c>
    </row>
    <row r="1458" spans="1:2" x14ac:dyDescent="0.35">
      <c r="A1458" s="15">
        <v>1361114</v>
      </c>
      <c r="B1458" s="52">
        <v>1</v>
      </c>
    </row>
    <row r="1459" spans="1:2" x14ac:dyDescent="0.35">
      <c r="A1459" s="15">
        <v>1361116</v>
      </c>
      <c r="B1459" s="52">
        <v>1</v>
      </c>
    </row>
    <row r="1460" spans="1:2" x14ac:dyDescent="0.35">
      <c r="A1460" s="15">
        <v>1361119</v>
      </c>
      <c r="B1460" s="52">
        <v>1</v>
      </c>
    </row>
    <row r="1461" spans="1:2" x14ac:dyDescent="0.35">
      <c r="A1461" s="15">
        <v>1361120</v>
      </c>
      <c r="B1461" s="52">
        <v>1</v>
      </c>
    </row>
    <row r="1462" spans="1:2" x14ac:dyDescent="0.35">
      <c r="A1462" s="15">
        <v>1361123</v>
      </c>
      <c r="B1462" s="52">
        <v>1</v>
      </c>
    </row>
    <row r="1463" spans="1:2" x14ac:dyDescent="0.35">
      <c r="A1463" s="15">
        <v>1361125</v>
      </c>
      <c r="B1463" s="52">
        <v>1</v>
      </c>
    </row>
    <row r="1464" spans="1:2" x14ac:dyDescent="0.35">
      <c r="A1464" s="15">
        <v>1361140</v>
      </c>
      <c r="B1464" s="52">
        <v>1</v>
      </c>
    </row>
    <row r="1465" spans="1:2" x14ac:dyDescent="0.35">
      <c r="A1465" s="15">
        <v>1361142</v>
      </c>
      <c r="B1465" s="52">
        <v>1</v>
      </c>
    </row>
    <row r="1466" spans="1:2" x14ac:dyDescent="0.35">
      <c r="A1466" s="15">
        <v>1361143</v>
      </c>
      <c r="B1466" s="52">
        <v>1</v>
      </c>
    </row>
    <row r="1467" spans="1:2" x14ac:dyDescent="0.35">
      <c r="A1467" s="15">
        <v>1361144</v>
      </c>
      <c r="B1467" s="52">
        <v>1</v>
      </c>
    </row>
    <row r="1468" spans="1:2" x14ac:dyDescent="0.35">
      <c r="A1468" s="15">
        <v>1361150</v>
      </c>
      <c r="B1468" s="52">
        <v>1</v>
      </c>
    </row>
    <row r="1469" spans="1:2" x14ac:dyDescent="0.35">
      <c r="A1469" s="15">
        <v>1361153</v>
      </c>
      <c r="B1469" s="52">
        <v>1</v>
      </c>
    </row>
    <row r="1470" spans="1:2" x14ac:dyDescent="0.35">
      <c r="A1470" s="15">
        <v>1361154</v>
      </c>
      <c r="B1470" s="52">
        <v>1</v>
      </c>
    </row>
    <row r="1471" spans="1:2" x14ac:dyDescent="0.35">
      <c r="A1471" s="15">
        <v>1361156</v>
      </c>
      <c r="B1471" s="52">
        <v>1</v>
      </c>
    </row>
    <row r="1472" spans="1:2" x14ac:dyDescent="0.35">
      <c r="A1472" s="15">
        <v>1361157</v>
      </c>
      <c r="B1472" s="52">
        <v>1</v>
      </c>
    </row>
    <row r="1473" spans="1:2" x14ac:dyDescent="0.35">
      <c r="A1473" s="15">
        <v>1361162</v>
      </c>
      <c r="B1473" s="52">
        <v>1</v>
      </c>
    </row>
    <row r="1474" spans="1:2" x14ac:dyDescent="0.35">
      <c r="A1474" s="15">
        <v>1361163</v>
      </c>
      <c r="B1474" s="52">
        <v>1</v>
      </c>
    </row>
    <row r="1475" spans="1:2" x14ac:dyDescent="0.35">
      <c r="A1475" s="15">
        <v>1361168</v>
      </c>
      <c r="B1475" s="52">
        <v>1</v>
      </c>
    </row>
    <row r="1476" spans="1:2" x14ac:dyDescent="0.35">
      <c r="A1476" s="15">
        <v>1361169</v>
      </c>
      <c r="B1476" s="52">
        <v>1</v>
      </c>
    </row>
    <row r="1477" spans="1:2" x14ac:dyDescent="0.35">
      <c r="A1477" s="15">
        <v>1361170</v>
      </c>
      <c r="B1477" s="52">
        <v>1</v>
      </c>
    </row>
    <row r="1478" spans="1:2" x14ac:dyDescent="0.35">
      <c r="A1478" s="15">
        <v>1402850</v>
      </c>
      <c r="B1478" s="52">
        <v>1</v>
      </c>
    </row>
    <row r="1479" spans="1:2" x14ac:dyDescent="0.35">
      <c r="A1479" s="15">
        <v>1410047</v>
      </c>
      <c r="B1479" s="52">
        <v>1</v>
      </c>
    </row>
    <row r="1480" spans="1:2" x14ac:dyDescent="0.35">
      <c r="A1480" s="15">
        <v>1410826</v>
      </c>
      <c r="B1480" s="52">
        <v>1</v>
      </c>
    </row>
    <row r="1481" spans="1:2" x14ac:dyDescent="0.35">
      <c r="A1481" s="15">
        <v>1410960</v>
      </c>
      <c r="B1481" s="52">
        <v>1</v>
      </c>
    </row>
    <row r="1482" spans="1:2" x14ac:dyDescent="0.35">
      <c r="A1482" s="15">
        <v>1411142</v>
      </c>
      <c r="B1482" s="52">
        <v>1</v>
      </c>
    </row>
    <row r="1483" spans="1:2" x14ac:dyDescent="0.35">
      <c r="A1483" s="15">
        <v>1411277</v>
      </c>
      <c r="B1483" s="52">
        <v>1</v>
      </c>
    </row>
    <row r="1484" spans="1:2" x14ac:dyDescent="0.35">
      <c r="A1484" s="15">
        <v>1411285</v>
      </c>
      <c r="B1484" s="52">
        <v>1</v>
      </c>
    </row>
    <row r="1485" spans="1:2" x14ac:dyDescent="0.35">
      <c r="A1485" s="15">
        <v>1411641</v>
      </c>
      <c r="B1485" s="52">
        <v>1</v>
      </c>
    </row>
    <row r="1486" spans="1:2" x14ac:dyDescent="0.35">
      <c r="A1486" s="15">
        <v>1411717</v>
      </c>
      <c r="B1486" s="52">
        <v>1</v>
      </c>
    </row>
    <row r="1487" spans="1:2" x14ac:dyDescent="0.35">
      <c r="A1487" s="15">
        <v>1439005</v>
      </c>
      <c r="B1487" s="52">
        <v>1</v>
      </c>
    </row>
    <row r="1488" spans="1:2" x14ac:dyDescent="0.35">
      <c r="A1488" s="15">
        <v>1439006</v>
      </c>
      <c r="B1488" s="52">
        <v>1</v>
      </c>
    </row>
    <row r="1489" spans="1:2" x14ac:dyDescent="0.35">
      <c r="A1489" s="15">
        <v>1439007</v>
      </c>
      <c r="B1489" s="52">
        <v>1</v>
      </c>
    </row>
    <row r="1490" spans="1:2" x14ac:dyDescent="0.35">
      <c r="A1490" s="15">
        <v>1439018</v>
      </c>
      <c r="B1490" s="52">
        <v>1</v>
      </c>
    </row>
    <row r="1491" spans="1:2" x14ac:dyDescent="0.35">
      <c r="A1491" s="15">
        <v>1439029</v>
      </c>
      <c r="B1491" s="52">
        <v>1</v>
      </c>
    </row>
    <row r="1492" spans="1:2" x14ac:dyDescent="0.35">
      <c r="A1492" s="15">
        <v>1439073</v>
      </c>
      <c r="B1492" s="52">
        <v>1</v>
      </c>
    </row>
    <row r="1493" spans="1:2" x14ac:dyDescent="0.35">
      <c r="A1493" s="15">
        <v>1439086</v>
      </c>
      <c r="B1493" s="52">
        <v>1</v>
      </c>
    </row>
    <row r="1494" spans="1:2" x14ac:dyDescent="0.35">
      <c r="A1494" s="15">
        <v>1439098</v>
      </c>
      <c r="B1494" s="52">
        <v>1</v>
      </c>
    </row>
    <row r="1495" spans="1:2" x14ac:dyDescent="0.35">
      <c r="A1495" s="15">
        <v>1439102</v>
      </c>
      <c r="B1495" s="52">
        <v>1</v>
      </c>
    </row>
    <row r="1496" spans="1:2" x14ac:dyDescent="0.35">
      <c r="A1496" s="15">
        <v>1439104</v>
      </c>
      <c r="B1496" s="52">
        <v>1</v>
      </c>
    </row>
    <row r="1497" spans="1:2" x14ac:dyDescent="0.35">
      <c r="A1497" s="15">
        <v>1439123</v>
      </c>
      <c r="B1497" s="52">
        <v>1</v>
      </c>
    </row>
    <row r="1498" spans="1:2" x14ac:dyDescent="0.35">
      <c r="A1498" s="15">
        <v>1439214</v>
      </c>
      <c r="B1498" s="52">
        <v>1</v>
      </c>
    </row>
    <row r="1499" spans="1:2" x14ac:dyDescent="0.35">
      <c r="A1499" s="15">
        <v>1439221</v>
      </c>
      <c r="B1499" s="52">
        <v>1</v>
      </c>
    </row>
    <row r="1500" spans="1:2" x14ac:dyDescent="0.35">
      <c r="A1500" s="15">
        <v>1439234</v>
      </c>
      <c r="B1500" s="52">
        <v>1</v>
      </c>
    </row>
    <row r="1501" spans="1:2" x14ac:dyDescent="0.35">
      <c r="A1501" s="15">
        <v>1439245</v>
      </c>
      <c r="B1501" s="52">
        <v>1</v>
      </c>
    </row>
    <row r="1502" spans="1:2" x14ac:dyDescent="0.35">
      <c r="A1502" s="15">
        <v>1439312</v>
      </c>
      <c r="B1502" s="52">
        <v>1</v>
      </c>
    </row>
    <row r="1503" spans="1:2" x14ac:dyDescent="0.35">
      <c r="A1503" s="15">
        <v>1439330</v>
      </c>
      <c r="B1503" s="52">
        <v>1</v>
      </c>
    </row>
    <row r="1504" spans="1:2" x14ac:dyDescent="0.35">
      <c r="A1504" s="15">
        <v>1439506</v>
      </c>
      <c r="B1504" s="52">
        <v>1</v>
      </c>
    </row>
    <row r="1505" spans="1:2" x14ac:dyDescent="0.35">
      <c r="A1505" s="15">
        <v>1439521</v>
      </c>
      <c r="B1505" s="52">
        <v>1</v>
      </c>
    </row>
    <row r="1506" spans="1:2" x14ac:dyDescent="0.35">
      <c r="A1506" s="15">
        <v>1439529</v>
      </c>
      <c r="B1506" s="52">
        <v>1</v>
      </c>
    </row>
    <row r="1507" spans="1:2" x14ac:dyDescent="0.35">
      <c r="A1507" s="15">
        <v>1439530</v>
      </c>
      <c r="B1507" s="52">
        <v>1</v>
      </c>
    </row>
    <row r="1508" spans="1:2" x14ac:dyDescent="0.35">
      <c r="A1508" s="15">
        <v>1439533</v>
      </c>
      <c r="B1508" s="52">
        <v>1</v>
      </c>
    </row>
    <row r="1509" spans="1:2" x14ac:dyDescent="0.35">
      <c r="A1509" s="15">
        <v>1439534</v>
      </c>
      <c r="B1509" s="52">
        <v>1</v>
      </c>
    </row>
    <row r="1510" spans="1:2" x14ac:dyDescent="0.35">
      <c r="A1510" s="15">
        <v>1439535</v>
      </c>
      <c r="B1510" s="52">
        <v>1</v>
      </c>
    </row>
    <row r="1511" spans="1:2" x14ac:dyDescent="0.35">
      <c r="A1511" s="15">
        <v>1440007</v>
      </c>
      <c r="B1511" s="52">
        <v>1</v>
      </c>
    </row>
    <row r="1512" spans="1:2" x14ac:dyDescent="0.35">
      <c r="A1512" s="15">
        <v>1440014</v>
      </c>
      <c r="B1512" s="52">
        <v>1</v>
      </c>
    </row>
    <row r="1513" spans="1:2" x14ac:dyDescent="0.35">
      <c r="A1513" s="15">
        <v>1440042</v>
      </c>
      <c r="B1513" s="52">
        <v>1</v>
      </c>
    </row>
    <row r="1514" spans="1:2" x14ac:dyDescent="0.35">
      <c r="A1514" s="15">
        <v>1440060</v>
      </c>
      <c r="B1514" s="52">
        <v>1</v>
      </c>
    </row>
    <row r="1515" spans="1:2" x14ac:dyDescent="0.35">
      <c r="A1515" s="15">
        <v>1440087</v>
      </c>
      <c r="B1515" s="52">
        <v>1</v>
      </c>
    </row>
    <row r="1516" spans="1:2" x14ac:dyDescent="0.35">
      <c r="A1516" s="15">
        <v>1440161</v>
      </c>
      <c r="B1516" s="52">
        <v>1</v>
      </c>
    </row>
    <row r="1517" spans="1:2" x14ac:dyDescent="0.35">
      <c r="A1517" s="15">
        <v>1440166</v>
      </c>
      <c r="B1517" s="52">
        <v>1</v>
      </c>
    </row>
    <row r="1518" spans="1:2" x14ac:dyDescent="0.35">
      <c r="A1518" s="15">
        <v>1440567</v>
      </c>
      <c r="B1518" s="52">
        <v>1</v>
      </c>
    </row>
    <row r="1519" spans="1:2" x14ac:dyDescent="0.35">
      <c r="A1519" s="15">
        <v>1492019</v>
      </c>
      <c r="B1519" s="52">
        <v>1</v>
      </c>
    </row>
    <row r="1520" spans="1:2" x14ac:dyDescent="0.35">
      <c r="A1520" s="15">
        <v>1492021</v>
      </c>
      <c r="B1520" s="52">
        <v>1</v>
      </c>
    </row>
    <row r="1521" spans="1:2" x14ac:dyDescent="0.35">
      <c r="A1521" s="15">
        <v>1492164</v>
      </c>
      <c r="B1521" s="52">
        <v>1</v>
      </c>
    </row>
    <row r="1522" spans="1:2" x14ac:dyDescent="0.35">
      <c r="A1522" s="15">
        <v>1492415</v>
      </c>
      <c r="B1522" s="52">
        <v>1</v>
      </c>
    </row>
    <row r="1523" spans="1:2" x14ac:dyDescent="0.35">
      <c r="A1523" s="15">
        <v>1500013</v>
      </c>
      <c r="B1523" s="52">
        <v>1</v>
      </c>
    </row>
    <row r="1524" spans="1:2" x14ac:dyDescent="0.35">
      <c r="A1524" s="15">
        <v>1500015</v>
      </c>
      <c r="B1524" s="52">
        <v>1</v>
      </c>
    </row>
    <row r="1525" spans="1:2" x14ac:dyDescent="0.35">
      <c r="A1525" s="15">
        <v>1500036</v>
      </c>
      <c r="B1525" s="52">
        <v>1</v>
      </c>
    </row>
    <row r="1526" spans="1:2" x14ac:dyDescent="0.35">
      <c r="A1526" s="15">
        <v>1502064</v>
      </c>
      <c r="B1526" s="52">
        <v>1</v>
      </c>
    </row>
    <row r="1527" spans="1:2" x14ac:dyDescent="0.35">
      <c r="A1527" s="15">
        <v>1502081</v>
      </c>
      <c r="B1527" s="52">
        <v>1</v>
      </c>
    </row>
    <row r="1528" spans="1:2" x14ac:dyDescent="0.35">
      <c r="A1528" s="15">
        <v>1502082</v>
      </c>
      <c r="B1528" s="52">
        <v>1</v>
      </c>
    </row>
    <row r="1529" spans="1:2" x14ac:dyDescent="0.35">
      <c r="A1529" s="15">
        <v>1502083</v>
      </c>
      <c r="B1529" s="52">
        <v>1</v>
      </c>
    </row>
    <row r="1530" spans="1:2" x14ac:dyDescent="0.35">
      <c r="A1530" s="15">
        <v>1502111</v>
      </c>
      <c r="B1530" s="52">
        <v>1</v>
      </c>
    </row>
    <row r="1531" spans="1:2" x14ac:dyDescent="0.35">
      <c r="A1531" s="15">
        <v>1502125</v>
      </c>
      <c r="B1531" s="52">
        <v>1</v>
      </c>
    </row>
    <row r="1532" spans="1:2" x14ac:dyDescent="0.35">
      <c r="A1532" s="15">
        <v>1502169</v>
      </c>
      <c r="B1532" s="52">
        <v>1</v>
      </c>
    </row>
    <row r="1533" spans="1:2" x14ac:dyDescent="0.35">
      <c r="A1533" s="15">
        <v>1502230</v>
      </c>
      <c r="B1533" s="52">
        <v>1</v>
      </c>
    </row>
    <row r="1534" spans="1:2" x14ac:dyDescent="0.35">
      <c r="A1534" s="15">
        <v>1502277</v>
      </c>
      <c r="B1534" s="52">
        <v>1</v>
      </c>
    </row>
    <row r="1535" spans="1:2" x14ac:dyDescent="0.35">
      <c r="A1535" s="15">
        <v>1502425</v>
      </c>
      <c r="B1535" s="52">
        <v>1</v>
      </c>
    </row>
    <row r="1536" spans="1:2" x14ac:dyDescent="0.35">
      <c r="A1536" s="15">
        <v>1502643</v>
      </c>
      <c r="B1536" s="52">
        <v>1</v>
      </c>
    </row>
    <row r="1537" spans="1:2" x14ac:dyDescent="0.35">
      <c r="A1537" s="15">
        <v>1502715</v>
      </c>
      <c r="B1537" s="52">
        <v>1</v>
      </c>
    </row>
    <row r="1538" spans="1:2" x14ac:dyDescent="0.35">
      <c r="A1538" s="15">
        <v>1503293</v>
      </c>
      <c r="B1538" s="52">
        <v>1</v>
      </c>
    </row>
    <row r="1539" spans="1:2" x14ac:dyDescent="0.35">
      <c r="A1539" s="15">
        <v>1503596</v>
      </c>
      <c r="B1539" s="52">
        <v>1</v>
      </c>
    </row>
    <row r="1540" spans="1:2" x14ac:dyDescent="0.35">
      <c r="A1540" s="15">
        <v>1503716</v>
      </c>
      <c r="B1540" s="52">
        <v>1</v>
      </c>
    </row>
    <row r="1541" spans="1:2" x14ac:dyDescent="0.35">
      <c r="A1541" s="15">
        <v>1503741</v>
      </c>
      <c r="B1541" s="52">
        <v>1</v>
      </c>
    </row>
    <row r="1542" spans="1:2" x14ac:dyDescent="0.35">
      <c r="A1542" s="15">
        <v>1503883</v>
      </c>
      <c r="B1542" s="52">
        <v>1</v>
      </c>
    </row>
    <row r="1543" spans="1:2" x14ac:dyDescent="0.35">
      <c r="A1543" s="15">
        <v>1503884</v>
      </c>
      <c r="B1543" s="52">
        <v>1</v>
      </c>
    </row>
    <row r="1544" spans="1:2" x14ac:dyDescent="0.35">
      <c r="A1544" s="15">
        <v>1503885</v>
      </c>
      <c r="B1544" s="52">
        <v>1</v>
      </c>
    </row>
    <row r="1545" spans="1:2" x14ac:dyDescent="0.35">
      <c r="A1545" s="15">
        <v>1503886</v>
      </c>
      <c r="B1545" s="52">
        <v>1</v>
      </c>
    </row>
    <row r="1546" spans="1:2" x14ac:dyDescent="0.35">
      <c r="A1546" s="15">
        <v>1503887</v>
      </c>
      <c r="B1546" s="52">
        <v>1</v>
      </c>
    </row>
    <row r="1547" spans="1:2" x14ac:dyDescent="0.35">
      <c r="A1547" s="15">
        <v>1503888</v>
      </c>
      <c r="B1547" s="52">
        <v>1</v>
      </c>
    </row>
    <row r="1548" spans="1:2" x14ac:dyDescent="0.35">
      <c r="A1548" s="15">
        <v>1504095</v>
      </c>
      <c r="B1548" s="52">
        <v>1</v>
      </c>
    </row>
    <row r="1549" spans="1:2" x14ac:dyDescent="0.35">
      <c r="A1549" s="15">
        <v>1504098</v>
      </c>
      <c r="B1549" s="52">
        <v>1</v>
      </c>
    </row>
    <row r="1550" spans="1:2" x14ac:dyDescent="0.35">
      <c r="A1550" s="15">
        <v>1504100</v>
      </c>
      <c r="B1550" s="52">
        <v>1</v>
      </c>
    </row>
    <row r="1551" spans="1:2" x14ac:dyDescent="0.35">
      <c r="A1551" s="15">
        <v>1504328</v>
      </c>
      <c r="B1551" s="52">
        <v>1</v>
      </c>
    </row>
    <row r="1552" spans="1:2" x14ac:dyDescent="0.35">
      <c r="A1552" s="15">
        <v>1504395</v>
      </c>
      <c r="B1552" s="52">
        <v>1</v>
      </c>
    </row>
    <row r="1553" spans="1:2" x14ac:dyDescent="0.35">
      <c r="A1553" s="15">
        <v>1504397</v>
      </c>
      <c r="B1553" s="52">
        <v>1</v>
      </c>
    </row>
    <row r="1554" spans="1:2" x14ac:dyDescent="0.35">
      <c r="A1554" s="15">
        <v>1504497</v>
      </c>
      <c r="B1554" s="52">
        <v>1</v>
      </c>
    </row>
    <row r="1555" spans="1:2" x14ac:dyDescent="0.35">
      <c r="A1555" s="15">
        <v>1504708</v>
      </c>
      <c r="B1555" s="52">
        <v>1</v>
      </c>
    </row>
    <row r="1556" spans="1:2" x14ac:dyDescent="0.35">
      <c r="A1556" s="15">
        <v>1504718</v>
      </c>
      <c r="B1556" s="52">
        <v>1</v>
      </c>
    </row>
    <row r="1557" spans="1:2" x14ac:dyDescent="0.35">
      <c r="A1557" s="15">
        <v>1504822</v>
      </c>
      <c r="B1557" s="52">
        <v>1</v>
      </c>
    </row>
    <row r="1558" spans="1:2" x14ac:dyDescent="0.35">
      <c r="A1558" s="15">
        <v>1580227</v>
      </c>
      <c r="B1558" s="52">
        <v>1</v>
      </c>
    </row>
    <row r="1559" spans="1:2" x14ac:dyDescent="0.35">
      <c r="A1559" s="15">
        <v>1580449</v>
      </c>
      <c r="B1559" s="52">
        <v>1</v>
      </c>
    </row>
    <row r="1560" spans="1:2" x14ac:dyDescent="0.35">
      <c r="A1560" s="15">
        <v>1580642</v>
      </c>
      <c r="B1560" s="52">
        <v>1</v>
      </c>
    </row>
    <row r="1561" spans="1:2" x14ac:dyDescent="0.35">
      <c r="A1561" s="15">
        <v>1580691</v>
      </c>
      <c r="B1561" s="52">
        <v>1</v>
      </c>
    </row>
    <row r="1562" spans="1:2" x14ac:dyDescent="0.35">
      <c r="A1562" s="15">
        <v>1580726</v>
      </c>
      <c r="B1562" s="52">
        <v>1</v>
      </c>
    </row>
    <row r="1563" spans="1:2" x14ac:dyDescent="0.35">
      <c r="A1563" s="15">
        <v>1581097</v>
      </c>
      <c r="B1563" s="52">
        <v>1</v>
      </c>
    </row>
    <row r="1564" spans="1:2" x14ac:dyDescent="0.35">
      <c r="A1564" s="15">
        <v>1581101</v>
      </c>
      <c r="B1564" s="52">
        <v>1</v>
      </c>
    </row>
    <row r="1565" spans="1:2" x14ac:dyDescent="0.35">
      <c r="A1565" s="15">
        <v>1581277</v>
      </c>
      <c r="B1565" s="52">
        <v>1</v>
      </c>
    </row>
    <row r="1566" spans="1:2" x14ac:dyDescent="0.35">
      <c r="A1566" s="15">
        <v>1581278</v>
      </c>
      <c r="B1566" s="52">
        <v>1</v>
      </c>
    </row>
    <row r="1567" spans="1:2" x14ac:dyDescent="0.35">
      <c r="A1567" s="15">
        <v>1581537</v>
      </c>
      <c r="B1567" s="52">
        <v>1</v>
      </c>
    </row>
    <row r="1568" spans="1:2" x14ac:dyDescent="0.35">
      <c r="A1568" s="15">
        <v>1581542</v>
      </c>
      <c r="B1568" s="52">
        <v>1</v>
      </c>
    </row>
    <row r="1569" spans="1:2" x14ac:dyDescent="0.35">
      <c r="A1569" s="15">
        <v>1581589</v>
      </c>
      <c r="B1569" s="52">
        <v>1</v>
      </c>
    </row>
    <row r="1570" spans="1:2" x14ac:dyDescent="0.35">
      <c r="A1570" s="15">
        <v>1581591</v>
      </c>
      <c r="B1570" s="52">
        <v>1</v>
      </c>
    </row>
    <row r="1571" spans="1:2" x14ac:dyDescent="0.35">
      <c r="A1571" s="15">
        <v>1581605</v>
      </c>
      <c r="B1571" s="52">
        <v>1</v>
      </c>
    </row>
    <row r="1572" spans="1:2" x14ac:dyDescent="0.35">
      <c r="A1572" s="15">
        <v>1581689</v>
      </c>
      <c r="B1572" s="52">
        <v>1</v>
      </c>
    </row>
    <row r="1573" spans="1:2" x14ac:dyDescent="0.35">
      <c r="A1573" s="15">
        <v>1581690</v>
      </c>
      <c r="B1573" s="52">
        <v>1</v>
      </c>
    </row>
    <row r="1574" spans="1:2" x14ac:dyDescent="0.35">
      <c r="A1574" s="15">
        <v>1581691</v>
      </c>
      <c r="B1574" s="52">
        <v>1</v>
      </c>
    </row>
    <row r="1575" spans="1:2" x14ac:dyDescent="0.35">
      <c r="A1575" s="15">
        <v>1581837</v>
      </c>
      <c r="B1575" s="52">
        <v>1</v>
      </c>
    </row>
    <row r="1576" spans="1:2" x14ac:dyDescent="0.35">
      <c r="A1576" s="15">
        <v>1581883</v>
      </c>
      <c r="B1576" s="52">
        <v>1</v>
      </c>
    </row>
    <row r="1577" spans="1:2" x14ac:dyDescent="0.35">
      <c r="A1577" s="15">
        <v>1581884</v>
      </c>
      <c r="B1577" s="52">
        <v>1</v>
      </c>
    </row>
    <row r="1578" spans="1:2" x14ac:dyDescent="0.35">
      <c r="A1578" s="15">
        <v>1581885</v>
      </c>
      <c r="B1578" s="52">
        <v>1</v>
      </c>
    </row>
    <row r="1579" spans="1:2" x14ac:dyDescent="0.35">
      <c r="A1579" s="15">
        <v>1582053</v>
      </c>
      <c r="B1579" s="52">
        <v>1</v>
      </c>
    </row>
    <row r="1580" spans="1:2" x14ac:dyDescent="0.35">
      <c r="A1580" s="15">
        <v>1582147</v>
      </c>
      <c r="B1580" s="52">
        <v>1</v>
      </c>
    </row>
    <row r="1581" spans="1:2" x14ac:dyDescent="0.35">
      <c r="A1581" s="15">
        <v>1582211</v>
      </c>
      <c r="B1581" s="52">
        <v>1</v>
      </c>
    </row>
    <row r="1582" spans="1:2" x14ac:dyDescent="0.35">
      <c r="A1582" s="15">
        <v>1582260</v>
      </c>
      <c r="B1582" s="52">
        <v>1</v>
      </c>
    </row>
    <row r="1583" spans="1:2" x14ac:dyDescent="0.35">
      <c r="A1583" s="15">
        <v>1582264</v>
      </c>
      <c r="B1583" s="52">
        <v>1</v>
      </c>
    </row>
    <row r="1584" spans="1:2" x14ac:dyDescent="0.35">
      <c r="A1584" s="15">
        <v>1582366</v>
      </c>
      <c r="B1584" s="52">
        <v>1</v>
      </c>
    </row>
    <row r="1585" spans="1:2" x14ac:dyDescent="0.35">
      <c r="A1585" s="15">
        <v>1582475</v>
      </c>
      <c r="B1585" s="52">
        <v>1</v>
      </c>
    </row>
    <row r="1586" spans="1:2" x14ac:dyDescent="0.35">
      <c r="A1586" s="15">
        <v>1582883</v>
      </c>
      <c r="B1586" s="52">
        <v>1</v>
      </c>
    </row>
    <row r="1587" spans="1:2" x14ac:dyDescent="0.35">
      <c r="A1587" s="15">
        <v>1582921</v>
      </c>
      <c r="B1587" s="52">
        <v>1</v>
      </c>
    </row>
    <row r="1588" spans="1:2" x14ac:dyDescent="0.35">
      <c r="A1588" s="15">
        <v>1583019</v>
      </c>
      <c r="B1588" s="52">
        <v>1</v>
      </c>
    </row>
    <row r="1589" spans="1:2" x14ac:dyDescent="0.35">
      <c r="A1589" s="15">
        <v>1583041</v>
      </c>
      <c r="B1589" s="52">
        <v>1</v>
      </c>
    </row>
    <row r="1590" spans="1:2" x14ac:dyDescent="0.35">
      <c r="A1590" s="15">
        <v>1583273</v>
      </c>
      <c r="B1590" s="52">
        <v>1</v>
      </c>
    </row>
    <row r="1591" spans="1:2" x14ac:dyDescent="0.35">
      <c r="A1591" s="15">
        <v>1583541</v>
      </c>
      <c r="B1591" s="52">
        <v>1</v>
      </c>
    </row>
    <row r="1592" spans="1:2" x14ac:dyDescent="0.35">
      <c r="A1592" s="15">
        <v>1584178</v>
      </c>
      <c r="B1592" s="52">
        <v>1</v>
      </c>
    </row>
    <row r="1593" spans="1:2" x14ac:dyDescent="0.35">
      <c r="A1593" s="15">
        <v>1584179</v>
      </c>
      <c r="B1593" s="52">
        <v>1</v>
      </c>
    </row>
    <row r="1594" spans="1:2" x14ac:dyDescent="0.35">
      <c r="A1594" s="15">
        <v>1584181</v>
      </c>
      <c r="B1594" s="52">
        <v>1</v>
      </c>
    </row>
    <row r="1595" spans="1:2" x14ac:dyDescent="0.35">
      <c r="A1595" s="15">
        <v>1584220</v>
      </c>
      <c r="B1595" s="52">
        <v>1</v>
      </c>
    </row>
    <row r="1596" spans="1:2" x14ac:dyDescent="0.35">
      <c r="A1596" s="15">
        <v>1584224</v>
      </c>
      <c r="B1596" s="52">
        <v>1</v>
      </c>
    </row>
    <row r="1597" spans="1:2" x14ac:dyDescent="0.35">
      <c r="A1597" s="15">
        <v>1584225</v>
      </c>
      <c r="B1597" s="52">
        <v>1</v>
      </c>
    </row>
    <row r="1598" spans="1:2" x14ac:dyDescent="0.35">
      <c r="A1598" s="15">
        <v>1584744</v>
      </c>
      <c r="B1598" s="52">
        <v>1</v>
      </c>
    </row>
    <row r="1599" spans="1:2" x14ac:dyDescent="0.35">
      <c r="A1599" s="15">
        <v>1584807</v>
      </c>
      <c r="B1599" s="52">
        <v>1</v>
      </c>
    </row>
    <row r="1600" spans="1:2" x14ac:dyDescent="0.35">
      <c r="A1600" s="15">
        <v>1584838</v>
      </c>
      <c r="B1600" s="52">
        <v>1</v>
      </c>
    </row>
    <row r="1601" spans="1:2" x14ac:dyDescent="0.35">
      <c r="A1601" s="15">
        <v>1584901</v>
      </c>
      <c r="B1601" s="52">
        <v>1</v>
      </c>
    </row>
    <row r="1602" spans="1:2" x14ac:dyDescent="0.35">
      <c r="A1602" s="15">
        <v>1584957</v>
      </c>
      <c r="B1602" s="52">
        <v>1</v>
      </c>
    </row>
    <row r="1603" spans="1:2" x14ac:dyDescent="0.35">
      <c r="A1603" s="15">
        <v>1584964</v>
      </c>
      <c r="B1603" s="52">
        <v>1</v>
      </c>
    </row>
    <row r="1604" spans="1:2" x14ac:dyDescent="0.35">
      <c r="A1604" s="15">
        <v>1584965</v>
      </c>
      <c r="B1604" s="52">
        <v>1</v>
      </c>
    </row>
    <row r="1605" spans="1:2" x14ac:dyDescent="0.35">
      <c r="A1605" s="15">
        <v>1585119</v>
      </c>
      <c r="B1605" s="52">
        <v>1</v>
      </c>
    </row>
    <row r="1606" spans="1:2" x14ac:dyDescent="0.35">
      <c r="A1606" s="15">
        <v>1585146</v>
      </c>
      <c r="B1606" s="52">
        <v>1</v>
      </c>
    </row>
    <row r="1607" spans="1:2" x14ac:dyDescent="0.35">
      <c r="A1607" s="15">
        <v>1585159</v>
      </c>
      <c r="B1607" s="52">
        <v>1</v>
      </c>
    </row>
    <row r="1608" spans="1:2" x14ac:dyDescent="0.35">
      <c r="A1608" s="15">
        <v>1585184</v>
      </c>
      <c r="B1608" s="52">
        <v>1</v>
      </c>
    </row>
    <row r="1609" spans="1:2" x14ac:dyDescent="0.35">
      <c r="A1609" s="15">
        <v>1585198</v>
      </c>
      <c r="B1609" s="52">
        <v>1</v>
      </c>
    </row>
    <row r="1610" spans="1:2" x14ac:dyDescent="0.35">
      <c r="A1610" s="15">
        <v>1585275</v>
      </c>
      <c r="B1610" s="52">
        <v>1</v>
      </c>
    </row>
    <row r="1611" spans="1:2" x14ac:dyDescent="0.35">
      <c r="A1611" s="15">
        <v>1585277</v>
      </c>
      <c r="B1611" s="52">
        <v>1</v>
      </c>
    </row>
    <row r="1612" spans="1:2" x14ac:dyDescent="0.35">
      <c r="A1612" s="15">
        <v>1585278</v>
      </c>
      <c r="B1612" s="52">
        <v>1</v>
      </c>
    </row>
    <row r="1613" spans="1:2" x14ac:dyDescent="0.35">
      <c r="A1613" s="15">
        <v>1585279</v>
      </c>
      <c r="B1613" s="52">
        <v>1</v>
      </c>
    </row>
    <row r="1614" spans="1:2" x14ac:dyDescent="0.35">
      <c r="A1614" s="15">
        <v>1585280</v>
      </c>
      <c r="B1614" s="52">
        <v>1</v>
      </c>
    </row>
    <row r="1615" spans="1:2" x14ac:dyDescent="0.35">
      <c r="A1615" s="15">
        <v>1585281</v>
      </c>
      <c r="B1615" s="52">
        <v>1</v>
      </c>
    </row>
    <row r="1616" spans="1:2" x14ac:dyDescent="0.35">
      <c r="A1616" s="15">
        <v>1585317</v>
      </c>
      <c r="B1616" s="52">
        <v>1</v>
      </c>
    </row>
    <row r="1617" spans="1:2" x14ac:dyDescent="0.35">
      <c r="A1617" s="15">
        <v>1585323</v>
      </c>
      <c r="B1617" s="52">
        <v>1</v>
      </c>
    </row>
    <row r="1618" spans="1:2" x14ac:dyDescent="0.35">
      <c r="A1618" s="15">
        <v>1585325</v>
      </c>
      <c r="B1618" s="52">
        <v>1</v>
      </c>
    </row>
    <row r="1619" spans="1:2" x14ac:dyDescent="0.35">
      <c r="A1619" s="15">
        <v>1585326</v>
      </c>
      <c r="B1619" s="52">
        <v>1</v>
      </c>
    </row>
    <row r="1620" spans="1:2" x14ac:dyDescent="0.35">
      <c r="A1620" s="15">
        <v>1585334</v>
      </c>
      <c r="B1620" s="52">
        <v>1</v>
      </c>
    </row>
    <row r="1621" spans="1:2" x14ac:dyDescent="0.35">
      <c r="A1621" s="15">
        <v>1585364</v>
      </c>
      <c r="B1621" s="52">
        <v>1</v>
      </c>
    </row>
    <row r="1622" spans="1:2" x14ac:dyDescent="0.35">
      <c r="A1622" s="15">
        <v>1585508</v>
      </c>
      <c r="B1622" s="52">
        <v>1</v>
      </c>
    </row>
    <row r="1623" spans="1:2" x14ac:dyDescent="0.35">
      <c r="A1623" s="15">
        <v>1585509</v>
      </c>
      <c r="B1623" s="52">
        <v>1</v>
      </c>
    </row>
    <row r="1624" spans="1:2" x14ac:dyDescent="0.35">
      <c r="A1624" s="15">
        <v>1585512</v>
      </c>
      <c r="B1624" s="52">
        <v>1</v>
      </c>
    </row>
    <row r="1625" spans="1:2" x14ac:dyDescent="0.35">
      <c r="A1625" s="15">
        <v>1585534</v>
      </c>
      <c r="B1625" s="52">
        <v>1</v>
      </c>
    </row>
    <row r="1626" spans="1:2" x14ac:dyDescent="0.35">
      <c r="A1626" s="15">
        <v>1585573</v>
      </c>
      <c r="B1626" s="52">
        <v>1</v>
      </c>
    </row>
    <row r="1627" spans="1:2" x14ac:dyDescent="0.35">
      <c r="A1627" s="15">
        <v>1585578</v>
      </c>
      <c r="B1627" s="52">
        <v>1</v>
      </c>
    </row>
    <row r="1628" spans="1:2" x14ac:dyDescent="0.35">
      <c r="A1628" s="15">
        <v>1585579</v>
      </c>
      <c r="B1628" s="52">
        <v>1</v>
      </c>
    </row>
    <row r="1629" spans="1:2" x14ac:dyDescent="0.35">
      <c r="A1629" s="15">
        <v>1585584</v>
      </c>
      <c r="B1629" s="52">
        <v>1</v>
      </c>
    </row>
    <row r="1630" spans="1:2" x14ac:dyDescent="0.35">
      <c r="A1630" s="15">
        <v>1585608</v>
      </c>
      <c r="B1630" s="52">
        <v>1</v>
      </c>
    </row>
    <row r="1631" spans="1:2" x14ac:dyDescent="0.35">
      <c r="A1631" s="15">
        <v>1585643</v>
      </c>
      <c r="B1631" s="52">
        <v>1</v>
      </c>
    </row>
    <row r="1632" spans="1:2" x14ac:dyDescent="0.35">
      <c r="A1632" s="15">
        <v>1585757</v>
      </c>
      <c r="B1632" s="52">
        <v>1</v>
      </c>
    </row>
    <row r="1633" spans="1:2" x14ac:dyDescent="0.35">
      <c r="A1633" s="15">
        <v>1585876</v>
      </c>
      <c r="B1633" s="52">
        <v>1</v>
      </c>
    </row>
    <row r="1634" spans="1:2" x14ac:dyDescent="0.35">
      <c r="A1634" s="15">
        <v>1585877</v>
      </c>
      <c r="B1634" s="52">
        <v>1</v>
      </c>
    </row>
    <row r="1635" spans="1:2" x14ac:dyDescent="0.35">
      <c r="A1635" s="15">
        <v>1585891</v>
      </c>
      <c r="B1635" s="52">
        <v>1</v>
      </c>
    </row>
    <row r="1636" spans="1:2" x14ac:dyDescent="0.35">
      <c r="A1636" s="15">
        <v>1585892</v>
      </c>
      <c r="B1636" s="52">
        <v>1</v>
      </c>
    </row>
    <row r="1637" spans="1:2" x14ac:dyDescent="0.35">
      <c r="A1637" s="15">
        <v>1585895</v>
      </c>
      <c r="B1637" s="52">
        <v>1</v>
      </c>
    </row>
    <row r="1638" spans="1:2" x14ac:dyDescent="0.35">
      <c r="A1638" s="15">
        <v>1585898</v>
      </c>
      <c r="B1638" s="52">
        <v>1</v>
      </c>
    </row>
    <row r="1639" spans="1:2" x14ac:dyDescent="0.35">
      <c r="A1639" s="15">
        <v>1585908</v>
      </c>
      <c r="B1639" s="52">
        <v>1</v>
      </c>
    </row>
    <row r="1640" spans="1:2" x14ac:dyDescent="0.35">
      <c r="A1640" s="15">
        <v>1585909</v>
      </c>
      <c r="B1640" s="52">
        <v>1</v>
      </c>
    </row>
    <row r="1641" spans="1:2" x14ac:dyDescent="0.35">
      <c r="A1641" s="15">
        <v>1585916</v>
      </c>
      <c r="B1641" s="52">
        <v>1</v>
      </c>
    </row>
    <row r="1642" spans="1:2" x14ac:dyDescent="0.35">
      <c r="A1642" s="15">
        <v>1585926</v>
      </c>
      <c r="B1642" s="52">
        <v>1</v>
      </c>
    </row>
    <row r="1643" spans="1:2" x14ac:dyDescent="0.35">
      <c r="A1643" s="15">
        <v>1585950</v>
      </c>
      <c r="B1643" s="52">
        <v>1</v>
      </c>
    </row>
    <row r="1644" spans="1:2" x14ac:dyDescent="0.35">
      <c r="A1644" s="15">
        <v>1585951</v>
      </c>
      <c r="B1644" s="52">
        <v>1</v>
      </c>
    </row>
    <row r="1645" spans="1:2" x14ac:dyDescent="0.35">
      <c r="A1645" s="15">
        <v>1585953</v>
      </c>
      <c r="B1645" s="52">
        <v>1</v>
      </c>
    </row>
    <row r="1646" spans="1:2" x14ac:dyDescent="0.35">
      <c r="A1646" s="15">
        <v>1585959</v>
      </c>
      <c r="B1646" s="52">
        <v>1</v>
      </c>
    </row>
    <row r="1647" spans="1:2" x14ac:dyDescent="0.35">
      <c r="A1647" s="15">
        <v>1585960</v>
      </c>
      <c r="B1647" s="52">
        <v>1</v>
      </c>
    </row>
    <row r="1648" spans="1:2" x14ac:dyDescent="0.35">
      <c r="A1648" s="15">
        <v>1586051</v>
      </c>
      <c r="B1648" s="52">
        <v>1</v>
      </c>
    </row>
    <row r="1649" spans="1:2" x14ac:dyDescent="0.35">
      <c r="A1649" s="15">
        <v>1586058</v>
      </c>
      <c r="B1649" s="52">
        <v>1</v>
      </c>
    </row>
    <row r="1650" spans="1:2" x14ac:dyDescent="0.35">
      <c r="A1650" s="15">
        <v>1586087</v>
      </c>
      <c r="B1650" s="52">
        <v>1</v>
      </c>
    </row>
    <row r="1651" spans="1:2" x14ac:dyDescent="0.35">
      <c r="A1651" s="15">
        <v>1586111</v>
      </c>
      <c r="B1651" s="52">
        <v>1</v>
      </c>
    </row>
    <row r="1652" spans="1:2" x14ac:dyDescent="0.35">
      <c r="A1652" s="15">
        <v>1586135</v>
      </c>
      <c r="B1652" s="52">
        <v>1</v>
      </c>
    </row>
    <row r="1653" spans="1:2" x14ac:dyDescent="0.35">
      <c r="A1653" s="15">
        <v>1586136</v>
      </c>
      <c r="B1653" s="52">
        <v>1</v>
      </c>
    </row>
    <row r="1654" spans="1:2" x14ac:dyDescent="0.35">
      <c r="A1654" s="15">
        <v>1586140</v>
      </c>
      <c r="B1654" s="52">
        <v>1</v>
      </c>
    </row>
    <row r="1655" spans="1:2" x14ac:dyDescent="0.35">
      <c r="A1655" s="15">
        <v>1586155</v>
      </c>
      <c r="B1655" s="52">
        <v>1</v>
      </c>
    </row>
    <row r="1656" spans="1:2" x14ac:dyDescent="0.35">
      <c r="A1656" s="15">
        <v>1586156</v>
      </c>
      <c r="B1656" s="52">
        <v>1</v>
      </c>
    </row>
    <row r="1657" spans="1:2" x14ac:dyDescent="0.35">
      <c r="A1657" s="15">
        <v>1586157</v>
      </c>
      <c r="B1657" s="52">
        <v>1</v>
      </c>
    </row>
    <row r="1658" spans="1:2" x14ac:dyDescent="0.35">
      <c r="A1658" s="15">
        <v>1586164</v>
      </c>
      <c r="B1658" s="52">
        <v>1</v>
      </c>
    </row>
    <row r="1659" spans="1:2" x14ac:dyDescent="0.35">
      <c r="A1659" s="15">
        <v>1586182</v>
      </c>
      <c r="B1659" s="52">
        <v>1</v>
      </c>
    </row>
    <row r="1660" spans="1:2" x14ac:dyDescent="0.35">
      <c r="A1660" s="15">
        <v>1586183</v>
      </c>
      <c r="B1660" s="52">
        <v>1</v>
      </c>
    </row>
    <row r="1661" spans="1:2" x14ac:dyDescent="0.35">
      <c r="A1661" s="15">
        <v>1586184</v>
      </c>
      <c r="B1661" s="52">
        <v>1</v>
      </c>
    </row>
    <row r="1662" spans="1:2" x14ac:dyDescent="0.35">
      <c r="A1662" s="15">
        <v>1586185</v>
      </c>
      <c r="B1662" s="52">
        <v>1</v>
      </c>
    </row>
    <row r="1663" spans="1:2" x14ac:dyDescent="0.35">
      <c r="A1663" s="15">
        <v>1586193</v>
      </c>
      <c r="B1663" s="52">
        <v>1</v>
      </c>
    </row>
    <row r="1664" spans="1:2" x14ac:dyDescent="0.35">
      <c r="A1664" s="15">
        <v>1586218</v>
      </c>
      <c r="B1664" s="52">
        <v>1</v>
      </c>
    </row>
    <row r="1665" spans="1:2" x14ac:dyDescent="0.35">
      <c r="A1665" s="15">
        <v>1586255</v>
      </c>
      <c r="B1665" s="52">
        <v>1</v>
      </c>
    </row>
    <row r="1666" spans="1:2" x14ac:dyDescent="0.35">
      <c r="A1666" s="15">
        <v>1586258</v>
      </c>
      <c r="B1666" s="52">
        <v>1</v>
      </c>
    </row>
    <row r="1667" spans="1:2" x14ac:dyDescent="0.35">
      <c r="A1667" s="15">
        <v>1586260</v>
      </c>
      <c r="B1667" s="52">
        <v>1</v>
      </c>
    </row>
    <row r="1668" spans="1:2" x14ac:dyDescent="0.35">
      <c r="A1668" s="15">
        <v>1586284</v>
      </c>
      <c r="B1668" s="52">
        <v>1</v>
      </c>
    </row>
    <row r="1669" spans="1:2" x14ac:dyDescent="0.35">
      <c r="A1669" s="15">
        <v>1586293</v>
      </c>
      <c r="B1669" s="52">
        <v>1</v>
      </c>
    </row>
    <row r="1670" spans="1:2" x14ac:dyDescent="0.35">
      <c r="A1670" s="15">
        <v>1586295</v>
      </c>
      <c r="B1670" s="52">
        <v>1</v>
      </c>
    </row>
    <row r="1671" spans="1:2" x14ac:dyDescent="0.35">
      <c r="A1671" s="15">
        <v>1586298</v>
      </c>
      <c r="B1671" s="52">
        <v>1</v>
      </c>
    </row>
    <row r="1672" spans="1:2" x14ac:dyDescent="0.35">
      <c r="A1672" s="15">
        <v>1586299</v>
      </c>
      <c r="B1672" s="52">
        <v>1</v>
      </c>
    </row>
    <row r="1673" spans="1:2" x14ac:dyDescent="0.35">
      <c r="A1673" s="15">
        <v>1586302</v>
      </c>
      <c r="B1673" s="52">
        <v>1</v>
      </c>
    </row>
    <row r="1674" spans="1:2" x14ac:dyDescent="0.35">
      <c r="A1674" s="15">
        <v>1586328</v>
      </c>
      <c r="B1674" s="52">
        <v>1</v>
      </c>
    </row>
    <row r="1675" spans="1:2" x14ac:dyDescent="0.35">
      <c r="A1675" s="15">
        <v>1586341</v>
      </c>
      <c r="B1675" s="52">
        <v>1</v>
      </c>
    </row>
    <row r="1676" spans="1:2" x14ac:dyDescent="0.35">
      <c r="A1676" s="15">
        <v>1586360</v>
      </c>
      <c r="B1676" s="52">
        <v>1</v>
      </c>
    </row>
    <row r="1677" spans="1:2" x14ac:dyDescent="0.35">
      <c r="A1677" s="15">
        <v>1586367</v>
      </c>
      <c r="B1677" s="52">
        <v>1</v>
      </c>
    </row>
    <row r="1678" spans="1:2" x14ac:dyDescent="0.35">
      <c r="A1678" s="15">
        <v>1586371</v>
      </c>
      <c r="B1678" s="52">
        <v>1</v>
      </c>
    </row>
    <row r="1679" spans="1:2" x14ac:dyDescent="0.35">
      <c r="A1679" s="15">
        <v>1586375</v>
      </c>
      <c r="B1679" s="52">
        <v>1</v>
      </c>
    </row>
    <row r="1680" spans="1:2" x14ac:dyDescent="0.35">
      <c r="A1680" s="15">
        <v>1586376</v>
      </c>
      <c r="B1680" s="52">
        <v>1</v>
      </c>
    </row>
    <row r="1681" spans="1:2" x14ac:dyDescent="0.35">
      <c r="A1681" s="15">
        <v>1586395</v>
      </c>
      <c r="B1681" s="52">
        <v>1</v>
      </c>
    </row>
    <row r="1682" spans="1:2" x14ac:dyDescent="0.35">
      <c r="A1682" s="15">
        <v>1586400</v>
      </c>
      <c r="B1682" s="52">
        <v>1</v>
      </c>
    </row>
    <row r="1683" spans="1:2" x14ac:dyDescent="0.35">
      <c r="A1683" s="15">
        <v>1586421</v>
      </c>
      <c r="B1683" s="52">
        <v>1</v>
      </c>
    </row>
    <row r="1684" spans="1:2" x14ac:dyDescent="0.35">
      <c r="A1684" s="15">
        <v>1586423</v>
      </c>
      <c r="B1684" s="52">
        <v>1</v>
      </c>
    </row>
    <row r="1685" spans="1:2" x14ac:dyDescent="0.35">
      <c r="A1685" s="15">
        <v>1586425</v>
      </c>
      <c r="B1685" s="52">
        <v>1</v>
      </c>
    </row>
    <row r="1686" spans="1:2" x14ac:dyDescent="0.35">
      <c r="A1686" s="15">
        <v>1586428</v>
      </c>
      <c r="B1686" s="52">
        <v>1</v>
      </c>
    </row>
    <row r="1687" spans="1:2" x14ac:dyDescent="0.35">
      <c r="A1687" s="15">
        <v>1586429</v>
      </c>
      <c r="B1687" s="52">
        <v>1</v>
      </c>
    </row>
    <row r="1688" spans="1:2" x14ac:dyDescent="0.35">
      <c r="A1688" s="15">
        <v>1586430</v>
      </c>
      <c r="B1688" s="52">
        <v>1</v>
      </c>
    </row>
    <row r="1689" spans="1:2" x14ac:dyDescent="0.35">
      <c r="A1689" s="15">
        <v>1586431</v>
      </c>
      <c r="B1689" s="52">
        <v>1</v>
      </c>
    </row>
    <row r="1690" spans="1:2" x14ac:dyDescent="0.35">
      <c r="A1690" s="15">
        <v>1586433</v>
      </c>
      <c r="B1690" s="52">
        <v>1</v>
      </c>
    </row>
    <row r="1691" spans="1:2" x14ac:dyDescent="0.35">
      <c r="A1691" s="15">
        <v>1586435</v>
      </c>
      <c r="B1691" s="52">
        <v>1</v>
      </c>
    </row>
    <row r="1692" spans="1:2" x14ac:dyDescent="0.35">
      <c r="A1692" s="15">
        <v>1586437</v>
      </c>
      <c r="B1692" s="52">
        <v>1</v>
      </c>
    </row>
    <row r="1693" spans="1:2" x14ac:dyDescent="0.35">
      <c r="A1693" s="15">
        <v>1586439</v>
      </c>
      <c r="B1693" s="52">
        <v>1</v>
      </c>
    </row>
    <row r="1694" spans="1:2" x14ac:dyDescent="0.35">
      <c r="A1694" s="15">
        <v>1586463</v>
      </c>
      <c r="B1694" s="52">
        <v>1</v>
      </c>
    </row>
    <row r="1695" spans="1:2" x14ac:dyDescent="0.35">
      <c r="A1695" s="15">
        <v>1586515</v>
      </c>
      <c r="B1695" s="52">
        <v>1</v>
      </c>
    </row>
    <row r="1696" spans="1:2" x14ac:dyDescent="0.35">
      <c r="A1696" s="15">
        <v>1586516</v>
      </c>
      <c r="B1696" s="52">
        <v>1</v>
      </c>
    </row>
    <row r="1697" spans="1:2" x14ac:dyDescent="0.35">
      <c r="A1697" s="15">
        <v>1586517</v>
      </c>
      <c r="B1697" s="52">
        <v>1</v>
      </c>
    </row>
    <row r="1698" spans="1:2" x14ac:dyDescent="0.35">
      <c r="A1698" s="15">
        <v>1586520</v>
      </c>
      <c r="B1698" s="52">
        <v>1</v>
      </c>
    </row>
    <row r="1699" spans="1:2" x14ac:dyDescent="0.35">
      <c r="A1699" s="15">
        <v>1586523</v>
      </c>
      <c r="B1699" s="52">
        <v>1</v>
      </c>
    </row>
    <row r="1700" spans="1:2" x14ac:dyDescent="0.35">
      <c r="A1700" s="15">
        <v>1586528</v>
      </c>
      <c r="B1700" s="52">
        <v>1</v>
      </c>
    </row>
    <row r="1701" spans="1:2" x14ac:dyDescent="0.35">
      <c r="A1701" s="15">
        <v>1586532</v>
      </c>
      <c r="B1701" s="52">
        <v>1</v>
      </c>
    </row>
    <row r="1702" spans="1:2" x14ac:dyDescent="0.35">
      <c r="A1702" s="15">
        <v>1586552</v>
      </c>
      <c r="B1702" s="52">
        <v>1</v>
      </c>
    </row>
    <row r="1703" spans="1:2" x14ac:dyDescent="0.35">
      <c r="A1703" s="15">
        <v>1586553</v>
      </c>
      <c r="B1703" s="52">
        <v>1</v>
      </c>
    </row>
    <row r="1704" spans="1:2" x14ac:dyDescent="0.35">
      <c r="A1704" s="15">
        <v>1586571</v>
      </c>
      <c r="B1704" s="52">
        <v>1</v>
      </c>
    </row>
    <row r="1705" spans="1:2" x14ac:dyDescent="0.35">
      <c r="A1705" s="15">
        <v>1586585</v>
      </c>
      <c r="B1705" s="52">
        <v>1</v>
      </c>
    </row>
    <row r="1706" spans="1:2" x14ac:dyDescent="0.35">
      <c r="A1706" s="15">
        <v>1586614</v>
      </c>
      <c r="B1706" s="52">
        <v>1</v>
      </c>
    </row>
    <row r="1707" spans="1:2" x14ac:dyDescent="0.35">
      <c r="A1707" s="15">
        <v>1586617</v>
      </c>
      <c r="B1707" s="52">
        <v>1</v>
      </c>
    </row>
    <row r="1708" spans="1:2" x14ac:dyDescent="0.35">
      <c r="A1708" s="15">
        <v>1586652</v>
      </c>
      <c r="B1708" s="52">
        <v>1</v>
      </c>
    </row>
    <row r="1709" spans="1:2" x14ac:dyDescent="0.35">
      <c r="A1709" s="15">
        <v>1586655</v>
      </c>
      <c r="B1709" s="52">
        <v>1</v>
      </c>
    </row>
    <row r="1710" spans="1:2" x14ac:dyDescent="0.35">
      <c r="A1710" s="15">
        <v>1586656</v>
      </c>
      <c r="B1710" s="52">
        <v>1</v>
      </c>
    </row>
    <row r="1711" spans="1:2" x14ac:dyDescent="0.35">
      <c r="A1711" s="15">
        <v>1586699</v>
      </c>
      <c r="B1711" s="52">
        <v>1</v>
      </c>
    </row>
    <row r="1712" spans="1:2" x14ac:dyDescent="0.35">
      <c r="A1712" s="15">
        <v>1586700</v>
      </c>
      <c r="B1712" s="52">
        <v>1</v>
      </c>
    </row>
    <row r="1713" spans="1:2" x14ac:dyDescent="0.35">
      <c r="A1713" s="15">
        <v>1586701</v>
      </c>
      <c r="B1713" s="52">
        <v>1</v>
      </c>
    </row>
    <row r="1714" spans="1:2" x14ac:dyDescent="0.35">
      <c r="A1714" s="15">
        <v>1586730</v>
      </c>
      <c r="B1714" s="52">
        <v>1</v>
      </c>
    </row>
    <row r="1715" spans="1:2" x14ac:dyDescent="0.35">
      <c r="A1715" s="15">
        <v>1586748</v>
      </c>
      <c r="B1715" s="52">
        <v>1</v>
      </c>
    </row>
    <row r="1716" spans="1:2" x14ac:dyDescent="0.35">
      <c r="A1716" s="15">
        <v>1586774</v>
      </c>
      <c r="B1716" s="52">
        <v>1</v>
      </c>
    </row>
    <row r="1717" spans="1:2" x14ac:dyDescent="0.35">
      <c r="A1717" s="15">
        <v>1586775</v>
      </c>
      <c r="B1717" s="52">
        <v>1</v>
      </c>
    </row>
    <row r="1718" spans="1:2" x14ac:dyDescent="0.35">
      <c r="A1718" s="15">
        <v>1586784</v>
      </c>
      <c r="B1718" s="52">
        <v>1</v>
      </c>
    </row>
    <row r="1719" spans="1:2" x14ac:dyDescent="0.35">
      <c r="A1719" s="15">
        <v>1586792</v>
      </c>
      <c r="B1719" s="52">
        <v>1</v>
      </c>
    </row>
    <row r="1720" spans="1:2" x14ac:dyDescent="0.35">
      <c r="A1720" s="15">
        <v>1586803</v>
      </c>
      <c r="B1720" s="52">
        <v>1</v>
      </c>
    </row>
    <row r="1721" spans="1:2" x14ac:dyDescent="0.35">
      <c r="A1721" s="15">
        <v>1586839</v>
      </c>
      <c r="B1721" s="52">
        <v>1</v>
      </c>
    </row>
    <row r="1722" spans="1:2" x14ac:dyDescent="0.35">
      <c r="A1722" s="15">
        <v>1586858</v>
      </c>
      <c r="B1722" s="52">
        <v>1</v>
      </c>
    </row>
    <row r="1723" spans="1:2" x14ac:dyDescent="0.35">
      <c r="A1723" s="15">
        <v>1586955</v>
      </c>
      <c r="B1723" s="52">
        <v>1</v>
      </c>
    </row>
    <row r="1724" spans="1:2" x14ac:dyDescent="0.35">
      <c r="A1724" s="15">
        <v>1586962</v>
      </c>
      <c r="B1724" s="52">
        <v>1</v>
      </c>
    </row>
    <row r="1725" spans="1:2" x14ac:dyDescent="0.35">
      <c r="A1725" s="15">
        <v>1586966</v>
      </c>
      <c r="B1725" s="52">
        <v>1</v>
      </c>
    </row>
    <row r="1726" spans="1:2" x14ac:dyDescent="0.35">
      <c r="A1726" s="15">
        <v>1586970</v>
      </c>
      <c r="B1726" s="52">
        <v>1</v>
      </c>
    </row>
    <row r="1727" spans="1:2" x14ac:dyDescent="0.35">
      <c r="A1727" s="15">
        <v>1586971</v>
      </c>
      <c r="B1727" s="52">
        <v>1</v>
      </c>
    </row>
    <row r="1728" spans="1:2" x14ac:dyDescent="0.35">
      <c r="A1728" s="15">
        <v>1586975</v>
      </c>
      <c r="B1728" s="52">
        <v>1</v>
      </c>
    </row>
    <row r="1729" spans="1:2" x14ac:dyDescent="0.35">
      <c r="A1729" s="15">
        <v>1586977</v>
      </c>
      <c r="B1729" s="52">
        <v>1</v>
      </c>
    </row>
    <row r="1730" spans="1:2" x14ac:dyDescent="0.35">
      <c r="A1730" s="15">
        <v>1587003</v>
      </c>
      <c r="B1730" s="52">
        <v>1</v>
      </c>
    </row>
    <row r="1731" spans="1:2" x14ac:dyDescent="0.35">
      <c r="A1731" s="15">
        <v>1587011</v>
      </c>
      <c r="B1731" s="52">
        <v>1</v>
      </c>
    </row>
    <row r="1732" spans="1:2" x14ac:dyDescent="0.35">
      <c r="A1732" s="15">
        <v>1587028</v>
      </c>
      <c r="B1732" s="52">
        <v>1</v>
      </c>
    </row>
    <row r="1733" spans="1:2" x14ac:dyDescent="0.35">
      <c r="A1733" s="15">
        <v>1587039</v>
      </c>
      <c r="B1733" s="52">
        <v>1</v>
      </c>
    </row>
    <row r="1734" spans="1:2" x14ac:dyDescent="0.35">
      <c r="A1734" s="15">
        <v>1587041</v>
      </c>
      <c r="B1734" s="52">
        <v>1</v>
      </c>
    </row>
    <row r="1735" spans="1:2" x14ac:dyDescent="0.35">
      <c r="A1735" s="15">
        <v>1587124</v>
      </c>
      <c r="B1735" s="52">
        <v>1</v>
      </c>
    </row>
    <row r="1736" spans="1:2" x14ac:dyDescent="0.35">
      <c r="A1736" s="15">
        <v>1587131</v>
      </c>
      <c r="B1736" s="52">
        <v>1</v>
      </c>
    </row>
    <row r="1737" spans="1:2" x14ac:dyDescent="0.35">
      <c r="A1737" s="15">
        <v>1587142</v>
      </c>
      <c r="B1737" s="52">
        <v>1</v>
      </c>
    </row>
    <row r="1738" spans="1:2" x14ac:dyDescent="0.35">
      <c r="A1738" s="15">
        <v>1587157</v>
      </c>
      <c r="B1738" s="52">
        <v>1</v>
      </c>
    </row>
    <row r="1739" spans="1:2" x14ac:dyDescent="0.35">
      <c r="A1739" s="15">
        <v>1587170</v>
      </c>
      <c r="B1739" s="52">
        <v>1</v>
      </c>
    </row>
    <row r="1740" spans="1:2" x14ac:dyDescent="0.35">
      <c r="A1740" s="15">
        <v>1700394</v>
      </c>
      <c r="B1740" s="52">
        <v>1</v>
      </c>
    </row>
    <row r="1741" spans="1:2" x14ac:dyDescent="0.35">
      <c r="A1741" s="15">
        <v>1700909</v>
      </c>
      <c r="B1741" s="52">
        <v>1</v>
      </c>
    </row>
    <row r="1742" spans="1:2" x14ac:dyDescent="0.35">
      <c r="A1742" s="15">
        <v>1700910</v>
      </c>
      <c r="B1742" s="52">
        <v>1</v>
      </c>
    </row>
    <row r="1743" spans="1:2" x14ac:dyDescent="0.35">
      <c r="A1743" s="15">
        <v>1700918</v>
      </c>
      <c r="B1743" s="52">
        <v>1</v>
      </c>
    </row>
    <row r="1744" spans="1:2" x14ac:dyDescent="0.35">
      <c r="A1744" s="15">
        <v>1701019</v>
      </c>
      <c r="B1744" s="52">
        <v>1</v>
      </c>
    </row>
    <row r="1745" spans="1:2" x14ac:dyDescent="0.35">
      <c r="A1745" s="15">
        <v>1701046</v>
      </c>
      <c r="B1745" s="52">
        <v>1</v>
      </c>
    </row>
    <row r="1746" spans="1:2" x14ac:dyDescent="0.35">
      <c r="A1746" s="15">
        <v>1701062</v>
      </c>
      <c r="B1746" s="52">
        <v>1</v>
      </c>
    </row>
    <row r="1747" spans="1:2" x14ac:dyDescent="0.35">
      <c r="A1747" s="15">
        <v>1701063</v>
      </c>
      <c r="B1747" s="52">
        <v>1</v>
      </c>
    </row>
    <row r="1748" spans="1:2" x14ac:dyDescent="0.35">
      <c r="A1748" s="15">
        <v>1701065</v>
      </c>
      <c r="B1748" s="52">
        <v>1</v>
      </c>
    </row>
    <row r="1749" spans="1:2" x14ac:dyDescent="0.35">
      <c r="A1749" s="15">
        <v>1701067</v>
      </c>
      <c r="B1749" s="52">
        <v>1</v>
      </c>
    </row>
    <row r="1750" spans="1:2" x14ac:dyDescent="0.35">
      <c r="A1750" s="15">
        <v>1701130</v>
      </c>
      <c r="B1750" s="52">
        <v>1</v>
      </c>
    </row>
    <row r="1751" spans="1:2" x14ac:dyDescent="0.35">
      <c r="A1751" s="15">
        <v>1701148</v>
      </c>
      <c r="B1751" s="52">
        <v>1</v>
      </c>
    </row>
    <row r="1752" spans="1:2" x14ac:dyDescent="0.35">
      <c r="A1752" s="15">
        <v>1701164</v>
      </c>
      <c r="B1752" s="52">
        <v>1</v>
      </c>
    </row>
    <row r="1753" spans="1:2" x14ac:dyDescent="0.35">
      <c r="A1753" s="15">
        <v>1701165</v>
      </c>
      <c r="B1753" s="52">
        <v>1</v>
      </c>
    </row>
    <row r="1754" spans="1:2" x14ac:dyDescent="0.35">
      <c r="A1754" s="15">
        <v>1701168</v>
      </c>
      <c r="B1754" s="52">
        <v>1</v>
      </c>
    </row>
    <row r="1755" spans="1:2" x14ac:dyDescent="0.35">
      <c r="A1755" s="15">
        <v>1701207</v>
      </c>
      <c r="B1755" s="52">
        <v>1</v>
      </c>
    </row>
    <row r="1756" spans="1:2" x14ac:dyDescent="0.35">
      <c r="A1756" s="15">
        <v>1701353</v>
      </c>
      <c r="B1756" s="52">
        <v>1</v>
      </c>
    </row>
    <row r="1757" spans="1:2" x14ac:dyDescent="0.35">
      <c r="A1757" s="15">
        <v>1701354</v>
      </c>
      <c r="B1757" s="52">
        <v>1</v>
      </c>
    </row>
    <row r="1758" spans="1:2" x14ac:dyDescent="0.35">
      <c r="A1758" s="15">
        <v>1701410</v>
      </c>
      <c r="B1758" s="52">
        <v>1</v>
      </c>
    </row>
    <row r="1759" spans="1:2" x14ac:dyDescent="0.35">
      <c r="A1759" s="15">
        <v>1701477</v>
      </c>
      <c r="B1759" s="52">
        <v>1</v>
      </c>
    </row>
    <row r="1760" spans="1:2" x14ac:dyDescent="0.35">
      <c r="A1760" s="15">
        <v>1701680</v>
      </c>
      <c r="B1760" s="52">
        <v>1</v>
      </c>
    </row>
    <row r="1761" spans="1:2" x14ac:dyDescent="0.35">
      <c r="A1761" s="15">
        <v>1701681</v>
      </c>
      <c r="B1761" s="52">
        <v>1</v>
      </c>
    </row>
    <row r="1762" spans="1:2" x14ac:dyDescent="0.35">
      <c r="A1762" s="15">
        <v>1701704</v>
      </c>
      <c r="B1762" s="52">
        <v>1</v>
      </c>
    </row>
    <row r="1763" spans="1:2" x14ac:dyDescent="0.35">
      <c r="A1763" s="15">
        <v>1701721</v>
      </c>
      <c r="B1763" s="52">
        <v>1</v>
      </c>
    </row>
    <row r="1764" spans="1:2" x14ac:dyDescent="0.35">
      <c r="A1764" s="15">
        <v>1701797</v>
      </c>
      <c r="B1764" s="52">
        <v>1</v>
      </c>
    </row>
    <row r="1765" spans="1:2" x14ac:dyDescent="0.35">
      <c r="A1765" s="15">
        <v>1701805</v>
      </c>
      <c r="B1765" s="52">
        <v>1</v>
      </c>
    </row>
    <row r="1766" spans="1:2" x14ac:dyDescent="0.35">
      <c r="A1766" s="15">
        <v>1701842</v>
      </c>
      <c r="B1766" s="52">
        <v>1</v>
      </c>
    </row>
    <row r="1767" spans="1:2" x14ac:dyDescent="0.35">
      <c r="A1767" s="15">
        <v>1702011</v>
      </c>
      <c r="B1767" s="52">
        <v>1</v>
      </c>
    </row>
    <row r="1768" spans="1:2" x14ac:dyDescent="0.35">
      <c r="A1768" s="15">
        <v>1702012</v>
      </c>
      <c r="B1768" s="52">
        <v>1</v>
      </c>
    </row>
    <row r="1769" spans="1:2" x14ac:dyDescent="0.35">
      <c r="A1769" s="15">
        <v>1702182</v>
      </c>
      <c r="B1769" s="52">
        <v>1</v>
      </c>
    </row>
    <row r="1770" spans="1:2" x14ac:dyDescent="0.35">
      <c r="A1770" s="15">
        <v>1702191</v>
      </c>
      <c r="B1770" s="52">
        <v>1</v>
      </c>
    </row>
    <row r="1771" spans="1:2" x14ac:dyDescent="0.35">
      <c r="A1771" s="15">
        <v>1702276</v>
      </c>
      <c r="B1771" s="52">
        <v>1</v>
      </c>
    </row>
    <row r="1772" spans="1:2" x14ac:dyDescent="0.35">
      <c r="A1772" s="15">
        <v>1702278</v>
      </c>
      <c r="B1772" s="52">
        <v>1</v>
      </c>
    </row>
    <row r="1773" spans="1:2" x14ac:dyDescent="0.35">
      <c r="A1773" s="15">
        <v>1702283</v>
      </c>
      <c r="B1773" s="52">
        <v>1</v>
      </c>
    </row>
    <row r="1774" spans="1:2" x14ac:dyDescent="0.35">
      <c r="A1774" s="15">
        <v>1702386</v>
      </c>
      <c r="B1774" s="52">
        <v>1</v>
      </c>
    </row>
    <row r="1775" spans="1:2" x14ac:dyDescent="0.35">
      <c r="A1775" s="15">
        <v>1702404</v>
      </c>
      <c r="B1775" s="52">
        <v>1</v>
      </c>
    </row>
    <row r="1776" spans="1:2" x14ac:dyDescent="0.35">
      <c r="A1776" s="15">
        <v>1702478</v>
      </c>
      <c r="B1776" s="52">
        <v>1</v>
      </c>
    </row>
    <row r="1777" spans="1:2" x14ac:dyDescent="0.35">
      <c r="A1777" s="15">
        <v>1702486</v>
      </c>
      <c r="B1777" s="52">
        <v>1</v>
      </c>
    </row>
    <row r="1778" spans="1:2" x14ac:dyDescent="0.35">
      <c r="A1778" s="15">
        <v>1702487</v>
      </c>
      <c r="B1778" s="52">
        <v>1</v>
      </c>
    </row>
    <row r="1779" spans="1:2" x14ac:dyDescent="0.35">
      <c r="A1779" s="15">
        <v>1702511</v>
      </c>
      <c r="B1779" s="52">
        <v>1</v>
      </c>
    </row>
    <row r="1780" spans="1:2" x14ac:dyDescent="0.35">
      <c r="A1780" s="15">
        <v>1702512</v>
      </c>
      <c r="B1780" s="52">
        <v>1</v>
      </c>
    </row>
    <row r="1781" spans="1:2" x14ac:dyDescent="0.35">
      <c r="A1781" s="15">
        <v>1702545</v>
      </c>
      <c r="B1781" s="52">
        <v>1</v>
      </c>
    </row>
    <row r="1782" spans="1:2" x14ac:dyDescent="0.35">
      <c r="A1782" s="15">
        <v>1702679</v>
      </c>
      <c r="B1782" s="52">
        <v>1</v>
      </c>
    </row>
    <row r="1783" spans="1:2" x14ac:dyDescent="0.35">
      <c r="A1783" s="15">
        <v>1702738</v>
      </c>
      <c r="B1783" s="52">
        <v>1</v>
      </c>
    </row>
    <row r="1784" spans="1:2" x14ac:dyDescent="0.35">
      <c r="A1784" s="15">
        <v>1702743</v>
      </c>
      <c r="B1784" s="52">
        <v>1</v>
      </c>
    </row>
    <row r="1785" spans="1:2" x14ac:dyDescent="0.35">
      <c r="A1785" s="15">
        <v>1702744</v>
      </c>
      <c r="B1785" s="52">
        <v>1</v>
      </c>
    </row>
    <row r="1786" spans="1:2" x14ac:dyDescent="0.35">
      <c r="A1786" s="15">
        <v>1702803</v>
      </c>
      <c r="B1786" s="52">
        <v>1</v>
      </c>
    </row>
    <row r="1787" spans="1:2" x14ac:dyDescent="0.35">
      <c r="A1787" s="15">
        <v>1702925</v>
      </c>
      <c r="B1787" s="52">
        <v>1</v>
      </c>
    </row>
    <row r="1788" spans="1:2" x14ac:dyDescent="0.35">
      <c r="A1788" s="15">
        <v>1702935</v>
      </c>
      <c r="B1788" s="52">
        <v>1</v>
      </c>
    </row>
    <row r="1789" spans="1:2" x14ac:dyDescent="0.35">
      <c r="A1789" s="15">
        <v>1702942</v>
      </c>
      <c r="B1789" s="52">
        <v>1</v>
      </c>
    </row>
    <row r="1790" spans="1:2" x14ac:dyDescent="0.35">
      <c r="A1790" s="15">
        <v>1702962</v>
      </c>
      <c r="B1790" s="52">
        <v>1</v>
      </c>
    </row>
    <row r="1791" spans="1:2" x14ac:dyDescent="0.35">
      <c r="A1791" s="15">
        <v>1702968</v>
      </c>
      <c r="B1791" s="52">
        <v>1</v>
      </c>
    </row>
    <row r="1792" spans="1:2" x14ac:dyDescent="0.35">
      <c r="A1792" s="15">
        <v>1703013</v>
      </c>
      <c r="B1792" s="52">
        <v>1</v>
      </c>
    </row>
    <row r="1793" spans="1:2" x14ac:dyDescent="0.35">
      <c r="A1793" s="15">
        <v>1703055</v>
      </c>
      <c r="B1793" s="52">
        <v>1</v>
      </c>
    </row>
    <row r="1794" spans="1:2" x14ac:dyDescent="0.35">
      <c r="A1794" s="15">
        <v>1703100</v>
      </c>
      <c r="B1794" s="52">
        <v>1</v>
      </c>
    </row>
    <row r="1795" spans="1:2" x14ac:dyDescent="0.35">
      <c r="A1795" s="15">
        <v>1703130</v>
      </c>
      <c r="B1795" s="52">
        <v>1</v>
      </c>
    </row>
    <row r="1796" spans="1:2" x14ac:dyDescent="0.35">
      <c r="A1796" s="15">
        <v>1703176</v>
      </c>
      <c r="B1796" s="52">
        <v>1</v>
      </c>
    </row>
    <row r="1797" spans="1:2" x14ac:dyDescent="0.35">
      <c r="A1797" s="15">
        <v>1703263</v>
      </c>
      <c r="B1797" s="52">
        <v>1</v>
      </c>
    </row>
    <row r="1798" spans="1:2" x14ac:dyDescent="0.35">
      <c r="A1798" s="15">
        <v>1703313</v>
      </c>
      <c r="B1798" s="52">
        <v>1</v>
      </c>
    </row>
    <row r="1799" spans="1:2" x14ac:dyDescent="0.35">
      <c r="A1799" s="15">
        <v>1703314</v>
      </c>
      <c r="B1799" s="52">
        <v>1</v>
      </c>
    </row>
    <row r="1800" spans="1:2" x14ac:dyDescent="0.35">
      <c r="A1800" s="15">
        <v>1703505</v>
      </c>
      <c r="B1800" s="52">
        <v>1</v>
      </c>
    </row>
    <row r="1801" spans="1:2" x14ac:dyDescent="0.35">
      <c r="A1801" s="15">
        <v>1749005</v>
      </c>
      <c r="B1801" s="52">
        <v>1</v>
      </c>
    </row>
    <row r="1802" spans="1:2" x14ac:dyDescent="0.35">
      <c r="A1802" s="15">
        <v>1800379</v>
      </c>
      <c r="B1802" s="52">
        <v>1</v>
      </c>
    </row>
    <row r="1803" spans="1:2" x14ac:dyDescent="0.35">
      <c r="A1803" s="15">
        <v>1800382</v>
      </c>
      <c r="B1803" s="52">
        <v>1</v>
      </c>
    </row>
    <row r="1804" spans="1:2" x14ac:dyDescent="0.35">
      <c r="A1804" s="15">
        <v>1800392</v>
      </c>
      <c r="B1804" s="52">
        <v>1</v>
      </c>
    </row>
    <row r="1805" spans="1:2" x14ac:dyDescent="0.35">
      <c r="A1805" s="15">
        <v>1800496</v>
      </c>
      <c r="B1805" s="52">
        <v>1</v>
      </c>
    </row>
    <row r="1806" spans="1:2" x14ac:dyDescent="0.35">
      <c r="A1806" s="15">
        <v>1800524</v>
      </c>
      <c r="B1806" s="52">
        <v>1</v>
      </c>
    </row>
    <row r="1807" spans="1:2" x14ac:dyDescent="0.35">
      <c r="A1807" s="15">
        <v>1800525</v>
      </c>
      <c r="B1807" s="52">
        <v>1</v>
      </c>
    </row>
    <row r="1808" spans="1:2" x14ac:dyDescent="0.35">
      <c r="A1808" s="15">
        <v>1800527</v>
      </c>
      <c r="B1808" s="52">
        <v>1</v>
      </c>
    </row>
    <row r="1809" spans="1:2" x14ac:dyDescent="0.35">
      <c r="A1809" s="15">
        <v>1800538</v>
      </c>
      <c r="B1809" s="52">
        <v>1</v>
      </c>
    </row>
    <row r="1810" spans="1:2" x14ac:dyDescent="0.35">
      <c r="A1810" s="15">
        <v>1800541</v>
      </c>
      <c r="B1810" s="52">
        <v>1</v>
      </c>
    </row>
    <row r="1811" spans="1:2" x14ac:dyDescent="0.35">
      <c r="A1811" s="15">
        <v>1800553</v>
      </c>
      <c r="B1811" s="52">
        <v>1</v>
      </c>
    </row>
    <row r="1812" spans="1:2" x14ac:dyDescent="0.35">
      <c r="A1812" s="15">
        <v>1800554</v>
      </c>
      <c r="B1812" s="52">
        <v>1</v>
      </c>
    </row>
    <row r="1813" spans="1:2" x14ac:dyDescent="0.35">
      <c r="A1813" s="15">
        <v>1800555</v>
      </c>
      <c r="B1813" s="52">
        <v>1</v>
      </c>
    </row>
    <row r="1814" spans="1:2" x14ac:dyDescent="0.35">
      <c r="A1814" s="15">
        <v>1800561</v>
      </c>
      <c r="B1814" s="52">
        <v>1</v>
      </c>
    </row>
    <row r="1815" spans="1:2" x14ac:dyDescent="0.35">
      <c r="A1815" s="15">
        <v>1800567</v>
      </c>
      <c r="B1815" s="52">
        <v>1</v>
      </c>
    </row>
    <row r="1816" spans="1:2" x14ac:dyDescent="0.35">
      <c r="A1816" s="15">
        <v>1800579</v>
      </c>
      <c r="B1816" s="52">
        <v>1</v>
      </c>
    </row>
    <row r="1817" spans="1:2" x14ac:dyDescent="0.35">
      <c r="A1817" s="15">
        <v>1800588</v>
      </c>
      <c r="B1817" s="52">
        <v>1</v>
      </c>
    </row>
    <row r="1818" spans="1:2" x14ac:dyDescent="0.35">
      <c r="A1818" s="15">
        <v>1800589</v>
      </c>
      <c r="B1818" s="52">
        <v>1</v>
      </c>
    </row>
    <row r="1819" spans="1:2" x14ac:dyDescent="0.35">
      <c r="A1819" s="15">
        <v>1800599</v>
      </c>
      <c r="B1819" s="52">
        <v>1</v>
      </c>
    </row>
    <row r="1820" spans="1:2" x14ac:dyDescent="0.35">
      <c r="A1820" s="15">
        <v>1800604</v>
      </c>
      <c r="B1820" s="52">
        <v>1</v>
      </c>
    </row>
    <row r="1821" spans="1:2" x14ac:dyDescent="0.35">
      <c r="A1821" s="15">
        <v>1800605</v>
      </c>
      <c r="B1821" s="52">
        <v>1</v>
      </c>
    </row>
    <row r="1822" spans="1:2" x14ac:dyDescent="0.35">
      <c r="A1822" s="15">
        <v>1800606</v>
      </c>
      <c r="B1822" s="52">
        <v>1</v>
      </c>
    </row>
    <row r="1823" spans="1:2" x14ac:dyDescent="0.35">
      <c r="A1823" s="15">
        <v>1800607</v>
      </c>
      <c r="B1823" s="52">
        <v>1</v>
      </c>
    </row>
    <row r="1824" spans="1:2" x14ac:dyDescent="0.35">
      <c r="A1824" s="15">
        <v>1800614</v>
      </c>
      <c r="B1824" s="52">
        <v>1</v>
      </c>
    </row>
    <row r="1825" spans="1:2" x14ac:dyDescent="0.35">
      <c r="A1825" s="15">
        <v>1800621</v>
      </c>
      <c r="B1825" s="52">
        <v>1</v>
      </c>
    </row>
    <row r="1826" spans="1:2" x14ac:dyDescent="0.35">
      <c r="A1826" s="15">
        <v>1800623</v>
      </c>
      <c r="B1826" s="52">
        <v>1</v>
      </c>
    </row>
    <row r="1827" spans="1:2" x14ac:dyDescent="0.35">
      <c r="A1827" s="15">
        <v>1800626</v>
      </c>
      <c r="B1827" s="52">
        <v>1</v>
      </c>
    </row>
    <row r="1828" spans="1:2" x14ac:dyDescent="0.35">
      <c r="A1828" s="15">
        <v>1800631</v>
      </c>
      <c r="B1828" s="52">
        <v>1</v>
      </c>
    </row>
    <row r="1829" spans="1:2" x14ac:dyDescent="0.35">
      <c r="A1829" s="15">
        <v>1800634</v>
      </c>
      <c r="B1829" s="52">
        <v>1</v>
      </c>
    </row>
    <row r="1830" spans="1:2" x14ac:dyDescent="0.35">
      <c r="A1830" s="15">
        <v>1800639</v>
      </c>
      <c r="B1830" s="52">
        <v>1</v>
      </c>
    </row>
    <row r="1831" spans="1:2" x14ac:dyDescent="0.35">
      <c r="A1831" s="15">
        <v>1800640</v>
      </c>
      <c r="B1831" s="52">
        <v>1</v>
      </c>
    </row>
    <row r="1832" spans="1:2" x14ac:dyDescent="0.35">
      <c r="A1832" s="15">
        <v>1800641</v>
      </c>
      <c r="B1832" s="52">
        <v>1</v>
      </c>
    </row>
    <row r="1833" spans="1:2" x14ac:dyDescent="0.35">
      <c r="A1833" s="15">
        <v>1800642</v>
      </c>
      <c r="B1833" s="52">
        <v>1</v>
      </c>
    </row>
    <row r="1834" spans="1:2" x14ac:dyDescent="0.35">
      <c r="A1834" s="15">
        <v>1800647</v>
      </c>
      <c r="B1834" s="52">
        <v>1</v>
      </c>
    </row>
    <row r="1835" spans="1:2" x14ac:dyDescent="0.35">
      <c r="A1835" s="15">
        <v>1800655</v>
      </c>
      <c r="B1835" s="52">
        <v>1</v>
      </c>
    </row>
    <row r="1836" spans="1:2" x14ac:dyDescent="0.35">
      <c r="A1836" s="15">
        <v>1800656</v>
      </c>
      <c r="B1836" s="52">
        <v>1</v>
      </c>
    </row>
    <row r="1837" spans="1:2" x14ac:dyDescent="0.35">
      <c r="A1837" s="15">
        <v>1800670</v>
      </c>
      <c r="B1837" s="52">
        <v>1</v>
      </c>
    </row>
    <row r="1838" spans="1:2" x14ac:dyDescent="0.35">
      <c r="A1838" s="15">
        <v>1800671</v>
      </c>
      <c r="B1838" s="52">
        <v>1</v>
      </c>
    </row>
    <row r="1839" spans="1:2" x14ac:dyDescent="0.35">
      <c r="A1839" s="15">
        <v>1900204</v>
      </c>
      <c r="B1839" s="52">
        <v>1</v>
      </c>
    </row>
    <row r="1840" spans="1:2" x14ac:dyDescent="0.35">
      <c r="A1840" s="15">
        <v>2000621</v>
      </c>
      <c r="B1840" s="52">
        <v>1</v>
      </c>
    </row>
    <row r="1841" spans="1:2" x14ac:dyDescent="0.35">
      <c r="A1841" s="15">
        <v>2000728</v>
      </c>
      <c r="B1841" s="52">
        <v>1</v>
      </c>
    </row>
    <row r="1842" spans="1:2" x14ac:dyDescent="0.35">
      <c r="A1842" s="15">
        <v>2000952</v>
      </c>
      <c r="B1842" s="52">
        <v>1</v>
      </c>
    </row>
    <row r="1843" spans="1:2" x14ac:dyDescent="0.35">
      <c r="A1843" s="15">
        <v>2001562</v>
      </c>
      <c r="B1843" s="52">
        <v>1</v>
      </c>
    </row>
    <row r="1844" spans="1:2" x14ac:dyDescent="0.35">
      <c r="A1844" s="15">
        <v>2001662</v>
      </c>
      <c r="B1844" s="52">
        <v>1</v>
      </c>
    </row>
    <row r="1845" spans="1:2" x14ac:dyDescent="0.35">
      <c r="A1845" s="15">
        <v>2001682</v>
      </c>
      <c r="B1845" s="52">
        <v>1</v>
      </c>
    </row>
    <row r="1846" spans="1:2" x14ac:dyDescent="0.35">
      <c r="A1846" s="15">
        <v>2001770</v>
      </c>
      <c r="B1846" s="52">
        <v>1</v>
      </c>
    </row>
    <row r="1847" spans="1:2" x14ac:dyDescent="0.35">
      <c r="A1847" s="15">
        <v>2001974</v>
      </c>
      <c r="B1847" s="52">
        <v>1</v>
      </c>
    </row>
    <row r="1848" spans="1:2" x14ac:dyDescent="0.35">
      <c r="A1848" s="15">
        <v>2002149</v>
      </c>
      <c r="B1848" s="52">
        <v>1</v>
      </c>
    </row>
    <row r="1849" spans="1:2" x14ac:dyDescent="0.35">
      <c r="A1849" s="15">
        <v>2002225</v>
      </c>
      <c r="B1849" s="52">
        <v>1</v>
      </c>
    </row>
    <row r="1850" spans="1:2" x14ac:dyDescent="0.35">
      <c r="A1850" s="15">
        <v>2002226</v>
      </c>
      <c r="B1850" s="52">
        <v>1</v>
      </c>
    </row>
    <row r="1851" spans="1:2" x14ac:dyDescent="0.35">
      <c r="A1851" s="15">
        <v>2002234</v>
      </c>
      <c r="B1851" s="52">
        <v>1</v>
      </c>
    </row>
    <row r="1852" spans="1:2" x14ac:dyDescent="0.35">
      <c r="A1852" s="15">
        <v>2101158</v>
      </c>
      <c r="B1852" s="52">
        <v>1</v>
      </c>
    </row>
    <row r="1853" spans="1:2" x14ac:dyDescent="0.35">
      <c r="A1853" s="15">
        <v>2101163</v>
      </c>
      <c r="B1853" s="52">
        <v>1</v>
      </c>
    </row>
    <row r="1854" spans="1:2" x14ac:dyDescent="0.35">
      <c r="A1854" s="15">
        <v>2101296</v>
      </c>
      <c r="B1854" s="52">
        <v>1</v>
      </c>
    </row>
    <row r="1855" spans="1:2" x14ac:dyDescent="0.35">
      <c r="A1855" s="15">
        <v>2101362</v>
      </c>
      <c r="B1855" s="52">
        <v>1</v>
      </c>
    </row>
    <row r="1856" spans="1:2" x14ac:dyDescent="0.35">
      <c r="A1856" s="15">
        <v>2371115</v>
      </c>
      <c r="B1856" s="52">
        <v>1</v>
      </c>
    </row>
    <row r="1857" spans="1:2" x14ac:dyDescent="0.35">
      <c r="A1857" s="15">
        <v>2375659</v>
      </c>
      <c r="B1857" s="52">
        <v>1</v>
      </c>
    </row>
    <row r="1858" spans="1:2" x14ac:dyDescent="0.35">
      <c r="A1858" s="15">
        <v>2400308</v>
      </c>
      <c r="B1858" s="52">
        <v>1</v>
      </c>
    </row>
    <row r="1859" spans="1:2" x14ac:dyDescent="0.35">
      <c r="A1859" s="15">
        <v>3010022</v>
      </c>
      <c r="B1859" s="52">
        <v>1</v>
      </c>
    </row>
    <row r="1860" spans="1:2" x14ac:dyDescent="0.35">
      <c r="A1860" s="15">
        <v>3010031</v>
      </c>
      <c r="B1860" s="52">
        <v>1</v>
      </c>
    </row>
    <row r="1861" spans="1:2" x14ac:dyDescent="0.35">
      <c r="A1861" s="15">
        <v>3010032</v>
      </c>
      <c r="B1861" s="52">
        <v>1</v>
      </c>
    </row>
    <row r="1862" spans="1:2" x14ac:dyDescent="0.35">
      <c r="A1862" s="15">
        <v>3010063</v>
      </c>
      <c r="B1862" s="52">
        <v>1</v>
      </c>
    </row>
    <row r="1863" spans="1:2" x14ac:dyDescent="0.35">
      <c r="A1863" s="15">
        <v>3010073</v>
      </c>
      <c r="B1863" s="52">
        <v>1</v>
      </c>
    </row>
    <row r="1864" spans="1:2" x14ac:dyDescent="0.35">
      <c r="A1864" s="15">
        <v>3010080</v>
      </c>
      <c r="B1864" s="52">
        <v>1</v>
      </c>
    </row>
    <row r="1865" spans="1:2" x14ac:dyDescent="0.35">
      <c r="A1865" s="15">
        <v>3010135</v>
      </c>
      <c r="B1865" s="52">
        <v>1</v>
      </c>
    </row>
    <row r="1866" spans="1:2" x14ac:dyDescent="0.35">
      <c r="A1866" s="15">
        <v>3010147</v>
      </c>
      <c r="B1866" s="52">
        <v>1</v>
      </c>
    </row>
    <row r="1867" spans="1:2" x14ac:dyDescent="0.35">
      <c r="A1867" s="15">
        <v>3010148</v>
      </c>
      <c r="B1867" s="52">
        <v>1</v>
      </c>
    </row>
    <row r="1868" spans="1:2" x14ac:dyDescent="0.35">
      <c r="A1868" s="15">
        <v>3010154</v>
      </c>
      <c r="B1868" s="52">
        <v>1</v>
      </c>
    </row>
    <row r="1869" spans="1:2" x14ac:dyDescent="0.35">
      <c r="A1869" s="15">
        <v>3010159</v>
      </c>
      <c r="B1869" s="52">
        <v>1</v>
      </c>
    </row>
    <row r="1870" spans="1:2" x14ac:dyDescent="0.35">
      <c r="A1870" s="15">
        <v>3010167</v>
      </c>
      <c r="B1870" s="52">
        <v>1</v>
      </c>
    </row>
    <row r="1871" spans="1:2" x14ac:dyDescent="0.35">
      <c r="A1871" s="15">
        <v>3010194</v>
      </c>
      <c r="B1871" s="52">
        <v>1</v>
      </c>
    </row>
    <row r="1872" spans="1:2" x14ac:dyDescent="0.35">
      <c r="A1872" s="15">
        <v>3010196</v>
      </c>
      <c r="B1872" s="52">
        <v>1</v>
      </c>
    </row>
    <row r="1873" spans="1:2" x14ac:dyDescent="0.35">
      <c r="A1873" s="15">
        <v>3010223</v>
      </c>
      <c r="B1873" s="52">
        <v>1</v>
      </c>
    </row>
    <row r="1874" spans="1:2" x14ac:dyDescent="0.35">
      <c r="A1874" s="15">
        <v>3010232</v>
      </c>
      <c r="B1874" s="52">
        <v>1</v>
      </c>
    </row>
    <row r="1875" spans="1:2" x14ac:dyDescent="0.35">
      <c r="A1875" s="15">
        <v>3146459</v>
      </c>
      <c r="B1875" s="52">
        <v>1</v>
      </c>
    </row>
    <row r="1876" spans="1:2" x14ac:dyDescent="0.35">
      <c r="A1876" s="15">
        <v>3200039</v>
      </c>
      <c r="B1876" s="52">
        <v>1</v>
      </c>
    </row>
    <row r="1877" spans="1:2" x14ac:dyDescent="0.35">
      <c r="A1877" s="15">
        <v>3200162</v>
      </c>
      <c r="B1877" s="52">
        <v>1</v>
      </c>
    </row>
    <row r="1878" spans="1:2" x14ac:dyDescent="0.35">
      <c r="A1878" s="15">
        <v>3200184</v>
      </c>
      <c r="B1878" s="52">
        <v>1</v>
      </c>
    </row>
    <row r="1879" spans="1:2" x14ac:dyDescent="0.35">
      <c r="A1879" s="15">
        <v>3200189</v>
      </c>
      <c r="B1879" s="52">
        <v>1</v>
      </c>
    </row>
    <row r="1880" spans="1:2" x14ac:dyDescent="0.35">
      <c r="A1880" s="15">
        <v>3200190</v>
      </c>
      <c r="B1880" s="52">
        <v>1</v>
      </c>
    </row>
    <row r="1881" spans="1:2" x14ac:dyDescent="0.35">
      <c r="A1881" s="15">
        <v>3601237</v>
      </c>
      <c r="B1881" s="52">
        <v>1</v>
      </c>
    </row>
    <row r="1882" spans="1:2" x14ac:dyDescent="0.35">
      <c r="A1882" s="15">
        <v>3601240</v>
      </c>
      <c r="B1882" s="52">
        <v>1</v>
      </c>
    </row>
    <row r="1883" spans="1:2" x14ac:dyDescent="0.35">
      <c r="A1883" s="15">
        <v>3601243</v>
      </c>
      <c r="B1883" s="52">
        <v>1</v>
      </c>
    </row>
    <row r="1884" spans="1:2" x14ac:dyDescent="0.35">
      <c r="A1884" s="15">
        <v>3601244</v>
      </c>
      <c r="B1884" s="52">
        <v>1</v>
      </c>
    </row>
    <row r="1885" spans="1:2" x14ac:dyDescent="0.35">
      <c r="A1885" s="15">
        <v>3601287</v>
      </c>
      <c r="B1885" s="52">
        <v>1</v>
      </c>
    </row>
    <row r="1886" spans="1:2" x14ac:dyDescent="0.35">
      <c r="A1886" s="15">
        <v>3601313</v>
      </c>
      <c r="B1886" s="52">
        <v>1</v>
      </c>
    </row>
    <row r="1887" spans="1:2" x14ac:dyDescent="0.35">
      <c r="A1887" s="15">
        <v>3601329</v>
      </c>
      <c r="B1887" s="52">
        <v>1</v>
      </c>
    </row>
    <row r="1888" spans="1:2" x14ac:dyDescent="0.35">
      <c r="A1888" s="15">
        <v>3601332</v>
      </c>
      <c r="B1888" s="52">
        <v>1</v>
      </c>
    </row>
    <row r="1889" spans="1:2" x14ac:dyDescent="0.35">
      <c r="A1889" s="15">
        <v>3601335</v>
      </c>
      <c r="B1889" s="52">
        <v>1</v>
      </c>
    </row>
    <row r="1890" spans="1:2" x14ac:dyDescent="0.35">
      <c r="A1890" s="15">
        <v>3601342</v>
      </c>
      <c r="B1890" s="52">
        <v>1</v>
      </c>
    </row>
    <row r="1891" spans="1:2" x14ac:dyDescent="0.35">
      <c r="A1891" s="15">
        <v>3601345</v>
      </c>
      <c r="B1891" s="52">
        <v>1</v>
      </c>
    </row>
    <row r="1892" spans="1:2" x14ac:dyDescent="0.35">
      <c r="A1892" s="15">
        <v>3601346</v>
      </c>
      <c r="B1892" s="52">
        <v>1</v>
      </c>
    </row>
    <row r="1893" spans="1:2" x14ac:dyDescent="0.35">
      <c r="A1893" s="15">
        <v>3601357</v>
      </c>
      <c r="B1893" s="52">
        <v>1</v>
      </c>
    </row>
    <row r="1894" spans="1:2" x14ac:dyDescent="0.35">
      <c r="A1894" s="15">
        <v>3601364</v>
      </c>
      <c r="B1894" s="52">
        <v>1</v>
      </c>
    </row>
    <row r="1895" spans="1:2" x14ac:dyDescent="0.35">
      <c r="A1895" s="15">
        <v>3601394</v>
      </c>
      <c r="B1895" s="52">
        <v>1</v>
      </c>
    </row>
    <row r="1896" spans="1:2" x14ac:dyDescent="0.35">
      <c r="A1896" s="15">
        <v>3601397</v>
      </c>
      <c r="B1896" s="52">
        <v>1</v>
      </c>
    </row>
    <row r="1897" spans="1:2" x14ac:dyDescent="0.35">
      <c r="A1897" s="15">
        <v>3601443</v>
      </c>
      <c r="B1897" s="52">
        <v>1</v>
      </c>
    </row>
    <row r="1898" spans="1:2" x14ac:dyDescent="0.35">
      <c r="A1898" s="15">
        <v>3601495</v>
      </c>
      <c r="B1898" s="52">
        <v>1</v>
      </c>
    </row>
    <row r="1899" spans="1:2" x14ac:dyDescent="0.35">
      <c r="A1899" s="15">
        <v>3601500</v>
      </c>
      <c r="B1899" s="52">
        <v>1</v>
      </c>
    </row>
    <row r="1900" spans="1:2" x14ac:dyDescent="0.35">
      <c r="A1900" s="15">
        <v>3601514</v>
      </c>
      <c r="B1900" s="52">
        <v>1</v>
      </c>
    </row>
    <row r="1901" spans="1:2" x14ac:dyDescent="0.35">
      <c r="A1901" s="15">
        <v>3601520</v>
      </c>
      <c r="B1901" s="52">
        <v>1</v>
      </c>
    </row>
    <row r="1902" spans="1:2" x14ac:dyDescent="0.35">
      <c r="A1902" s="15">
        <v>3601527</v>
      </c>
      <c r="B1902" s="52">
        <v>1</v>
      </c>
    </row>
    <row r="1903" spans="1:2" x14ac:dyDescent="0.35">
      <c r="A1903" s="15">
        <v>3601531</v>
      </c>
      <c r="B1903" s="52">
        <v>1</v>
      </c>
    </row>
    <row r="1904" spans="1:2" x14ac:dyDescent="0.35">
      <c r="A1904" s="15">
        <v>3601532</v>
      </c>
      <c r="B1904" s="52">
        <v>1</v>
      </c>
    </row>
    <row r="1905" spans="1:2" x14ac:dyDescent="0.35">
      <c r="A1905" s="15">
        <v>3601533</v>
      </c>
      <c r="B1905" s="52">
        <v>1</v>
      </c>
    </row>
    <row r="1906" spans="1:2" x14ac:dyDescent="0.35">
      <c r="A1906" s="15">
        <v>3601534</v>
      </c>
      <c r="B1906" s="52">
        <v>1</v>
      </c>
    </row>
    <row r="1907" spans="1:2" x14ac:dyDescent="0.35">
      <c r="A1907" s="15">
        <v>3601536</v>
      </c>
      <c r="B1907" s="52">
        <v>1</v>
      </c>
    </row>
    <row r="1908" spans="1:2" x14ac:dyDescent="0.35">
      <c r="A1908" s="15">
        <v>3601569</v>
      </c>
      <c r="B1908" s="52">
        <v>1</v>
      </c>
    </row>
    <row r="1909" spans="1:2" x14ac:dyDescent="0.35">
      <c r="A1909" s="15">
        <v>3601572</v>
      </c>
      <c r="B1909" s="52">
        <v>1</v>
      </c>
    </row>
    <row r="1910" spans="1:2" x14ac:dyDescent="0.35">
      <c r="A1910" s="15">
        <v>3601768</v>
      </c>
      <c r="B1910" s="52">
        <v>1</v>
      </c>
    </row>
    <row r="1911" spans="1:2" x14ac:dyDescent="0.35">
      <c r="A1911" s="15">
        <v>3601801</v>
      </c>
      <c r="B1911" s="52">
        <v>1</v>
      </c>
    </row>
    <row r="1912" spans="1:2" x14ac:dyDescent="0.35">
      <c r="A1912" s="15">
        <v>3601808</v>
      </c>
      <c r="B1912" s="52">
        <v>1</v>
      </c>
    </row>
    <row r="1913" spans="1:2" x14ac:dyDescent="0.35">
      <c r="A1913" s="15">
        <v>3601809</v>
      </c>
      <c r="B1913" s="52">
        <v>1</v>
      </c>
    </row>
    <row r="1914" spans="1:2" x14ac:dyDescent="0.35">
      <c r="A1914" s="15">
        <v>3601835</v>
      </c>
      <c r="B1914" s="52">
        <v>1</v>
      </c>
    </row>
    <row r="1915" spans="1:2" x14ac:dyDescent="0.35">
      <c r="A1915" s="15">
        <v>3601877</v>
      </c>
      <c r="B1915" s="52">
        <v>1</v>
      </c>
    </row>
    <row r="1916" spans="1:2" x14ac:dyDescent="0.35">
      <c r="A1916" s="15">
        <v>3601888</v>
      </c>
      <c r="B1916" s="52">
        <v>1</v>
      </c>
    </row>
    <row r="1917" spans="1:2" x14ac:dyDescent="0.35">
      <c r="A1917" s="15">
        <v>3601922</v>
      </c>
      <c r="B1917" s="52">
        <v>1</v>
      </c>
    </row>
    <row r="1918" spans="1:2" x14ac:dyDescent="0.35">
      <c r="A1918" s="15">
        <v>3601958</v>
      </c>
      <c r="B1918" s="52">
        <v>1</v>
      </c>
    </row>
    <row r="1919" spans="1:2" x14ac:dyDescent="0.35">
      <c r="A1919" s="15">
        <v>3601971</v>
      </c>
      <c r="B1919" s="52">
        <v>1</v>
      </c>
    </row>
    <row r="1920" spans="1:2" x14ac:dyDescent="0.35">
      <c r="A1920" s="15">
        <v>3602031</v>
      </c>
      <c r="B1920" s="52">
        <v>1</v>
      </c>
    </row>
    <row r="1921" spans="1:2" x14ac:dyDescent="0.35">
      <c r="A1921" s="15">
        <v>3602032</v>
      </c>
      <c r="B1921" s="52">
        <v>1</v>
      </c>
    </row>
    <row r="1922" spans="1:2" x14ac:dyDescent="0.35">
      <c r="A1922" s="15">
        <v>3602060</v>
      </c>
      <c r="B1922" s="52">
        <v>1</v>
      </c>
    </row>
    <row r="1923" spans="1:2" x14ac:dyDescent="0.35">
      <c r="A1923" s="15">
        <v>3602140</v>
      </c>
      <c r="B1923" s="52">
        <v>1</v>
      </c>
    </row>
    <row r="1924" spans="1:2" x14ac:dyDescent="0.35">
      <c r="A1924" s="15">
        <v>3602194</v>
      </c>
      <c r="B1924" s="52">
        <v>1</v>
      </c>
    </row>
    <row r="1925" spans="1:2" x14ac:dyDescent="0.35">
      <c r="A1925" s="15">
        <v>3602209</v>
      </c>
      <c r="B1925" s="52">
        <v>1</v>
      </c>
    </row>
    <row r="1926" spans="1:2" x14ac:dyDescent="0.35">
      <c r="A1926" s="15">
        <v>3602210</v>
      </c>
      <c r="B1926" s="52">
        <v>1</v>
      </c>
    </row>
    <row r="1927" spans="1:2" x14ac:dyDescent="0.35">
      <c r="A1927" s="15">
        <v>3602306</v>
      </c>
      <c r="B1927" s="52">
        <v>1</v>
      </c>
    </row>
    <row r="1928" spans="1:2" x14ac:dyDescent="0.35">
      <c r="A1928" s="15">
        <v>3602430</v>
      </c>
      <c r="B1928" s="52">
        <v>1</v>
      </c>
    </row>
    <row r="1929" spans="1:2" x14ac:dyDescent="0.35">
      <c r="A1929" s="15">
        <v>3602450</v>
      </c>
      <c r="B1929" s="52">
        <v>1</v>
      </c>
    </row>
    <row r="1930" spans="1:2" x14ac:dyDescent="0.35">
      <c r="A1930" s="15">
        <v>3602488</v>
      </c>
      <c r="B1930" s="52">
        <v>1</v>
      </c>
    </row>
    <row r="1931" spans="1:2" x14ac:dyDescent="0.35">
      <c r="A1931" s="15">
        <v>3602574</v>
      </c>
      <c r="B1931" s="52">
        <v>1</v>
      </c>
    </row>
    <row r="1932" spans="1:2" x14ac:dyDescent="0.35">
      <c r="A1932" s="15">
        <v>3602600</v>
      </c>
      <c r="B1932" s="52">
        <v>1</v>
      </c>
    </row>
    <row r="1933" spans="1:2" x14ac:dyDescent="0.35">
      <c r="A1933" s="15">
        <v>3602618</v>
      </c>
      <c r="B1933" s="52">
        <v>1</v>
      </c>
    </row>
    <row r="1934" spans="1:2" x14ac:dyDescent="0.35">
      <c r="A1934" s="15">
        <v>3602619</v>
      </c>
      <c r="B1934" s="52">
        <v>1</v>
      </c>
    </row>
    <row r="1935" spans="1:2" x14ac:dyDescent="0.35">
      <c r="A1935" s="15">
        <v>3602623</v>
      </c>
      <c r="B1935" s="52">
        <v>1</v>
      </c>
    </row>
    <row r="1936" spans="1:2" x14ac:dyDescent="0.35">
      <c r="A1936" s="15">
        <v>3602627</v>
      </c>
      <c r="B1936" s="52">
        <v>1</v>
      </c>
    </row>
    <row r="1937" spans="1:2" x14ac:dyDescent="0.35">
      <c r="A1937" s="15">
        <v>3602644</v>
      </c>
      <c r="B1937" s="52">
        <v>1</v>
      </c>
    </row>
    <row r="1938" spans="1:2" x14ac:dyDescent="0.35">
      <c r="A1938" s="15">
        <v>3602645</v>
      </c>
      <c r="B1938" s="52">
        <v>1</v>
      </c>
    </row>
    <row r="1939" spans="1:2" x14ac:dyDescent="0.35">
      <c r="A1939" s="15">
        <v>3602648</v>
      </c>
      <c r="B1939" s="52">
        <v>1</v>
      </c>
    </row>
    <row r="1940" spans="1:2" x14ac:dyDescent="0.35">
      <c r="A1940" s="15">
        <v>3602655</v>
      </c>
      <c r="B1940" s="52">
        <v>1</v>
      </c>
    </row>
    <row r="1941" spans="1:2" x14ac:dyDescent="0.35">
      <c r="A1941" s="15">
        <v>3602656</v>
      </c>
      <c r="B1941" s="52">
        <v>1</v>
      </c>
    </row>
    <row r="1942" spans="1:2" x14ac:dyDescent="0.35">
      <c r="A1942" s="15">
        <v>3602658</v>
      </c>
      <c r="B1942" s="52">
        <v>1</v>
      </c>
    </row>
    <row r="1943" spans="1:2" x14ac:dyDescent="0.35">
      <c r="A1943" s="15">
        <v>3602664</v>
      </c>
      <c r="B1943" s="52">
        <v>1</v>
      </c>
    </row>
    <row r="1944" spans="1:2" x14ac:dyDescent="0.35">
      <c r="A1944" s="15">
        <v>3602676</v>
      </c>
      <c r="B1944" s="52">
        <v>1</v>
      </c>
    </row>
    <row r="1945" spans="1:2" x14ac:dyDescent="0.35">
      <c r="A1945" s="15">
        <v>3602680</v>
      </c>
      <c r="B1945" s="52">
        <v>1</v>
      </c>
    </row>
    <row r="1946" spans="1:2" x14ac:dyDescent="0.35">
      <c r="A1946" s="15">
        <v>3602682</v>
      </c>
      <c r="B1946" s="52">
        <v>1</v>
      </c>
    </row>
    <row r="1947" spans="1:2" x14ac:dyDescent="0.35">
      <c r="A1947" s="15">
        <v>3602731</v>
      </c>
      <c r="B1947" s="52">
        <v>1</v>
      </c>
    </row>
    <row r="1948" spans="1:2" x14ac:dyDescent="0.35">
      <c r="A1948" s="15">
        <v>3602747</v>
      </c>
      <c r="B1948" s="52">
        <v>1</v>
      </c>
    </row>
    <row r="1949" spans="1:2" x14ac:dyDescent="0.35">
      <c r="A1949" s="15">
        <v>3602748</v>
      </c>
      <c r="B1949" s="52">
        <v>1</v>
      </c>
    </row>
    <row r="1950" spans="1:2" x14ac:dyDescent="0.35">
      <c r="A1950" s="15">
        <v>3602759</v>
      </c>
      <c r="B1950" s="52">
        <v>1</v>
      </c>
    </row>
    <row r="1951" spans="1:2" x14ac:dyDescent="0.35">
      <c r="A1951" s="15">
        <v>3602760</v>
      </c>
      <c r="B1951" s="52">
        <v>1</v>
      </c>
    </row>
    <row r="1952" spans="1:2" x14ac:dyDescent="0.35">
      <c r="A1952" s="15">
        <v>3602761</v>
      </c>
      <c r="B1952" s="52">
        <v>1</v>
      </c>
    </row>
    <row r="1953" spans="1:2" x14ac:dyDescent="0.35">
      <c r="A1953" s="15">
        <v>3602768</v>
      </c>
      <c r="B1953" s="52">
        <v>1</v>
      </c>
    </row>
    <row r="1954" spans="1:2" x14ac:dyDescent="0.35">
      <c r="A1954" s="15">
        <v>3602776</v>
      </c>
      <c r="B1954" s="52">
        <v>1</v>
      </c>
    </row>
    <row r="1955" spans="1:2" x14ac:dyDescent="0.35">
      <c r="A1955" s="15">
        <v>3602783</v>
      </c>
      <c r="B1955" s="52">
        <v>1</v>
      </c>
    </row>
    <row r="1956" spans="1:2" x14ac:dyDescent="0.35">
      <c r="A1956" s="15">
        <v>3602824</v>
      </c>
      <c r="B1956" s="52">
        <v>1</v>
      </c>
    </row>
    <row r="1957" spans="1:2" x14ac:dyDescent="0.35">
      <c r="A1957" s="15">
        <v>3602840</v>
      </c>
      <c r="B1957" s="52">
        <v>1</v>
      </c>
    </row>
    <row r="1958" spans="1:2" x14ac:dyDescent="0.35">
      <c r="A1958" s="15">
        <v>3602841</v>
      </c>
      <c r="B1958" s="52">
        <v>1</v>
      </c>
    </row>
    <row r="1959" spans="1:2" x14ac:dyDescent="0.35">
      <c r="A1959" s="15">
        <v>3602843</v>
      </c>
      <c r="B1959" s="52">
        <v>1</v>
      </c>
    </row>
    <row r="1960" spans="1:2" x14ac:dyDescent="0.35">
      <c r="A1960" s="15">
        <v>3602866</v>
      </c>
      <c r="B1960" s="52">
        <v>1</v>
      </c>
    </row>
    <row r="1961" spans="1:2" x14ac:dyDescent="0.35">
      <c r="A1961" s="15">
        <v>3602936</v>
      </c>
      <c r="B1961" s="52">
        <v>1</v>
      </c>
    </row>
    <row r="1962" spans="1:2" x14ac:dyDescent="0.35">
      <c r="A1962" s="15">
        <v>3603002</v>
      </c>
      <c r="B1962" s="52">
        <v>1</v>
      </c>
    </row>
    <row r="1963" spans="1:2" x14ac:dyDescent="0.35">
      <c r="A1963" s="15">
        <v>3603009</v>
      </c>
      <c r="B1963" s="52">
        <v>1</v>
      </c>
    </row>
    <row r="1964" spans="1:2" x14ac:dyDescent="0.35">
      <c r="A1964" s="15">
        <v>3603011</v>
      </c>
      <c r="B1964" s="52">
        <v>1</v>
      </c>
    </row>
    <row r="1965" spans="1:2" x14ac:dyDescent="0.35">
      <c r="A1965" s="15">
        <v>3603018</v>
      </c>
      <c r="B1965" s="52">
        <v>1</v>
      </c>
    </row>
    <row r="1966" spans="1:2" x14ac:dyDescent="0.35">
      <c r="A1966" s="15">
        <v>3603038</v>
      </c>
      <c r="B1966" s="52">
        <v>1</v>
      </c>
    </row>
    <row r="1967" spans="1:2" x14ac:dyDescent="0.35">
      <c r="A1967" s="15">
        <v>3603046</v>
      </c>
      <c r="B1967" s="52">
        <v>1</v>
      </c>
    </row>
    <row r="1968" spans="1:2" x14ac:dyDescent="0.35">
      <c r="A1968" s="15">
        <v>3603064</v>
      </c>
      <c r="B1968" s="52">
        <v>1</v>
      </c>
    </row>
    <row r="1969" spans="1:2" x14ac:dyDescent="0.35">
      <c r="A1969" s="15">
        <v>3603099</v>
      </c>
      <c r="B1969" s="52">
        <v>1</v>
      </c>
    </row>
    <row r="1970" spans="1:2" x14ac:dyDescent="0.35">
      <c r="A1970" s="15">
        <v>3603101</v>
      </c>
      <c r="B1970" s="52">
        <v>1</v>
      </c>
    </row>
    <row r="1971" spans="1:2" x14ac:dyDescent="0.35">
      <c r="A1971" s="15">
        <v>3603110</v>
      </c>
      <c r="B1971" s="52">
        <v>1</v>
      </c>
    </row>
    <row r="1972" spans="1:2" x14ac:dyDescent="0.35">
      <c r="A1972" s="15">
        <v>3603120</v>
      </c>
      <c r="B1972" s="52">
        <v>1</v>
      </c>
    </row>
    <row r="1973" spans="1:2" x14ac:dyDescent="0.35">
      <c r="A1973" s="15">
        <v>3603121</v>
      </c>
      <c r="B1973" s="52">
        <v>1</v>
      </c>
    </row>
    <row r="1974" spans="1:2" x14ac:dyDescent="0.35">
      <c r="A1974" s="15">
        <v>3603122</v>
      </c>
      <c r="B1974" s="52">
        <v>1</v>
      </c>
    </row>
    <row r="1975" spans="1:2" x14ac:dyDescent="0.35">
      <c r="A1975" s="15">
        <v>3603123</v>
      </c>
      <c r="B1975" s="52">
        <v>1</v>
      </c>
    </row>
    <row r="1976" spans="1:2" x14ac:dyDescent="0.35">
      <c r="A1976" s="15">
        <v>3603130</v>
      </c>
      <c r="B1976" s="52">
        <v>1</v>
      </c>
    </row>
    <row r="1977" spans="1:2" x14ac:dyDescent="0.35">
      <c r="A1977" s="15">
        <v>3603131</v>
      </c>
      <c r="B1977" s="52">
        <v>1</v>
      </c>
    </row>
    <row r="1978" spans="1:2" x14ac:dyDescent="0.35">
      <c r="A1978" s="15">
        <v>3603132</v>
      </c>
      <c r="B1978" s="52">
        <v>1</v>
      </c>
    </row>
    <row r="1979" spans="1:2" x14ac:dyDescent="0.35">
      <c r="A1979" s="15">
        <v>3603136</v>
      </c>
      <c r="B1979" s="52">
        <v>1</v>
      </c>
    </row>
    <row r="1980" spans="1:2" x14ac:dyDescent="0.35">
      <c r="A1980" s="15">
        <v>3603138</v>
      </c>
      <c r="B1980" s="52">
        <v>1</v>
      </c>
    </row>
    <row r="1981" spans="1:2" x14ac:dyDescent="0.35">
      <c r="A1981" s="15">
        <v>3603142</v>
      </c>
      <c r="B1981" s="52">
        <v>1</v>
      </c>
    </row>
    <row r="1982" spans="1:2" x14ac:dyDescent="0.35">
      <c r="A1982" s="15">
        <v>3603143</v>
      </c>
      <c r="B1982" s="52">
        <v>1</v>
      </c>
    </row>
    <row r="1983" spans="1:2" x14ac:dyDescent="0.35">
      <c r="A1983" s="15">
        <v>3603181</v>
      </c>
      <c r="B1983" s="52">
        <v>1</v>
      </c>
    </row>
    <row r="1984" spans="1:2" x14ac:dyDescent="0.35">
      <c r="A1984" s="15">
        <v>3603202</v>
      </c>
      <c r="B1984" s="52">
        <v>1</v>
      </c>
    </row>
    <row r="1985" spans="1:2" x14ac:dyDescent="0.35">
      <c r="A1985" s="15">
        <v>3603231</v>
      </c>
      <c r="B1985" s="52">
        <v>1</v>
      </c>
    </row>
    <row r="1986" spans="1:2" x14ac:dyDescent="0.35">
      <c r="A1986" s="15">
        <v>3603232</v>
      </c>
      <c r="B1986" s="52">
        <v>1</v>
      </c>
    </row>
    <row r="1987" spans="1:2" x14ac:dyDescent="0.35">
      <c r="A1987" s="15">
        <v>3603233</v>
      </c>
      <c r="B1987" s="52">
        <v>1</v>
      </c>
    </row>
    <row r="1988" spans="1:2" x14ac:dyDescent="0.35">
      <c r="A1988" s="15">
        <v>3603262</v>
      </c>
      <c r="B1988" s="52">
        <v>1</v>
      </c>
    </row>
    <row r="1989" spans="1:2" x14ac:dyDescent="0.35">
      <c r="A1989" s="15">
        <v>3603268</v>
      </c>
      <c r="B1989" s="52">
        <v>1</v>
      </c>
    </row>
    <row r="1990" spans="1:2" x14ac:dyDescent="0.35">
      <c r="A1990" s="15">
        <v>3603280</v>
      </c>
      <c r="B1990" s="52">
        <v>1</v>
      </c>
    </row>
    <row r="1991" spans="1:2" x14ac:dyDescent="0.35">
      <c r="A1991" s="15">
        <v>3603281</v>
      </c>
      <c r="B1991" s="52">
        <v>1</v>
      </c>
    </row>
    <row r="1992" spans="1:2" x14ac:dyDescent="0.35">
      <c r="A1992" s="15">
        <v>3603293</v>
      </c>
      <c r="B1992" s="52">
        <v>1</v>
      </c>
    </row>
    <row r="1993" spans="1:2" x14ac:dyDescent="0.35">
      <c r="A1993" s="15">
        <v>3603300</v>
      </c>
      <c r="B1993" s="52">
        <v>1</v>
      </c>
    </row>
    <row r="1994" spans="1:2" x14ac:dyDescent="0.35">
      <c r="A1994" s="15">
        <v>3603311</v>
      </c>
      <c r="B1994" s="52">
        <v>1</v>
      </c>
    </row>
    <row r="1995" spans="1:2" x14ac:dyDescent="0.35">
      <c r="A1995" s="15">
        <v>3603312</v>
      </c>
      <c r="B1995" s="52">
        <v>1</v>
      </c>
    </row>
    <row r="1996" spans="1:2" x14ac:dyDescent="0.35">
      <c r="A1996" s="15">
        <v>3603337</v>
      </c>
      <c r="B1996" s="52">
        <v>1</v>
      </c>
    </row>
    <row r="1997" spans="1:2" x14ac:dyDescent="0.35">
      <c r="A1997" s="15">
        <v>3603382</v>
      </c>
      <c r="B1997" s="52">
        <v>1</v>
      </c>
    </row>
    <row r="1998" spans="1:2" x14ac:dyDescent="0.35">
      <c r="A1998" s="15">
        <v>3603395</v>
      </c>
      <c r="B1998" s="52">
        <v>1</v>
      </c>
    </row>
    <row r="1999" spans="1:2" x14ac:dyDescent="0.35">
      <c r="A1999" s="15">
        <v>3603396</v>
      </c>
      <c r="B1999" s="52">
        <v>1</v>
      </c>
    </row>
    <row r="2000" spans="1:2" x14ac:dyDescent="0.35">
      <c r="A2000" s="15">
        <v>3603399</v>
      </c>
      <c r="B2000" s="52">
        <v>1</v>
      </c>
    </row>
    <row r="2001" spans="1:2" x14ac:dyDescent="0.35">
      <c r="A2001" s="15">
        <v>3603401</v>
      </c>
      <c r="B2001" s="52">
        <v>1</v>
      </c>
    </row>
    <row r="2002" spans="1:2" x14ac:dyDescent="0.35">
      <c r="A2002" s="15">
        <v>3603414</v>
      </c>
      <c r="B2002" s="52">
        <v>1</v>
      </c>
    </row>
    <row r="2003" spans="1:2" x14ac:dyDescent="0.35">
      <c r="A2003" s="15">
        <v>3603419</v>
      </c>
      <c r="B2003" s="52">
        <v>1</v>
      </c>
    </row>
    <row r="2004" spans="1:2" x14ac:dyDescent="0.35">
      <c r="A2004" s="15">
        <v>3603420</v>
      </c>
      <c r="B2004" s="52">
        <v>1</v>
      </c>
    </row>
    <row r="2005" spans="1:2" x14ac:dyDescent="0.35">
      <c r="A2005" s="15">
        <v>3603454</v>
      </c>
      <c r="B2005" s="52">
        <v>1</v>
      </c>
    </row>
    <row r="2006" spans="1:2" x14ac:dyDescent="0.35">
      <c r="A2006" s="15">
        <v>3603465</v>
      </c>
      <c r="B2006" s="52">
        <v>1</v>
      </c>
    </row>
    <row r="2007" spans="1:2" x14ac:dyDescent="0.35">
      <c r="A2007" s="15">
        <v>3603468</v>
      </c>
      <c r="B2007" s="52">
        <v>1</v>
      </c>
    </row>
    <row r="2008" spans="1:2" x14ac:dyDescent="0.35">
      <c r="A2008" s="15">
        <v>3603469</v>
      </c>
      <c r="B2008" s="52">
        <v>1</v>
      </c>
    </row>
    <row r="2009" spans="1:2" x14ac:dyDescent="0.35">
      <c r="A2009" s="15">
        <v>3603520</v>
      </c>
      <c r="B2009" s="52">
        <v>1</v>
      </c>
    </row>
    <row r="2010" spans="1:2" x14ac:dyDescent="0.35">
      <c r="A2010" s="15">
        <v>3603531</v>
      </c>
      <c r="B2010" s="52">
        <v>1</v>
      </c>
    </row>
    <row r="2011" spans="1:2" x14ac:dyDescent="0.35">
      <c r="A2011" s="15">
        <v>3603581</v>
      </c>
      <c r="B2011" s="52">
        <v>1</v>
      </c>
    </row>
    <row r="2012" spans="1:2" x14ac:dyDescent="0.35">
      <c r="A2012" s="15">
        <v>3603600</v>
      </c>
      <c r="B2012" s="52">
        <v>1</v>
      </c>
    </row>
    <row r="2013" spans="1:2" x14ac:dyDescent="0.35">
      <c r="A2013" s="15">
        <v>3603606</v>
      </c>
      <c r="B2013" s="52">
        <v>1</v>
      </c>
    </row>
    <row r="2014" spans="1:2" x14ac:dyDescent="0.35">
      <c r="A2014" s="15">
        <v>3603607</v>
      </c>
      <c r="B2014" s="52">
        <v>1</v>
      </c>
    </row>
    <row r="2015" spans="1:2" x14ac:dyDescent="0.35">
      <c r="A2015" s="15">
        <v>3603612</v>
      </c>
      <c r="B2015" s="52">
        <v>1</v>
      </c>
    </row>
    <row r="2016" spans="1:2" x14ac:dyDescent="0.35">
      <c r="A2016" s="15">
        <v>3603632</v>
      </c>
      <c r="B2016" s="52">
        <v>1</v>
      </c>
    </row>
    <row r="2017" spans="1:2" x14ac:dyDescent="0.35">
      <c r="A2017" s="15">
        <v>3603662</v>
      </c>
      <c r="B2017" s="52">
        <v>1</v>
      </c>
    </row>
    <row r="2018" spans="1:2" x14ac:dyDescent="0.35">
      <c r="A2018" s="15">
        <v>3603666</v>
      </c>
      <c r="B2018" s="52">
        <v>1</v>
      </c>
    </row>
    <row r="2019" spans="1:2" x14ac:dyDescent="0.35">
      <c r="A2019" s="15">
        <v>3603675</v>
      </c>
      <c r="B2019" s="52">
        <v>1</v>
      </c>
    </row>
    <row r="2020" spans="1:2" x14ac:dyDescent="0.35">
      <c r="A2020" s="15">
        <v>3603694</v>
      </c>
      <c r="B2020" s="52">
        <v>1</v>
      </c>
    </row>
    <row r="2021" spans="1:2" x14ac:dyDescent="0.35">
      <c r="A2021" s="15">
        <v>3603704</v>
      </c>
      <c r="B2021" s="52">
        <v>1</v>
      </c>
    </row>
    <row r="2022" spans="1:2" x14ac:dyDescent="0.35">
      <c r="A2022" s="15">
        <v>3603705</v>
      </c>
      <c r="B2022" s="52">
        <v>1</v>
      </c>
    </row>
    <row r="2023" spans="1:2" x14ac:dyDescent="0.35">
      <c r="A2023" s="15">
        <v>3603737</v>
      </c>
      <c r="B2023" s="52">
        <v>1</v>
      </c>
    </row>
    <row r="2024" spans="1:2" x14ac:dyDescent="0.35">
      <c r="A2024" s="15">
        <v>3603745</v>
      </c>
      <c r="B2024" s="52">
        <v>1</v>
      </c>
    </row>
    <row r="2025" spans="1:2" x14ac:dyDescent="0.35">
      <c r="A2025" s="15">
        <v>3603749</v>
      </c>
      <c r="B2025" s="52">
        <v>1</v>
      </c>
    </row>
    <row r="2026" spans="1:2" x14ac:dyDescent="0.35">
      <c r="A2026" s="15">
        <v>3603756</v>
      </c>
      <c r="B2026" s="52">
        <v>1</v>
      </c>
    </row>
    <row r="2027" spans="1:2" x14ac:dyDescent="0.35">
      <c r="A2027" s="15">
        <v>3603760</v>
      </c>
      <c r="B2027" s="52">
        <v>1</v>
      </c>
    </row>
    <row r="2028" spans="1:2" x14ac:dyDescent="0.35">
      <c r="A2028" s="15">
        <v>3603775</v>
      </c>
      <c r="B2028" s="52">
        <v>1</v>
      </c>
    </row>
    <row r="2029" spans="1:2" x14ac:dyDescent="0.35">
      <c r="A2029" s="15">
        <v>3603780</v>
      </c>
      <c r="B2029" s="52">
        <v>1</v>
      </c>
    </row>
    <row r="2030" spans="1:2" x14ac:dyDescent="0.35">
      <c r="A2030" s="15">
        <v>3603793</v>
      </c>
      <c r="B2030" s="52">
        <v>1</v>
      </c>
    </row>
    <row r="2031" spans="1:2" x14ac:dyDescent="0.35">
      <c r="A2031" s="15">
        <v>3603794</v>
      </c>
      <c r="B2031" s="52">
        <v>1</v>
      </c>
    </row>
    <row r="2032" spans="1:2" x14ac:dyDescent="0.35">
      <c r="A2032" s="15">
        <v>3603812</v>
      </c>
      <c r="B2032" s="52">
        <v>1</v>
      </c>
    </row>
    <row r="2033" spans="1:2" x14ac:dyDescent="0.35">
      <c r="A2033" s="15">
        <v>3603815</v>
      </c>
      <c r="B2033" s="52">
        <v>1</v>
      </c>
    </row>
    <row r="2034" spans="1:2" x14ac:dyDescent="0.35">
      <c r="A2034" s="15">
        <v>3603835</v>
      </c>
      <c r="B2034" s="52">
        <v>1</v>
      </c>
    </row>
    <row r="2035" spans="1:2" x14ac:dyDescent="0.35">
      <c r="A2035" s="15">
        <v>3603852</v>
      </c>
      <c r="B2035" s="52">
        <v>1</v>
      </c>
    </row>
    <row r="2036" spans="1:2" x14ac:dyDescent="0.35">
      <c r="A2036" s="15">
        <v>3603853</v>
      </c>
      <c r="B2036" s="52">
        <v>1</v>
      </c>
    </row>
    <row r="2037" spans="1:2" x14ac:dyDescent="0.35">
      <c r="A2037" s="15">
        <v>3603869</v>
      </c>
      <c r="B2037" s="52">
        <v>1</v>
      </c>
    </row>
    <row r="2038" spans="1:2" x14ac:dyDescent="0.35">
      <c r="A2038" s="15">
        <v>3603877</v>
      </c>
      <c r="B2038" s="52">
        <v>1</v>
      </c>
    </row>
    <row r="2039" spans="1:2" x14ac:dyDescent="0.35">
      <c r="A2039" s="15">
        <v>3603904</v>
      </c>
      <c r="B2039" s="52">
        <v>1</v>
      </c>
    </row>
    <row r="2040" spans="1:2" x14ac:dyDescent="0.35">
      <c r="A2040" s="15">
        <v>3603927</v>
      </c>
      <c r="B2040" s="52">
        <v>1</v>
      </c>
    </row>
    <row r="2041" spans="1:2" x14ac:dyDescent="0.35">
      <c r="A2041" s="15">
        <v>3603939</v>
      </c>
      <c r="B2041" s="52">
        <v>1</v>
      </c>
    </row>
    <row r="2042" spans="1:2" x14ac:dyDescent="0.35">
      <c r="A2042" s="15">
        <v>3603968</v>
      </c>
      <c r="B2042" s="52">
        <v>1</v>
      </c>
    </row>
    <row r="2043" spans="1:2" x14ac:dyDescent="0.35">
      <c r="A2043" s="15">
        <v>3603988</v>
      </c>
      <c r="B2043" s="52">
        <v>1</v>
      </c>
    </row>
    <row r="2044" spans="1:2" x14ac:dyDescent="0.35">
      <c r="A2044" s="15">
        <v>3603989</v>
      </c>
      <c r="B2044" s="52">
        <v>1</v>
      </c>
    </row>
    <row r="2045" spans="1:2" x14ac:dyDescent="0.35">
      <c r="A2045" s="15">
        <v>3603991</v>
      </c>
      <c r="B2045" s="52">
        <v>1</v>
      </c>
    </row>
    <row r="2046" spans="1:2" x14ac:dyDescent="0.35">
      <c r="A2046" s="15">
        <v>3603992</v>
      </c>
      <c r="B2046" s="52">
        <v>1</v>
      </c>
    </row>
    <row r="2047" spans="1:2" x14ac:dyDescent="0.35">
      <c r="A2047" s="15">
        <v>3603996</v>
      </c>
      <c r="B2047" s="52">
        <v>1</v>
      </c>
    </row>
    <row r="2048" spans="1:2" x14ac:dyDescent="0.35">
      <c r="A2048" s="15">
        <v>3604002</v>
      </c>
      <c r="B2048" s="52">
        <v>1</v>
      </c>
    </row>
    <row r="2049" spans="1:2" x14ac:dyDescent="0.35">
      <c r="A2049" s="15">
        <v>3604065</v>
      </c>
      <c r="B2049" s="52">
        <v>1</v>
      </c>
    </row>
    <row r="2050" spans="1:2" x14ac:dyDescent="0.35">
      <c r="A2050" s="15">
        <v>3604083</v>
      </c>
      <c r="B2050" s="52">
        <v>1</v>
      </c>
    </row>
    <row r="2051" spans="1:2" x14ac:dyDescent="0.35">
      <c r="A2051" s="15">
        <v>3604086</v>
      </c>
      <c r="B2051" s="52">
        <v>1</v>
      </c>
    </row>
    <row r="2052" spans="1:2" x14ac:dyDescent="0.35">
      <c r="A2052" s="15">
        <v>3604106</v>
      </c>
      <c r="B2052" s="52">
        <v>1</v>
      </c>
    </row>
    <row r="2053" spans="1:2" x14ac:dyDescent="0.35">
      <c r="A2053" s="15">
        <v>3604147</v>
      </c>
      <c r="B2053" s="52">
        <v>1</v>
      </c>
    </row>
    <row r="2054" spans="1:2" x14ac:dyDescent="0.35">
      <c r="A2054" s="15">
        <v>3604150</v>
      </c>
      <c r="B2054" s="52">
        <v>1</v>
      </c>
    </row>
    <row r="2055" spans="1:2" x14ac:dyDescent="0.35">
      <c r="A2055" s="15">
        <v>3604155</v>
      </c>
      <c r="B2055" s="52">
        <v>1</v>
      </c>
    </row>
    <row r="2056" spans="1:2" x14ac:dyDescent="0.35">
      <c r="A2056" s="15">
        <v>3604164</v>
      </c>
      <c r="B2056" s="52">
        <v>1</v>
      </c>
    </row>
    <row r="2057" spans="1:2" x14ac:dyDescent="0.35">
      <c r="A2057" s="15">
        <v>3604169</v>
      </c>
      <c r="B2057" s="52">
        <v>1</v>
      </c>
    </row>
    <row r="2058" spans="1:2" x14ac:dyDescent="0.35">
      <c r="A2058" s="15">
        <v>3604172</v>
      </c>
      <c r="B2058" s="52">
        <v>1</v>
      </c>
    </row>
    <row r="2059" spans="1:2" x14ac:dyDescent="0.35">
      <c r="A2059" s="15">
        <v>3604173</v>
      </c>
      <c r="B2059" s="52">
        <v>1</v>
      </c>
    </row>
    <row r="2060" spans="1:2" x14ac:dyDescent="0.35">
      <c r="A2060" s="15">
        <v>3604181</v>
      </c>
      <c r="B2060" s="52">
        <v>1</v>
      </c>
    </row>
    <row r="2061" spans="1:2" x14ac:dyDescent="0.35">
      <c r="A2061" s="15">
        <v>3604195</v>
      </c>
      <c r="B2061" s="52">
        <v>1</v>
      </c>
    </row>
    <row r="2062" spans="1:2" x14ac:dyDescent="0.35">
      <c r="A2062" s="15">
        <v>3604203</v>
      </c>
      <c r="B2062" s="52">
        <v>1</v>
      </c>
    </row>
    <row r="2063" spans="1:2" x14ac:dyDescent="0.35">
      <c r="A2063" s="15">
        <v>3604206</v>
      </c>
      <c r="B2063" s="52">
        <v>1</v>
      </c>
    </row>
    <row r="2064" spans="1:2" x14ac:dyDescent="0.35">
      <c r="A2064" s="15">
        <v>3604243</v>
      </c>
      <c r="B2064" s="52">
        <v>1</v>
      </c>
    </row>
    <row r="2065" spans="1:2" x14ac:dyDescent="0.35">
      <c r="A2065" s="15">
        <v>3604249</v>
      </c>
      <c r="B2065" s="52">
        <v>1</v>
      </c>
    </row>
    <row r="2066" spans="1:2" x14ac:dyDescent="0.35">
      <c r="A2066" s="15">
        <v>3604267</v>
      </c>
      <c r="B2066" s="52">
        <v>1</v>
      </c>
    </row>
    <row r="2067" spans="1:2" x14ac:dyDescent="0.35">
      <c r="A2067" s="15">
        <v>3604269</v>
      </c>
      <c r="B2067" s="52">
        <v>1</v>
      </c>
    </row>
    <row r="2068" spans="1:2" x14ac:dyDescent="0.35">
      <c r="A2068" s="15">
        <v>3604276</v>
      </c>
      <c r="B2068" s="52">
        <v>1</v>
      </c>
    </row>
    <row r="2069" spans="1:2" x14ac:dyDescent="0.35">
      <c r="A2069" s="15">
        <v>3604279</v>
      </c>
      <c r="B2069" s="52">
        <v>1</v>
      </c>
    </row>
    <row r="2070" spans="1:2" x14ac:dyDescent="0.35">
      <c r="A2070" s="15">
        <v>3604280</v>
      </c>
      <c r="B2070" s="52">
        <v>1</v>
      </c>
    </row>
    <row r="2071" spans="1:2" x14ac:dyDescent="0.35">
      <c r="A2071" s="15">
        <v>3604284</v>
      </c>
      <c r="B2071" s="52">
        <v>1</v>
      </c>
    </row>
    <row r="2072" spans="1:2" x14ac:dyDescent="0.35">
      <c r="A2072" s="15">
        <v>3604292</v>
      </c>
      <c r="B2072" s="52">
        <v>1</v>
      </c>
    </row>
    <row r="2073" spans="1:2" x14ac:dyDescent="0.35">
      <c r="A2073" s="15">
        <v>3604293</v>
      </c>
      <c r="B2073" s="52">
        <v>1</v>
      </c>
    </row>
    <row r="2074" spans="1:2" x14ac:dyDescent="0.35">
      <c r="A2074" s="15">
        <v>3604301</v>
      </c>
      <c r="B2074" s="52">
        <v>1</v>
      </c>
    </row>
    <row r="2075" spans="1:2" x14ac:dyDescent="0.35">
      <c r="A2075" s="15">
        <v>3604307</v>
      </c>
      <c r="B2075" s="52">
        <v>1</v>
      </c>
    </row>
    <row r="2076" spans="1:2" x14ac:dyDescent="0.35">
      <c r="A2076" s="15">
        <v>3604317</v>
      </c>
      <c r="B2076" s="52">
        <v>1</v>
      </c>
    </row>
    <row r="2077" spans="1:2" x14ac:dyDescent="0.35">
      <c r="A2077" s="15">
        <v>3604318</v>
      </c>
      <c r="B2077" s="52">
        <v>1</v>
      </c>
    </row>
    <row r="2078" spans="1:2" x14ac:dyDescent="0.35">
      <c r="A2078" s="15">
        <v>3604343</v>
      </c>
      <c r="B2078" s="52">
        <v>1</v>
      </c>
    </row>
    <row r="2079" spans="1:2" x14ac:dyDescent="0.35">
      <c r="A2079" s="15">
        <v>3604344</v>
      </c>
      <c r="B2079" s="52">
        <v>1</v>
      </c>
    </row>
    <row r="2080" spans="1:2" x14ac:dyDescent="0.35">
      <c r="A2080" s="15">
        <v>3604345</v>
      </c>
      <c r="B2080" s="52">
        <v>1</v>
      </c>
    </row>
    <row r="2081" spans="1:2" x14ac:dyDescent="0.35">
      <c r="A2081" s="15">
        <v>3604350</v>
      </c>
      <c r="B2081" s="52">
        <v>1</v>
      </c>
    </row>
    <row r="2082" spans="1:2" x14ac:dyDescent="0.35">
      <c r="A2082" s="15">
        <v>3604363</v>
      </c>
      <c r="B2082" s="52">
        <v>1</v>
      </c>
    </row>
    <row r="2083" spans="1:2" x14ac:dyDescent="0.35">
      <c r="A2083" s="15">
        <v>3604377</v>
      </c>
      <c r="B2083" s="52">
        <v>1</v>
      </c>
    </row>
    <row r="2084" spans="1:2" x14ac:dyDescent="0.35">
      <c r="A2084" s="15">
        <v>3604391</v>
      </c>
      <c r="B2084" s="52">
        <v>1</v>
      </c>
    </row>
    <row r="2085" spans="1:2" x14ac:dyDescent="0.35">
      <c r="A2085" s="15">
        <v>3604402</v>
      </c>
      <c r="B2085" s="52">
        <v>1</v>
      </c>
    </row>
    <row r="2086" spans="1:2" x14ac:dyDescent="0.35">
      <c r="A2086" s="15">
        <v>3604406</v>
      </c>
      <c r="B2086" s="52">
        <v>1</v>
      </c>
    </row>
    <row r="2087" spans="1:2" x14ac:dyDescent="0.35">
      <c r="A2087" s="15">
        <v>3604411</v>
      </c>
      <c r="B2087" s="52">
        <v>1</v>
      </c>
    </row>
    <row r="2088" spans="1:2" x14ac:dyDescent="0.35">
      <c r="A2088" s="15">
        <v>3604430</v>
      </c>
      <c r="B2088" s="52">
        <v>1</v>
      </c>
    </row>
    <row r="2089" spans="1:2" x14ac:dyDescent="0.35">
      <c r="A2089" s="15">
        <v>3604455</v>
      </c>
      <c r="B2089" s="52">
        <v>1</v>
      </c>
    </row>
    <row r="2090" spans="1:2" x14ac:dyDescent="0.35">
      <c r="A2090" s="15">
        <v>3604480</v>
      </c>
      <c r="B2090" s="52">
        <v>1</v>
      </c>
    </row>
    <row r="2091" spans="1:2" x14ac:dyDescent="0.35">
      <c r="A2091" s="15">
        <v>3604481</v>
      </c>
      <c r="B2091" s="52">
        <v>1</v>
      </c>
    </row>
    <row r="2092" spans="1:2" x14ac:dyDescent="0.35">
      <c r="A2092" s="15">
        <v>3604485</v>
      </c>
      <c r="B2092" s="52">
        <v>1</v>
      </c>
    </row>
    <row r="2093" spans="1:2" x14ac:dyDescent="0.35">
      <c r="A2093" s="15">
        <v>3604486</v>
      </c>
      <c r="B2093" s="52">
        <v>1</v>
      </c>
    </row>
    <row r="2094" spans="1:2" x14ac:dyDescent="0.35">
      <c r="A2094" s="15">
        <v>3604488</v>
      </c>
      <c r="B2094" s="52">
        <v>1</v>
      </c>
    </row>
    <row r="2095" spans="1:2" x14ac:dyDescent="0.35">
      <c r="A2095" s="15">
        <v>3604489</v>
      </c>
      <c r="B2095" s="52">
        <v>1</v>
      </c>
    </row>
    <row r="2096" spans="1:2" x14ac:dyDescent="0.35">
      <c r="A2096" s="15">
        <v>3604501</v>
      </c>
      <c r="B2096" s="52">
        <v>1</v>
      </c>
    </row>
    <row r="2097" spans="1:2" x14ac:dyDescent="0.35">
      <c r="A2097" s="15">
        <v>3604503</v>
      </c>
      <c r="B2097" s="52">
        <v>1</v>
      </c>
    </row>
    <row r="2098" spans="1:2" x14ac:dyDescent="0.35">
      <c r="A2098" s="15">
        <v>3604521</v>
      </c>
      <c r="B2098" s="52">
        <v>1</v>
      </c>
    </row>
    <row r="2099" spans="1:2" x14ac:dyDescent="0.35">
      <c r="A2099" s="15">
        <v>3604570</v>
      </c>
      <c r="B2099" s="52">
        <v>1</v>
      </c>
    </row>
    <row r="2100" spans="1:2" x14ac:dyDescent="0.35">
      <c r="A2100" s="15">
        <v>3604571</v>
      </c>
      <c r="B2100" s="52">
        <v>1</v>
      </c>
    </row>
    <row r="2101" spans="1:2" x14ac:dyDescent="0.35">
      <c r="A2101" s="15">
        <v>3604576</v>
      </c>
      <c r="B2101" s="52">
        <v>1</v>
      </c>
    </row>
    <row r="2102" spans="1:2" x14ac:dyDescent="0.35">
      <c r="A2102" s="15">
        <v>3604577</v>
      </c>
      <c r="B2102" s="52">
        <v>1</v>
      </c>
    </row>
    <row r="2103" spans="1:2" x14ac:dyDescent="0.35">
      <c r="A2103" s="15">
        <v>3604578</v>
      </c>
      <c r="B2103" s="52">
        <v>1</v>
      </c>
    </row>
    <row r="2104" spans="1:2" x14ac:dyDescent="0.35">
      <c r="A2104" s="15">
        <v>3604583</v>
      </c>
      <c r="B2104" s="52">
        <v>1</v>
      </c>
    </row>
    <row r="2105" spans="1:2" x14ac:dyDescent="0.35">
      <c r="A2105" s="15">
        <v>3604612</v>
      </c>
      <c r="B2105" s="52">
        <v>1</v>
      </c>
    </row>
    <row r="2106" spans="1:2" x14ac:dyDescent="0.35">
      <c r="A2106" s="15">
        <v>3604617</v>
      </c>
      <c r="B2106" s="52">
        <v>1</v>
      </c>
    </row>
    <row r="2107" spans="1:2" x14ac:dyDescent="0.35">
      <c r="A2107" s="15">
        <v>3604622</v>
      </c>
      <c r="B2107" s="52">
        <v>1</v>
      </c>
    </row>
    <row r="2108" spans="1:2" x14ac:dyDescent="0.35">
      <c r="A2108" s="15">
        <v>3604643</v>
      </c>
      <c r="B2108" s="52">
        <v>1</v>
      </c>
    </row>
    <row r="2109" spans="1:2" x14ac:dyDescent="0.35">
      <c r="A2109" s="15">
        <v>3604694</v>
      </c>
      <c r="B2109" s="52">
        <v>1</v>
      </c>
    </row>
    <row r="2110" spans="1:2" x14ac:dyDescent="0.35">
      <c r="A2110" s="15">
        <v>3604695</v>
      </c>
      <c r="B2110" s="52">
        <v>1</v>
      </c>
    </row>
    <row r="2111" spans="1:2" x14ac:dyDescent="0.35">
      <c r="A2111" s="15">
        <v>3604696</v>
      </c>
      <c r="B2111" s="52">
        <v>1</v>
      </c>
    </row>
    <row r="2112" spans="1:2" x14ac:dyDescent="0.35">
      <c r="A2112" s="15">
        <v>3604720</v>
      </c>
      <c r="B2112" s="52">
        <v>1</v>
      </c>
    </row>
    <row r="2113" spans="1:2" x14ac:dyDescent="0.35">
      <c r="A2113" s="15">
        <v>3604721</v>
      </c>
      <c r="B2113" s="52">
        <v>1</v>
      </c>
    </row>
    <row r="2114" spans="1:2" x14ac:dyDescent="0.35">
      <c r="A2114" s="15">
        <v>3604725</v>
      </c>
      <c r="B2114" s="52">
        <v>1</v>
      </c>
    </row>
    <row r="2115" spans="1:2" x14ac:dyDescent="0.35">
      <c r="A2115" s="15">
        <v>4000005</v>
      </c>
      <c r="B2115" s="52">
        <v>1</v>
      </c>
    </row>
    <row r="2116" spans="1:2" x14ac:dyDescent="0.35">
      <c r="A2116" s="15">
        <v>4000012</v>
      </c>
      <c r="B2116" s="52">
        <v>1</v>
      </c>
    </row>
    <row r="2117" spans="1:2" x14ac:dyDescent="0.35">
      <c r="A2117" s="15">
        <v>4000017</v>
      </c>
      <c r="B2117" s="52">
        <v>1</v>
      </c>
    </row>
    <row r="2118" spans="1:2" x14ac:dyDescent="0.35">
      <c r="A2118" s="15">
        <v>4000021</v>
      </c>
      <c r="B2118" s="52">
        <v>1</v>
      </c>
    </row>
    <row r="2119" spans="1:2" x14ac:dyDescent="0.35">
      <c r="A2119" s="15">
        <v>4000022</v>
      </c>
      <c r="B2119" s="52">
        <v>1</v>
      </c>
    </row>
    <row r="2120" spans="1:2" x14ac:dyDescent="0.35">
      <c r="A2120" s="15">
        <v>4000023</v>
      </c>
      <c r="B2120" s="52">
        <v>1</v>
      </c>
    </row>
    <row r="2121" spans="1:2" x14ac:dyDescent="0.35">
      <c r="A2121" s="15">
        <v>4000025</v>
      </c>
      <c r="B2121" s="52">
        <v>1</v>
      </c>
    </row>
    <row r="2122" spans="1:2" x14ac:dyDescent="0.35">
      <c r="A2122" s="15">
        <v>4000026</v>
      </c>
      <c r="B2122" s="52">
        <v>1</v>
      </c>
    </row>
    <row r="2123" spans="1:2" x14ac:dyDescent="0.35">
      <c r="A2123" s="15">
        <v>4000030</v>
      </c>
      <c r="B2123" s="52">
        <v>1</v>
      </c>
    </row>
    <row r="2124" spans="1:2" x14ac:dyDescent="0.35">
      <c r="A2124" s="15">
        <v>4000031</v>
      </c>
      <c r="B2124" s="52">
        <v>1</v>
      </c>
    </row>
    <row r="2125" spans="1:2" x14ac:dyDescent="0.35">
      <c r="A2125" s="15">
        <v>4000032</v>
      </c>
      <c r="B2125" s="52">
        <v>1</v>
      </c>
    </row>
    <row r="2126" spans="1:2" x14ac:dyDescent="0.35">
      <c r="A2126" s="15">
        <v>4000034</v>
      </c>
      <c r="B2126" s="52">
        <v>1</v>
      </c>
    </row>
    <row r="2127" spans="1:2" x14ac:dyDescent="0.35">
      <c r="A2127" s="15">
        <v>4000036</v>
      </c>
      <c r="B2127" s="52">
        <v>1</v>
      </c>
    </row>
    <row r="2128" spans="1:2" x14ac:dyDescent="0.35">
      <c r="A2128" s="15">
        <v>4000044</v>
      </c>
      <c r="B2128" s="52">
        <v>1</v>
      </c>
    </row>
    <row r="2129" spans="1:2" x14ac:dyDescent="0.35">
      <c r="A2129" s="15">
        <v>4000048</v>
      </c>
      <c r="B2129" s="52">
        <v>1</v>
      </c>
    </row>
    <row r="2130" spans="1:2" x14ac:dyDescent="0.35">
      <c r="A2130" s="15">
        <v>4000049</v>
      </c>
      <c r="B2130" s="52">
        <v>1</v>
      </c>
    </row>
    <row r="2131" spans="1:2" x14ac:dyDescent="0.35">
      <c r="A2131" s="15">
        <v>4000053</v>
      </c>
      <c r="B2131" s="52">
        <v>1</v>
      </c>
    </row>
    <row r="2132" spans="1:2" x14ac:dyDescent="0.35">
      <c r="A2132" s="15">
        <v>4000059</v>
      </c>
      <c r="B2132" s="52">
        <v>1</v>
      </c>
    </row>
    <row r="2133" spans="1:2" x14ac:dyDescent="0.35">
      <c r="A2133" s="15">
        <v>4000062</v>
      </c>
      <c r="B2133" s="52">
        <v>1</v>
      </c>
    </row>
    <row r="2134" spans="1:2" x14ac:dyDescent="0.35">
      <c r="A2134" s="15">
        <v>4000065</v>
      </c>
      <c r="B2134" s="52">
        <v>1</v>
      </c>
    </row>
    <row r="2135" spans="1:2" x14ac:dyDescent="0.35">
      <c r="A2135" s="15">
        <v>4000066</v>
      </c>
      <c r="B2135" s="52">
        <v>1</v>
      </c>
    </row>
    <row r="2136" spans="1:2" x14ac:dyDescent="0.35">
      <c r="A2136" s="15">
        <v>4000070</v>
      </c>
      <c r="B2136" s="52">
        <v>1</v>
      </c>
    </row>
    <row r="2137" spans="1:2" x14ac:dyDescent="0.35">
      <c r="A2137" s="15">
        <v>4000077</v>
      </c>
      <c r="B2137" s="52">
        <v>1</v>
      </c>
    </row>
    <row r="2138" spans="1:2" x14ac:dyDescent="0.35">
      <c r="A2138" s="15">
        <v>4000080</v>
      </c>
      <c r="B2138" s="52">
        <v>1</v>
      </c>
    </row>
    <row r="2139" spans="1:2" x14ac:dyDescent="0.35">
      <c r="A2139" s="15">
        <v>4000089</v>
      </c>
      <c r="B2139" s="52">
        <v>1</v>
      </c>
    </row>
    <row r="2140" spans="1:2" x14ac:dyDescent="0.35">
      <c r="A2140" s="15">
        <v>4000095</v>
      </c>
      <c r="B2140" s="52">
        <v>1</v>
      </c>
    </row>
    <row r="2141" spans="1:2" x14ac:dyDescent="0.35">
      <c r="A2141" s="15">
        <v>4000096</v>
      </c>
      <c r="B2141" s="52">
        <v>1</v>
      </c>
    </row>
    <row r="2142" spans="1:2" x14ac:dyDescent="0.35">
      <c r="A2142" s="15">
        <v>4000104</v>
      </c>
      <c r="B2142" s="52">
        <v>1</v>
      </c>
    </row>
    <row r="2143" spans="1:2" x14ac:dyDescent="0.35">
      <c r="A2143" s="15">
        <v>4000107</v>
      </c>
      <c r="B2143" s="52">
        <v>1</v>
      </c>
    </row>
    <row r="2144" spans="1:2" x14ac:dyDescent="0.35">
      <c r="A2144" s="15">
        <v>4000109</v>
      </c>
      <c r="B2144" s="52">
        <v>1</v>
      </c>
    </row>
    <row r="2145" spans="1:2" x14ac:dyDescent="0.35">
      <c r="A2145" s="15">
        <v>4000110</v>
      </c>
      <c r="B2145" s="52">
        <v>1</v>
      </c>
    </row>
    <row r="2146" spans="1:2" x14ac:dyDescent="0.35">
      <c r="A2146" s="15">
        <v>4000112</v>
      </c>
      <c r="B2146" s="52">
        <v>1</v>
      </c>
    </row>
    <row r="2147" spans="1:2" x14ac:dyDescent="0.35">
      <c r="A2147" s="15">
        <v>4000115</v>
      </c>
      <c r="B2147" s="52">
        <v>1</v>
      </c>
    </row>
    <row r="2148" spans="1:2" x14ac:dyDescent="0.35">
      <c r="A2148" s="15">
        <v>4000118</v>
      </c>
      <c r="B2148" s="52">
        <v>1</v>
      </c>
    </row>
    <row r="2149" spans="1:2" x14ac:dyDescent="0.35">
      <c r="A2149" s="15">
        <v>4000120</v>
      </c>
      <c r="B2149" s="52">
        <v>1</v>
      </c>
    </row>
    <row r="2150" spans="1:2" x14ac:dyDescent="0.35">
      <c r="A2150" s="15">
        <v>4000121</v>
      </c>
      <c r="B2150" s="52">
        <v>1</v>
      </c>
    </row>
    <row r="2151" spans="1:2" x14ac:dyDescent="0.35">
      <c r="A2151" s="15">
        <v>4000122</v>
      </c>
      <c r="B2151" s="52">
        <v>1</v>
      </c>
    </row>
    <row r="2152" spans="1:2" x14ac:dyDescent="0.35">
      <c r="A2152" s="15">
        <v>4000134</v>
      </c>
      <c r="B2152" s="52">
        <v>1</v>
      </c>
    </row>
    <row r="2153" spans="1:2" x14ac:dyDescent="0.35">
      <c r="A2153" s="15">
        <v>4000137</v>
      </c>
      <c r="B2153" s="52">
        <v>1</v>
      </c>
    </row>
    <row r="2154" spans="1:2" x14ac:dyDescent="0.35">
      <c r="A2154" s="15">
        <v>4000144</v>
      </c>
      <c r="B2154" s="52">
        <v>1</v>
      </c>
    </row>
    <row r="2155" spans="1:2" x14ac:dyDescent="0.35">
      <c r="A2155" s="15">
        <v>4000145</v>
      </c>
      <c r="B2155" s="52">
        <v>1</v>
      </c>
    </row>
    <row r="2156" spans="1:2" x14ac:dyDescent="0.35">
      <c r="A2156" s="15">
        <v>4000146</v>
      </c>
      <c r="B2156" s="52">
        <v>1</v>
      </c>
    </row>
    <row r="2157" spans="1:2" x14ac:dyDescent="0.35">
      <c r="A2157" s="15">
        <v>4000147</v>
      </c>
      <c r="B2157" s="52">
        <v>1</v>
      </c>
    </row>
    <row r="2158" spans="1:2" x14ac:dyDescent="0.35">
      <c r="A2158" s="15">
        <v>4000152</v>
      </c>
      <c r="B2158" s="52">
        <v>1</v>
      </c>
    </row>
    <row r="2159" spans="1:2" x14ac:dyDescent="0.35">
      <c r="A2159" s="15">
        <v>4000155</v>
      </c>
      <c r="B2159" s="52">
        <v>1</v>
      </c>
    </row>
    <row r="2160" spans="1:2" x14ac:dyDescent="0.35">
      <c r="A2160" s="15">
        <v>4000157</v>
      </c>
      <c r="B2160" s="52">
        <v>1</v>
      </c>
    </row>
    <row r="2161" spans="1:2" x14ac:dyDescent="0.35">
      <c r="A2161" s="15">
        <v>4000175</v>
      </c>
      <c r="B2161" s="52">
        <v>1</v>
      </c>
    </row>
    <row r="2162" spans="1:2" x14ac:dyDescent="0.35">
      <c r="A2162" s="15">
        <v>4000186</v>
      </c>
      <c r="B2162" s="52">
        <v>1</v>
      </c>
    </row>
    <row r="2163" spans="1:2" x14ac:dyDescent="0.35">
      <c r="A2163" s="15">
        <v>4000187</v>
      </c>
      <c r="B2163" s="52">
        <v>1</v>
      </c>
    </row>
    <row r="2164" spans="1:2" x14ac:dyDescent="0.35">
      <c r="A2164" s="15">
        <v>4000189</v>
      </c>
      <c r="B2164" s="52">
        <v>1</v>
      </c>
    </row>
    <row r="2165" spans="1:2" x14ac:dyDescent="0.35">
      <c r="A2165" s="15">
        <v>4000194</v>
      </c>
      <c r="B2165" s="52">
        <v>1</v>
      </c>
    </row>
    <row r="2166" spans="1:2" x14ac:dyDescent="0.35">
      <c r="A2166" s="15">
        <v>4000197</v>
      </c>
      <c r="B2166" s="52">
        <v>1</v>
      </c>
    </row>
    <row r="2167" spans="1:2" x14ac:dyDescent="0.35">
      <c r="A2167" s="15">
        <v>4000198</v>
      </c>
      <c r="B2167" s="52">
        <v>1</v>
      </c>
    </row>
    <row r="2168" spans="1:2" x14ac:dyDescent="0.35">
      <c r="A2168" s="15">
        <v>4000202</v>
      </c>
      <c r="B2168" s="52">
        <v>1</v>
      </c>
    </row>
    <row r="2169" spans="1:2" x14ac:dyDescent="0.35">
      <c r="A2169" s="15">
        <v>4000204</v>
      </c>
      <c r="B2169" s="52">
        <v>1</v>
      </c>
    </row>
    <row r="2170" spans="1:2" x14ac:dyDescent="0.35">
      <c r="A2170" s="15">
        <v>4000206</v>
      </c>
      <c r="B2170" s="52">
        <v>1</v>
      </c>
    </row>
    <row r="2171" spans="1:2" x14ac:dyDescent="0.35">
      <c r="A2171" s="15">
        <v>4000207</v>
      </c>
      <c r="B2171" s="52">
        <v>1</v>
      </c>
    </row>
    <row r="2172" spans="1:2" x14ac:dyDescent="0.35">
      <c r="A2172" s="15">
        <v>4000209</v>
      </c>
      <c r="B2172" s="52">
        <v>1</v>
      </c>
    </row>
    <row r="2173" spans="1:2" x14ac:dyDescent="0.35">
      <c r="A2173" s="15">
        <v>4000210</v>
      </c>
      <c r="B2173" s="52">
        <v>1</v>
      </c>
    </row>
    <row r="2174" spans="1:2" x14ac:dyDescent="0.35">
      <c r="A2174" s="15">
        <v>4000213</v>
      </c>
      <c r="B2174" s="52">
        <v>1</v>
      </c>
    </row>
    <row r="2175" spans="1:2" x14ac:dyDescent="0.35">
      <c r="A2175" s="15">
        <v>4000214</v>
      </c>
      <c r="B2175" s="52">
        <v>1</v>
      </c>
    </row>
    <row r="2176" spans="1:2" x14ac:dyDescent="0.35">
      <c r="A2176" s="15">
        <v>4000242</v>
      </c>
      <c r="B2176" s="52">
        <v>1</v>
      </c>
    </row>
    <row r="2177" spans="1:2" x14ac:dyDescent="0.35">
      <c r="A2177" s="15">
        <v>4000243</v>
      </c>
      <c r="B2177" s="52">
        <v>1</v>
      </c>
    </row>
    <row r="2178" spans="1:2" x14ac:dyDescent="0.35">
      <c r="A2178" s="15">
        <v>4000249</v>
      </c>
      <c r="B2178" s="52">
        <v>1</v>
      </c>
    </row>
    <row r="2179" spans="1:2" x14ac:dyDescent="0.35">
      <c r="A2179" s="15">
        <v>4000254</v>
      </c>
      <c r="B2179" s="52">
        <v>1</v>
      </c>
    </row>
    <row r="2180" spans="1:2" x14ac:dyDescent="0.35">
      <c r="A2180" s="15">
        <v>4000257</v>
      </c>
      <c r="B2180" s="52">
        <v>1</v>
      </c>
    </row>
    <row r="2181" spans="1:2" x14ac:dyDescent="0.35">
      <c r="A2181" s="15">
        <v>4000267</v>
      </c>
      <c r="B2181" s="52">
        <v>1</v>
      </c>
    </row>
    <row r="2182" spans="1:2" x14ac:dyDescent="0.35">
      <c r="A2182" s="15">
        <v>4000268</v>
      </c>
      <c r="B2182" s="52">
        <v>1</v>
      </c>
    </row>
    <row r="2183" spans="1:2" x14ac:dyDescent="0.35">
      <c r="A2183" s="15">
        <v>4000282</v>
      </c>
      <c r="B2183" s="52">
        <v>1</v>
      </c>
    </row>
    <row r="2184" spans="1:2" x14ac:dyDescent="0.35">
      <c r="A2184" s="15">
        <v>4000283</v>
      </c>
      <c r="B2184" s="52">
        <v>1</v>
      </c>
    </row>
    <row r="2185" spans="1:2" x14ac:dyDescent="0.35">
      <c r="A2185" s="15">
        <v>4000286</v>
      </c>
      <c r="B2185" s="52">
        <v>1</v>
      </c>
    </row>
    <row r="2186" spans="1:2" x14ac:dyDescent="0.35">
      <c r="A2186" s="15">
        <v>4000287</v>
      </c>
      <c r="B2186" s="52">
        <v>1</v>
      </c>
    </row>
    <row r="2187" spans="1:2" x14ac:dyDescent="0.35">
      <c r="A2187" s="15">
        <v>4000294</v>
      </c>
      <c r="B2187" s="52">
        <v>1</v>
      </c>
    </row>
    <row r="2188" spans="1:2" x14ac:dyDescent="0.35">
      <c r="A2188" s="15">
        <v>4000295</v>
      </c>
      <c r="B2188" s="52">
        <v>1</v>
      </c>
    </row>
    <row r="2189" spans="1:2" x14ac:dyDescent="0.35">
      <c r="A2189" s="15">
        <v>4000297</v>
      </c>
      <c r="B2189" s="52">
        <v>1</v>
      </c>
    </row>
    <row r="2190" spans="1:2" x14ac:dyDescent="0.35">
      <c r="A2190" s="15">
        <v>4000299</v>
      </c>
      <c r="B2190" s="52">
        <v>1</v>
      </c>
    </row>
    <row r="2191" spans="1:2" x14ac:dyDescent="0.35">
      <c r="A2191" s="15">
        <v>4000304</v>
      </c>
      <c r="B2191" s="52">
        <v>1</v>
      </c>
    </row>
    <row r="2192" spans="1:2" x14ac:dyDescent="0.35">
      <c r="A2192" s="15">
        <v>4000352</v>
      </c>
      <c r="B2192" s="52">
        <v>1</v>
      </c>
    </row>
    <row r="2193" spans="1:2" x14ac:dyDescent="0.35">
      <c r="A2193" s="15">
        <v>4000373</v>
      </c>
      <c r="B2193" s="52">
        <v>1</v>
      </c>
    </row>
    <row r="2194" spans="1:2" x14ac:dyDescent="0.35">
      <c r="A2194" s="15">
        <v>4000457</v>
      </c>
      <c r="B2194" s="52">
        <v>1</v>
      </c>
    </row>
    <row r="2195" spans="1:2" x14ac:dyDescent="0.35">
      <c r="A2195" s="15">
        <v>4000497</v>
      </c>
      <c r="B2195" s="52">
        <v>1</v>
      </c>
    </row>
    <row r="2196" spans="1:2" x14ac:dyDescent="0.35">
      <c r="A2196" s="15">
        <v>4000498</v>
      </c>
      <c r="B2196" s="52">
        <v>1</v>
      </c>
    </row>
    <row r="2197" spans="1:2" x14ac:dyDescent="0.35">
      <c r="A2197" s="15">
        <v>4000570</v>
      </c>
      <c r="B2197" s="52">
        <v>1</v>
      </c>
    </row>
    <row r="2198" spans="1:2" x14ac:dyDescent="0.35">
      <c r="A2198" s="15">
        <v>4000627</v>
      </c>
      <c r="B2198" s="52">
        <v>1</v>
      </c>
    </row>
    <row r="2199" spans="1:2" x14ac:dyDescent="0.35">
      <c r="A2199" s="15">
        <v>4000651</v>
      </c>
      <c r="B2199" s="52">
        <v>1</v>
      </c>
    </row>
    <row r="2200" spans="1:2" x14ac:dyDescent="0.35">
      <c r="A2200" s="15">
        <v>4000652</v>
      </c>
      <c r="B2200" s="52">
        <v>1</v>
      </c>
    </row>
    <row r="2201" spans="1:2" x14ac:dyDescent="0.35">
      <c r="A2201" s="15">
        <v>4000665</v>
      </c>
      <c r="B2201" s="52">
        <v>1</v>
      </c>
    </row>
    <row r="2202" spans="1:2" x14ac:dyDescent="0.35">
      <c r="A2202" s="15">
        <v>4000672</v>
      </c>
      <c r="B2202" s="52">
        <v>1</v>
      </c>
    </row>
    <row r="2203" spans="1:2" x14ac:dyDescent="0.35">
      <c r="A2203" s="15">
        <v>4000685</v>
      </c>
      <c r="B2203" s="52">
        <v>1</v>
      </c>
    </row>
    <row r="2204" spans="1:2" x14ac:dyDescent="0.35">
      <c r="A2204" s="15">
        <v>4000687</v>
      </c>
      <c r="B2204" s="52">
        <v>1</v>
      </c>
    </row>
    <row r="2205" spans="1:2" x14ac:dyDescent="0.35">
      <c r="A2205" s="15">
        <v>4000689</v>
      </c>
      <c r="B2205" s="52">
        <v>1</v>
      </c>
    </row>
    <row r="2206" spans="1:2" x14ac:dyDescent="0.35">
      <c r="A2206" s="15">
        <v>4000731</v>
      </c>
      <c r="B2206" s="52">
        <v>1</v>
      </c>
    </row>
    <row r="2207" spans="1:2" x14ac:dyDescent="0.35">
      <c r="A2207" s="15">
        <v>4000735</v>
      </c>
      <c r="B2207" s="52">
        <v>1</v>
      </c>
    </row>
    <row r="2208" spans="1:2" x14ac:dyDescent="0.35">
      <c r="A2208" s="15">
        <v>4000816</v>
      </c>
      <c r="B2208" s="52">
        <v>1</v>
      </c>
    </row>
    <row r="2209" spans="1:2" x14ac:dyDescent="0.35">
      <c r="A2209" s="15">
        <v>4000847</v>
      </c>
      <c r="B2209" s="52">
        <v>1</v>
      </c>
    </row>
    <row r="2210" spans="1:2" x14ac:dyDescent="0.35">
      <c r="A2210" s="15">
        <v>4000964</v>
      </c>
      <c r="B2210" s="52">
        <v>1</v>
      </c>
    </row>
    <row r="2211" spans="1:2" x14ac:dyDescent="0.35">
      <c r="A2211" s="15">
        <v>4000967</v>
      </c>
      <c r="B2211" s="52">
        <v>1</v>
      </c>
    </row>
    <row r="2212" spans="1:2" x14ac:dyDescent="0.35">
      <c r="A2212" s="15">
        <v>4001009</v>
      </c>
      <c r="B2212" s="52">
        <v>1</v>
      </c>
    </row>
    <row r="2213" spans="1:2" x14ac:dyDescent="0.35">
      <c r="A2213" s="15">
        <v>4001010</v>
      </c>
      <c r="B2213" s="52">
        <v>1</v>
      </c>
    </row>
    <row r="2214" spans="1:2" x14ac:dyDescent="0.35">
      <c r="A2214" s="15">
        <v>4001011</v>
      </c>
      <c r="B2214" s="52">
        <v>1</v>
      </c>
    </row>
    <row r="2215" spans="1:2" x14ac:dyDescent="0.35">
      <c r="A2215" s="15">
        <v>4001020</v>
      </c>
      <c r="B2215" s="52">
        <v>1</v>
      </c>
    </row>
    <row r="2216" spans="1:2" x14ac:dyDescent="0.35">
      <c r="A2216" s="15">
        <v>4001040</v>
      </c>
      <c r="B2216" s="52">
        <v>1</v>
      </c>
    </row>
    <row r="2217" spans="1:2" x14ac:dyDescent="0.35">
      <c r="A2217" s="15">
        <v>4001050</v>
      </c>
      <c r="B2217" s="52">
        <v>1</v>
      </c>
    </row>
    <row r="2218" spans="1:2" x14ac:dyDescent="0.35">
      <c r="A2218" s="15">
        <v>4001069</v>
      </c>
      <c r="B2218" s="52">
        <v>1</v>
      </c>
    </row>
    <row r="2219" spans="1:2" x14ac:dyDescent="0.35">
      <c r="A2219" s="15">
        <v>4001077</v>
      </c>
      <c r="B2219" s="52">
        <v>1</v>
      </c>
    </row>
    <row r="2220" spans="1:2" x14ac:dyDescent="0.35">
      <c r="A2220" s="15">
        <v>4001092</v>
      </c>
      <c r="B2220" s="52">
        <v>1</v>
      </c>
    </row>
    <row r="2221" spans="1:2" x14ac:dyDescent="0.35">
      <c r="A2221" s="15">
        <v>4001095</v>
      </c>
      <c r="B2221" s="52">
        <v>1</v>
      </c>
    </row>
    <row r="2222" spans="1:2" x14ac:dyDescent="0.35">
      <c r="A2222" s="15">
        <v>4001106</v>
      </c>
      <c r="B2222" s="52">
        <v>1</v>
      </c>
    </row>
    <row r="2223" spans="1:2" x14ac:dyDescent="0.35">
      <c r="A2223" s="15">
        <v>4001108</v>
      </c>
      <c r="B2223" s="52">
        <v>1</v>
      </c>
    </row>
    <row r="2224" spans="1:2" x14ac:dyDescent="0.35">
      <c r="A2224" s="15">
        <v>4001125</v>
      </c>
      <c r="B2224" s="52">
        <v>1</v>
      </c>
    </row>
    <row r="2225" spans="1:2" x14ac:dyDescent="0.35">
      <c r="A2225" s="15">
        <v>4001126</v>
      </c>
      <c r="B2225" s="52">
        <v>1</v>
      </c>
    </row>
    <row r="2226" spans="1:2" x14ac:dyDescent="0.35">
      <c r="A2226" s="15">
        <v>4001143</v>
      </c>
      <c r="B2226" s="52">
        <v>1</v>
      </c>
    </row>
    <row r="2227" spans="1:2" x14ac:dyDescent="0.35">
      <c r="A2227" s="15">
        <v>4001147</v>
      </c>
      <c r="B2227" s="52">
        <v>1</v>
      </c>
    </row>
    <row r="2228" spans="1:2" x14ac:dyDescent="0.35">
      <c r="A2228" s="15">
        <v>4001163</v>
      </c>
      <c r="B2228" s="52">
        <v>1</v>
      </c>
    </row>
    <row r="2229" spans="1:2" x14ac:dyDescent="0.35">
      <c r="A2229" s="15">
        <v>4001164</v>
      </c>
      <c r="B2229" s="52">
        <v>1</v>
      </c>
    </row>
    <row r="2230" spans="1:2" x14ac:dyDescent="0.35">
      <c r="A2230" s="15">
        <v>4001165</v>
      </c>
      <c r="B2230" s="52">
        <v>1</v>
      </c>
    </row>
    <row r="2231" spans="1:2" x14ac:dyDescent="0.35">
      <c r="A2231" s="15">
        <v>4001166</v>
      </c>
      <c r="B2231" s="52">
        <v>1</v>
      </c>
    </row>
    <row r="2232" spans="1:2" x14ac:dyDescent="0.35">
      <c r="A2232" s="15">
        <v>4001167</v>
      </c>
      <c r="B2232" s="52">
        <v>1</v>
      </c>
    </row>
    <row r="2233" spans="1:2" x14ac:dyDescent="0.35">
      <c r="A2233" s="15">
        <v>4001168</v>
      </c>
      <c r="B2233" s="52">
        <v>1</v>
      </c>
    </row>
    <row r="2234" spans="1:2" x14ac:dyDescent="0.35">
      <c r="A2234" s="15">
        <v>4001169</v>
      </c>
      <c r="B2234" s="52">
        <v>1</v>
      </c>
    </row>
    <row r="2235" spans="1:2" x14ac:dyDescent="0.35">
      <c r="A2235" s="15">
        <v>4001170</v>
      </c>
      <c r="B2235" s="52">
        <v>1</v>
      </c>
    </row>
    <row r="2236" spans="1:2" x14ac:dyDescent="0.35">
      <c r="A2236" s="15">
        <v>4001171</v>
      </c>
      <c r="B2236" s="52">
        <v>1</v>
      </c>
    </row>
    <row r="2237" spans="1:2" x14ac:dyDescent="0.35">
      <c r="A2237" s="15">
        <v>4001172</v>
      </c>
      <c r="B2237" s="52">
        <v>1</v>
      </c>
    </row>
    <row r="2238" spans="1:2" x14ac:dyDescent="0.35">
      <c r="A2238" s="15">
        <v>4001173</v>
      </c>
      <c r="B2238" s="52">
        <v>1</v>
      </c>
    </row>
    <row r="2239" spans="1:2" x14ac:dyDescent="0.35">
      <c r="A2239" s="15">
        <v>4001174</v>
      </c>
      <c r="B2239" s="52">
        <v>1</v>
      </c>
    </row>
    <row r="2240" spans="1:2" x14ac:dyDescent="0.35">
      <c r="A2240" s="15">
        <v>4001188</v>
      </c>
      <c r="B2240" s="52">
        <v>1</v>
      </c>
    </row>
    <row r="2241" spans="1:2" x14ac:dyDescent="0.35">
      <c r="A2241" s="15">
        <v>4001189</v>
      </c>
      <c r="B2241" s="52">
        <v>1</v>
      </c>
    </row>
    <row r="2242" spans="1:2" x14ac:dyDescent="0.35">
      <c r="A2242" s="15">
        <v>4001190</v>
      </c>
      <c r="B2242" s="52">
        <v>1</v>
      </c>
    </row>
    <row r="2243" spans="1:2" x14ac:dyDescent="0.35">
      <c r="A2243" s="15">
        <v>4001215</v>
      </c>
      <c r="B2243" s="52">
        <v>1</v>
      </c>
    </row>
    <row r="2244" spans="1:2" x14ac:dyDescent="0.35">
      <c r="A2244" s="15">
        <v>4001216</v>
      </c>
      <c r="B2244" s="52">
        <v>1</v>
      </c>
    </row>
    <row r="2245" spans="1:2" x14ac:dyDescent="0.35">
      <c r="A2245" s="15">
        <v>4001218</v>
      </c>
      <c r="B2245" s="52">
        <v>1</v>
      </c>
    </row>
    <row r="2246" spans="1:2" x14ac:dyDescent="0.35">
      <c r="A2246" s="15">
        <v>4001224</v>
      </c>
      <c r="B2246" s="52">
        <v>1</v>
      </c>
    </row>
    <row r="2247" spans="1:2" x14ac:dyDescent="0.35">
      <c r="A2247" s="15">
        <v>4001236</v>
      </c>
      <c r="B2247" s="52">
        <v>1</v>
      </c>
    </row>
    <row r="2248" spans="1:2" x14ac:dyDescent="0.35">
      <c r="A2248" s="15">
        <v>4001237</v>
      </c>
      <c r="B2248" s="52">
        <v>1</v>
      </c>
    </row>
    <row r="2249" spans="1:2" x14ac:dyDescent="0.35">
      <c r="A2249" s="15">
        <v>4001239</v>
      </c>
      <c r="B2249" s="52">
        <v>1</v>
      </c>
    </row>
    <row r="2250" spans="1:2" x14ac:dyDescent="0.35">
      <c r="A2250" s="15">
        <v>4001242</v>
      </c>
      <c r="B2250" s="52">
        <v>1</v>
      </c>
    </row>
    <row r="2251" spans="1:2" x14ac:dyDescent="0.35">
      <c r="A2251" s="15">
        <v>4001255</v>
      </c>
      <c r="B2251" s="52">
        <v>1</v>
      </c>
    </row>
    <row r="2252" spans="1:2" x14ac:dyDescent="0.35">
      <c r="A2252" s="15">
        <v>4001256</v>
      </c>
      <c r="B2252" s="52">
        <v>1</v>
      </c>
    </row>
    <row r="2253" spans="1:2" x14ac:dyDescent="0.35">
      <c r="A2253" s="15">
        <v>4001263</v>
      </c>
      <c r="B2253" s="52">
        <v>1</v>
      </c>
    </row>
    <row r="2254" spans="1:2" x14ac:dyDescent="0.35">
      <c r="A2254" s="15">
        <v>4001267</v>
      </c>
      <c r="B2254" s="52">
        <v>1</v>
      </c>
    </row>
    <row r="2255" spans="1:2" x14ac:dyDescent="0.35">
      <c r="A2255" s="15">
        <v>4001269</v>
      </c>
      <c r="B2255" s="52">
        <v>1</v>
      </c>
    </row>
    <row r="2256" spans="1:2" x14ac:dyDescent="0.35">
      <c r="A2256" s="15">
        <v>4001275</v>
      </c>
      <c r="B2256" s="52">
        <v>1</v>
      </c>
    </row>
    <row r="2257" spans="1:2" x14ac:dyDescent="0.35">
      <c r="A2257" s="15">
        <v>4001276</v>
      </c>
      <c r="B2257" s="52">
        <v>1</v>
      </c>
    </row>
    <row r="2258" spans="1:2" x14ac:dyDescent="0.35">
      <c r="A2258" s="15">
        <v>4001284</v>
      </c>
      <c r="B2258" s="52">
        <v>1</v>
      </c>
    </row>
    <row r="2259" spans="1:2" x14ac:dyDescent="0.35">
      <c r="A2259" s="15">
        <v>4001299</v>
      </c>
      <c r="B2259" s="52">
        <v>1</v>
      </c>
    </row>
    <row r="2260" spans="1:2" x14ac:dyDescent="0.35">
      <c r="A2260" s="15">
        <v>4001304</v>
      </c>
      <c r="B2260" s="52">
        <v>1</v>
      </c>
    </row>
    <row r="2261" spans="1:2" x14ac:dyDescent="0.35">
      <c r="A2261" s="15">
        <v>4001310</v>
      </c>
      <c r="B2261" s="52">
        <v>1</v>
      </c>
    </row>
    <row r="2262" spans="1:2" x14ac:dyDescent="0.35">
      <c r="A2262" s="15">
        <v>4001322</v>
      </c>
      <c r="B2262" s="52">
        <v>1</v>
      </c>
    </row>
    <row r="2263" spans="1:2" x14ac:dyDescent="0.35">
      <c r="A2263" s="15">
        <v>4001323</v>
      </c>
      <c r="B2263" s="52">
        <v>1</v>
      </c>
    </row>
    <row r="2264" spans="1:2" x14ac:dyDescent="0.35">
      <c r="A2264" s="15">
        <v>4001324</v>
      </c>
      <c r="B2264" s="52">
        <v>1</v>
      </c>
    </row>
    <row r="2265" spans="1:2" x14ac:dyDescent="0.35">
      <c r="A2265" s="15">
        <v>4001326</v>
      </c>
      <c r="B2265" s="52">
        <v>1</v>
      </c>
    </row>
    <row r="2266" spans="1:2" x14ac:dyDescent="0.35">
      <c r="A2266" s="15">
        <v>4001332</v>
      </c>
      <c r="B2266" s="52">
        <v>1</v>
      </c>
    </row>
    <row r="2267" spans="1:2" x14ac:dyDescent="0.35">
      <c r="A2267" s="15">
        <v>4001336</v>
      </c>
      <c r="B2267" s="52">
        <v>1</v>
      </c>
    </row>
    <row r="2268" spans="1:2" x14ac:dyDescent="0.35">
      <c r="A2268" s="15">
        <v>4001351</v>
      </c>
      <c r="B2268" s="52">
        <v>1</v>
      </c>
    </row>
    <row r="2269" spans="1:2" x14ac:dyDescent="0.35">
      <c r="A2269" s="15">
        <v>4001352</v>
      </c>
      <c r="B2269" s="52">
        <v>1</v>
      </c>
    </row>
    <row r="2270" spans="1:2" x14ac:dyDescent="0.35">
      <c r="A2270" s="15">
        <v>4001357</v>
      </c>
      <c r="B2270" s="52">
        <v>1</v>
      </c>
    </row>
    <row r="2271" spans="1:2" x14ac:dyDescent="0.35">
      <c r="A2271" s="15">
        <v>4001359</v>
      </c>
      <c r="B2271" s="52">
        <v>1</v>
      </c>
    </row>
    <row r="2272" spans="1:2" x14ac:dyDescent="0.35">
      <c r="A2272" s="15">
        <v>4001360</v>
      </c>
      <c r="B2272" s="52">
        <v>1</v>
      </c>
    </row>
    <row r="2273" spans="1:2" x14ac:dyDescent="0.35">
      <c r="A2273" s="15">
        <v>4001367</v>
      </c>
      <c r="B2273" s="52">
        <v>1</v>
      </c>
    </row>
    <row r="2274" spans="1:2" x14ac:dyDescent="0.35">
      <c r="A2274" s="15">
        <v>4001395</v>
      </c>
      <c r="B2274" s="52">
        <v>1</v>
      </c>
    </row>
    <row r="2275" spans="1:2" x14ac:dyDescent="0.35">
      <c r="A2275" s="15">
        <v>4001422</v>
      </c>
      <c r="B2275" s="52">
        <v>1</v>
      </c>
    </row>
    <row r="2276" spans="1:2" x14ac:dyDescent="0.35">
      <c r="A2276" s="15">
        <v>4001474</v>
      </c>
      <c r="B2276" s="52">
        <v>1</v>
      </c>
    </row>
    <row r="2277" spans="1:2" x14ac:dyDescent="0.35">
      <c r="A2277" s="15">
        <v>4001501</v>
      </c>
      <c r="B2277" s="52">
        <v>1</v>
      </c>
    </row>
    <row r="2278" spans="1:2" x14ac:dyDescent="0.35">
      <c r="A2278" s="15">
        <v>4001506</v>
      </c>
      <c r="B2278" s="52">
        <v>1</v>
      </c>
    </row>
    <row r="2279" spans="1:2" x14ac:dyDescent="0.35">
      <c r="A2279" s="15">
        <v>4001511</v>
      </c>
      <c r="B2279" s="52">
        <v>1</v>
      </c>
    </row>
    <row r="2280" spans="1:2" x14ac:dyDescent="0.35">
      <c r="A2280" s="15">
        <v>4001522</v>
      </c>
      <c r="B2280" s="52">
        <v>1</v>
      </c>
    </row>
    <row r="2281" spans="1:2" x14ac:dyDescent="0.35">
      <c r="A2281" s="15">
        <v>4001534</v>
      </c>
      <c r="B2281" s="52">
        <v>1</v>
      </c>
    </row>
    <row r="2282" spans="1:2" x14ac:dyDescent="0.35">
      <c r="A2282" s="15">
        <v>4001539</v>
      </c>
      <c r="B2282" s="52">
        <v>1</v>
      </c>
    </row>
    <row r="2283" spans="1:2" x14ac:dyDescent="0.35">
      <c r="A2283" s="15">
        <v>4001547</v>
      </c>
      <c r="B2283" s="52">
        <v>1</v>
      </c>
    </row>
    <row r="2284" spans="1:2" x14ac:dyDescent="0.35">
      <c r="A2284" s="15">
        <v>4001548</v>
      </c>
      <c r="B2284" s="52">
        <v>1</v>
      </c>
    </row>
    <row r="2285" spans="1:2" x14ac:dyDescent="0.35">
      <c r="A2285" s="15">
        <v>4001549</v>
      </c>
      <c r="B2285" s="52">
        <v>1</v>
      </c>
    </row>
    <row r="2286" spans="1:2" x14ac:dyDescent="0.35">
      <c r="A2286" s="15">
        <v>4001550</v>
      </c>
      <c r="B2286" s="52">
        <v>1</v>
      </c>
    </row>
    <row r="2287" spans="1:2" x14ac:dyDescent="0.35">
      <c r="A2287" s="15">
        <v>4001551</v>
      </c>
      <c r="B2287" s="52">
        <v>1</v>
      </c>
    </row>
    <row r="2288" spans="1:2" x14ac:dyDescent="0.35">
      <c r="A2288" s="15">
        <v>4001552</v>
      </c>
      <c r="B2288" s="52">
        <v>1</v>
      </c>
    </row>
    <row r="2289" spans="1:2" x14ac:dyDescent="0.35">
      <c r="A2289" s="15">
        <v>4001561</v>
      </c>
      <c r="B2289" s="52">
        <v>1</v>
      </c>
    </row>
    <row r="2290" spans="1:2" x14ac:dyDescent="0.35">
      <c r="A2290" s="15">
        <v>4001570</v>
      </c>
      <c r="B2290" s="52">
        <v>1</v>
      </c>
    </row>
    <row r="2291" spans="1:2" x14ac:dyDescent="0.35">
      <c r="A2291" s="15">
        <v>4001572</v>
      </c>
      <c r="B2291" s="52">
        <v>1</v>
      </c>
    </row>
    <row r="2292" spans="1:2" x14ac:dyDescent="0.35">
      <c r="A2292" s="15">
        <v>4001588</v>
      </c>
      <c r="B2292" s="52">
        <v>1</v>
      </c>
    </row>
    <row r="2293" spans="1:2" x14ac:dyDescent="0.35">
      <c r="A2293" s="15">
        <v>4001591</v>
      </c>
      <c r="B2293" s="52">
        <v>1</v>
      </c>
    </row>
    <row r="2294" spans="1:2" x14ac:dyDescent="0.35">
      <c r="A2294" s="15">
        <v>4001595</v>
      </c>
      <c r="B2294" s="52">
        <v>1</v>
      </c>
    </row>
    <row r="2295" spans="1:2" x14ac:dyDescent="0.35">
      <c r="A2295" s="15">
        <v>4001635</v>
      </c>
      <c r="B2295" s="52">
        <v>1</v>
      </c>
    </row>
    <row r="2296" spans="1:2" x14ac:dyDescent="0.35">
      <c r="A2296" s="15">
        <v>4001652</v>
      </c>
      <c r="B2296" s="52">
        <v>1</v>
      </c>
    </row>
    <row r="2297" spans="1:2" x14ac:dyDescent="0.35">
      <c r="A2297" s="15">
        <v>4001653</v>
      </c>
      <c r="B2297" s="52">
        <v>1</v>
      </c>
    </row>
    <row r="2298" spans="1:2" x14ac:dyDescent="0.35">
      <c r="A2298" s="15">
        <v>4001655</v>
      </c>
      <c r="B2298" s="52">
        <v>1</v>
      </c>
    </row>
    <row r="2299" spans="1:2" x14ac:dyDescent="0.35">
      <c r="A2299" s="15">
        <v>4001675</v>
      </c>
      <c r="B2299" s="52">
        <v>1</v>
      </c>
    </row>
    <row r="2300" spans="1:2" x14ac:dyDescent="0.35">
      <c r="A2300" s="15">
        <v>4001676</v>
      </c>
      <c r="B2300" s="52">
        <v>1</v>
      </c>
    </row>
    <row r="2301" spans="1:2" x14ac:dyDescent="0.35">
      <c r="A2301" s="15">
        <v>4001678</v>
      </c>
      <c r="B2301" s="52">
        <v>1</v>
      </c>
    </row>
    <row r="2302" spans="1:2" x14ac:dyDescent="0.35">
      <c r="A2302" s="15">
        <v>4001692</v>
      </c>
      <c r="B2302" s="52">
        <v>1</v>
      </c>
    </row>
    <row r="2303" spans="1:2" x14ac:dyDescent="0.35">
      <c r="A2303" s="15">
        <v>4001693</v>
      </c>
      <c r="B2303" s="52">
        <v>1</v>
      </c>
    </row>
    <row r="2304" spans="1:2" x14ac:dyDescent="0.35">
      <c r="A2304" s="15">
        <v>4001703</v>
      </c>
      <c r="B2304" s="52">
        <v>1</v>
      </c>
    </row>
    <row r="2305" spans="1:2" x14ac:dyDescent="0.35">
      <c r="A2305" s="15">
        <v>4001708</v>
      </c>
      <c r="B2305" s="52">
        <v>1</v>
      </c>
    </row>
    <row r="2306" spans="1:2" x14ac:dyDescent="0.35">
      <c r="A2306" s="15">
        <v>4001709</v>
      </c>
      <c r="B2306" s="52">
        <v>1</v>
      </c>
    </row>
    <row r="2307" spans="1:2" x14ac:dyDescent="0.35">
      <c r="A2307" s="15">
        <v>4001713</v>
      </c>
      <c r="B2307" s="52">
        <v>1</v>
      </c>
    </row>
    <row r="2308" spans="1:2" x14ac:dyDescent="0.35">
      <c r="A2308" s="15">
        <v>4001733</v>
      </c>
      <c r="B2308" s="52">
        <v>1</v>
      </c>
    </row>
    <row r="2309" spans="1:2" x14ac:dyDescent="0.35">
      <c r="A2309" s="15">
        <v>4001748</v>
      </c>
      <c r="B2309" s="52">
        <v>1</v>
      </c>
    </row>
    <row r="2310" spans="1:2" x14ac:dyDescent="0.35">
      <c r="A2310" s="15">
        <v>4001751</v>
      </c>
      <c r="B2310" s="52">
        <v>1</v>
      </c>
    </row>
    <row r="2311" spans="1:2" x14ac:dyDescent="0.35">
      <c r="A2311" s="15">
        <v>4001752</v>
      </c>
      <c r="B2311" s="52">
        <v>1</v>
      </c>
    </row>
    <row r="2312" spans="1:2" x14ac:dyDescent="0.35">
      <c r="A2312" s="15">
        <v>4001753</v>
      </c>
      <c r="B2312" s="52">
        <v>1</v>
      </c>
    </row>
    <row r="2313" spans="1:2" x14ac:dyDescent="0.35">
      <c r="A2313" s="15">
        <v>4001756</v>
      </c>
      <c r="B2313" s="52">
        <v>1</v>
      </c>
    </row>
    <row r="2314" spans="1:2" x14ac:dyDescent="0.35">
      <c r="A2314" s="15">
        <v>4001776</v>
      </c>
      <c r="B2314" s="52">
        <v>1</v>
      </c>
    </row>
    <row r="2315" spans="1:2" x14ac:dyDescent="0.35">
      <c r="A2315" s="15">
        <v>4001777</v>
      </c>
      <c r="B2315" s="52">
        <v>1</v>
      </c>
    </row>
    <row r="2316" spans="1:2" x14ac:dyDescent="0.35">
      <c r="A2316" s="15">
        <v>4001778</v>
      </c>
      <c r="B2316" s="52">
        <v>1</v>
      </c>
    </row>
    <row r="2317" spans="1:2" x14ac:dyDescent="0.35">
      <c r="A2317" s="15">
        <v>4001779</v>
      </c>
      <c r="B2317" s="52">
        <v>1</v>
      </c>
    </row>
    <row r="2318" spans="1:2" x14ac:dyDescent="0.35">
      <c r="A2318" s="15">
        <v>4001780</v>
      </c>
      <c r="B2318" s="52">
        <v>1</v>
      </c>
    </row>
    <row r="2319" spans="1:2" x14ac:dyDescent="0.35">
      <c r="A2319" s="15">
        <v>4001789</v>
      </c>
      <c r="B2319" s="52">
        <v>1</v>
      </c>
    </row>
    <row r="2320" spans="1:2" x14ac:dyDescent="0.35">
      <c r="A2320" s="15">
        <v>4001806</v>
      </c>
      <c r="B2320" s="52">
        <v>1</v>
      </c>
    </row>
    <row r="2321" spans="1:2" x14ac:dyDescent="0.35">
      <c r="A2321" s="15">
        <v>4001817</v>
      </c>
      <c r="B2321" s="52">
        <v>1</v>
      </c>
    </row>
    <row r="2322" spans="1:2" x14ac:dyDescent="0.35">
      <c r="A2322" s="15">
        <v>4001820</v>
      </c>
      <c r="B2322" s="52">
        <v>1</v>
      </c>
    </row>
    <row r="2323" spans="1:2" x14ac:dyDescent="0.35">
      <c r="A2323" s="15">
        <v>4001825</v>
      </c>
      <c r="B2323" s="52">
        <v>1</v>
      </c>
    </row>
    <row r="2324" spans="1:2" x14ac:dyDescent="0.35">
      <c r="A2324" s="15">
        <v>4001847</v>
      </c>
      <c r="B2324" s="52">
        <v>1</v>
      </c>
    </row>
    <row r="2325" spans="1:2" x14ac:dyDescent="0.35">
      <c r="A2325" s="15">
        <v>4001865</v>
      </c>
      <c r="B2325" s="52">
        <v>1</v>
      </c>
    </row>
    <row r="2326" spans="1:2" x14ac:dyDescent="0.35">
      <c r="A2326" s="15">
        <v>4001884</v>
      </c>
      <c r="B2326" s="52">
        <v>1</v>
      </c>
    </row>
    <row r="2327" spans="1:2" x14ac:dyDescent="0.35">
      <c r="A2327" s="15">
        <v>4001919</v>
      </c>
      <c r="B2327" s="52">
        <v>1</v>
      </c>
    </row>
    <row r="2328" spans="1:2" x14ac:dyDescent="0.35">
      <c r="A2328" s="15">
        <v>4001922</v>
      </c>
      <c r="B2328" s="52">
        <v>1</v>
      </c>
    </row>
    <row r="2329" spans="1:2" x14ac:dyDescent="0.35">
      <c r="A2329" s="15">
        <v>4001928</v>
      </c>
      <c r="B2329" s="52">
        <v>1</v>
      </c>
    </row>
    <row r="2330" spans="1:2" x14ac:dyDescent="0.35">
      <c r="A2330" s="15">
        <v>4001929</v>
      </c>
      <c r="B2330" s="52">
        <v>1</v>
      </c>
    </row>
    <row r="2331" spans="1:2" x14ac:dyDescent="0.35">
      <c r="A2331" s="15">
        <v>4001930</v>
      </c>
      <c r="B2331" s="52">
        <v>1</v>
      </c>
    </row>
    <row r="2332" spans="1:2" x14ac:dyDescent="0.35">
      <c r="A2332" s="15">
        <v>4001945</v>
      </c>
      <c r="B2332" s="52">
        <v>1</v>
      </c>
    </row>
    <row r="2333" spans="1:2" x14ac:dyDescent="0.35">
      <c r="A2333" s="15">
        <v>4002032</v>
      </c>
      <c r="B2333" s="52">
        <v>1</v>
      </c>
    </row>
    <row r="2334" spans="1:2" x14ac:dyDescent="0.35">
      <c r="A2334" s="15">
        <v>4002055</v>
      </c>
      <c r="B2334" s="52">
        <v>1</v>
      </c>
    </row>
    <row r="2335" spans="1:2" x14ac:dyDescent="0.35">
      <c r="A2335" s="15">
        <v>4002057</v>
      </c>
      <c r="B2335" s="52">
        <v>1</v>
      </c>
    </row>
    <row r="2336" spans="1:2" x14ac:dyDescent="0.35">
      <c r="A2336" s="15">
        <v>4002058</v>
      </c>
      <c r="B2336" s="52">
        <v>1</v>
      </c>
    </row>
    <row r="2337" spans="1:2" x14ac:dyDescent="0.35">
      <c r="A2337" s="15">
        <v>4002060</v>
      </c>
      <c r="B2337" s="52">
        <v>1</v>
      </c>
    </row>
    <row r="2338" spans="1:2" x14ac:dyDescent="0.35">
      <c r="A2338" s="15">
        <v>4002070</v>
      </c>
      <c r="B2338" s="52">
        <v>1</v>
      </c>
    </row>
    <row r="2339" spans="1:2" x14ac:dyDescent="0.35">
      <c r="A2339" s="15">
        <v>4002088</v>
      </c>
      <c r="B2339" s="52">
        <v>1</v>
      </c>
    </row>
    <row r="2340" spans="1:2" x14ac:dyDescent="0.35">
      <c r="A2340" s="15">
        <v>4002109</v>
      </c>
      <c r="B2340" s="52">
        <v>1</v>
      </c>
    </row>
    <row r="2341" spans="1:2" x14ac:dyDescent="0.35">
      <c r="A2341" s="15">
        <v>4002116</v>
      </c>
      <c r="B2341" s="52">
        <v>1</v>
      </c>
    </row>
    <row r="2342" spans="1:2" x14ac:dyDescent="0.35">
      <c r="A2342" s="15">
        <v>4002133</v>
      </c>
      <c r="B2342" s="52">
        <v>1</v>
      </c>
    </row>
    <row r="2343" spans="1:2" x14ac:dyDescent="0.35">
      <c r="A2343" s="15">
        <v>4002140</v>
      </c>
      <c r="B2343" s="52">
        <v>1</v>
      </c>
    </row>
    <row r="2344" spans="1:2" x14ac:dyDescent="0.35">
      <c r="A2344" s="15">
        <v>4002160</v>
      </c>
      <c r="B2344" s="52">
        <v>1</v>
      </c>
    </row>
    <row r="2345" spans="1:2" x14ac:dyDescent="0.35">
      <c r="A2345" s="15">
        <v>4002170</v>
      </c>
      <c r="B2345" s="52">
        <v>1</v>
      </c>
    </row>
    <row r="2346" spans="1:2" x14ac:dyDescent="0.35">
      <c r="A2346" s="15">
        <v>4002182</v>
      </c>
      <c r="B2346" s="52">
        <v>1</v>
      </c>
    </row>
    <row r="2347" spans="1:2" x14ac:dyDescent="0.35">
      <c r="A2347" s="15">
        <v>4002183</v>
      </c>
      <c r="B2347" s="52">
        <v>1</v>
      </c>
    </row>
    <row r="2348" spans="1:2" x14ac:dyDescent="0.35">
      <c r="A2348" s="15">
        <v>4002184</v>
      </c>
      <c r="B2348" s="52">
        <v>1</v>
      </c>
    </row>
    <row r="2349" spans="1:2" x14ac:dyDescent="0.35">
      <c r="A2349" s="15">
        <v>4002244</v>
      </c>
      <c r="B2349" s="52">
        <v>1</v>
      </c>
    </row>
    <row r="2350" spans="1:2" x14ac:dyDescent="0.35">
      <c r="A2350" s="15">
        <v>4002245</v>
      </c>
      <c r="B2350" s="52">
        <v>1</v>
      </c>
    </row>
    <row r="2351" spans="1:2" x14ac:dyDescent="0.35">
      <c r="A2351" s="15">
        <v>4002246</v>
      </c>
      <c r="B2351" s="52">
        <v>1</v>
      </c>
    </row>
    <row r="2352" spans="1:2" x14ac:dyDescent="0.35">
      <c r="A2352" s="15">
        <v>4002247</v>
      </c>
      <c r="B2352" s="52">
        <v>1</v>
      </c>
    </row>
    <row r="2353" spans="1:2" x14ac:dyDescent="0.35">
      <c r="A2353" s="15">
        <v>4002248</v>
      </c>
      <c r="B2353" s="52">
        <v>1</v>
      </c>
    </row>
    <row r="2354" spans="1:2" x14ac:dyDescent="0.35">
      <c r="A2354" s="15">
        <v>4002249</v>
      </c>
      <c r="B2354" s="52">
        <v>1</v>
      </c>
    </row>
    <row r="2355" spans="1:2" x14ac:dyDescent="0.35">
      <c r="A2355" s="15">
        <v>4002250</v>
      </c>
      <c r="B2355" s="52">
        <v>1</v>
      </c>
    </row>
    <row r="2356" spans="1:2" x14ac:dyDescent="0.35">
      <c r="A2356" s="15">
        <v>4002251</v>
      </c>
      <c r="B2356" s="52">
        <v>1</v>
      </c>
    </row>
    <row r="2357" spans="1:2" x14ac:dyDescent="0.35">
      <c r="A2357" s="15">
        <v>4002252</v>
      </c>
      <c r="B2357" s="52">
        <v>1</v>
      </c>
    </row>
    <row r="2358" spans="1:2" x14ac:dyDescent="0.35">
      <c r="A2358" s="15">
        <v>4002253</v>
      </c>
      <c r="B2358" s="52">
        <v>1</v>
      </c>
    </row>
    <row r="2359" spans="1:2" x14ac:dyDescent="0.35">
      <c r="A2359" s="15">
        <v>4002254</v>
      </c>
      <c r="B2359" s="52">
        <v>1</v>
      </c>
    </row>
    <row r="2360" spans="1:2" x14ac:dyDescent="0.35">
      <c r="A2360" s="15">
        <v>4002255</v>
      </c>
      <c r="B2360" s="52">
        <v>1</v>
      </c>
    </row>
    <row r="2361" spans="1:2" x14ac:dyDescent="0.35">
      <c r="A2361" s="15">
        <v>4002256</v>
      </c>
      <c r="B2361" s="52">
        <v>1</v>
      </c>
    </row>
    <row r="2362" spans="1:2" x14ac:dyDescent="0.35">
      <c r="A2362" s="15">
        <v>4002257</v>
      </c>
      <c r="B2362" s="52">
        <v>1</v>
      </c>
    </row>
    <row r="2363" spans="1:2" x14ac:dyDescent="0.35">
      <c r="A2363" s="15">
        <v>4002258</v>
      </c>
      <c r="B2363" s="52">
        <v>1</v>
      </c>
    </row>
    <row r="2364" spans="1:2" x14ac:dyDescent="0.35">
      <c r="A2364" s="15">
        <v>4002259</v>
      </c>
      <c r="B2364" s="52">
        <v>1</v>
      </c>
    </row>
    <row r="2365" spans="1:2" x14ac:dyDescent="0.35">
      <c r="A2365" s="15">
        <v>4002260</v>
      </c>
      <c r="B2365" s="52">
        <v>1</v>
      </c>
    </row>
    <row r="2366" spans="1:2" x14ac:dyDescent="0.35">
      <c r="A2366" s="15">
        <v>4002261</v>
      </c>
      <c r="B2366" s="52">
        <v>1</v>
      </c>
    </row>
    <row r="2367" spans="1:2" x14ac:dyDescent="0.35">
      <c r="A2367" s="15">
        <v>4002262</v>
      </c>
      <c r="B2367" s="52">
        <v>1</v>
      </c>
    </row>
    <row r="2368" spans="1:2" x14ac:dyDescent="0.35">
      <c r="A2368" s="15">
        <v>4002263</v>
      </c>
      <c r="B2368" s="52">
        <v>1</v>
      </c>
    </row>
    <row r="2369" spans="1:2" x14ac:dyDescent="0.35">
      <c r="A2369" s="15">
        <v>4002264</v>
      </c>
      <c r="B2369" s="52">
        <v>1</v>
      </c>
    </row>
    <row r="2370" spans="1:2" x14ac:dyDescent="0.35">
      <c r="A2370" s="15">
        <v>4002265</v>
      </c>
      <c r="B2370" s="52">
        <v>1</v>
      </c>
    </row>
    <row r="2371" spans="1:2" x14ac:dyDescent="0.35">
      <c r="A2371" s="15">
        <v>4002266</v>
      </c>
      <c r="B2371" s="52">
        <v>1</v>
      </c>
    </row>
    <row r="2372" spans="1:2" x14ac:dyDescent="0.35">
      <c r="A2372" s="15">
        <v>4002267</v>
      </c>
      <c r="B2372" s="52">
        <v>1</v>
      </c>
    </row>
    <row r="2373" spans="1:2" x14ac:dyDescent="0.35">
      <c r="A2373" s="15">
        <v>4002268</v>
      </c>
      <c r="B2373" s="52">
        <v>1</v>
      </c>
    </row>
    <row r="2374" spans="1:2" x14ac:dyDescent="0.35">
      <c r="A2374" s="15">
        <v>4002269</v>
      </c>
      <c r="B2374" s="52">
        <v>1</v>
      </c>
    </row>
    <row r="2375" spans="1:2" x14ac:dyDescent="0.35">
      <c r="A2375" s="15">
        <v>4002270</v>
      </c>
      <c r="B2375" s="52">
        <v>1</v>
      </c>
    </row>
    <row r="2376" spans="1:2" x14ac:dyDescent="0.35">
      <c r="A2376" s="15">
        <v>4002271</v>
      </c>
      <c r="B2376" s="52">
        <v>1</v>
      </c>
    </row>
    <row r="2377" spans="1:2" x14ac:dyDescent="0.35">
      <c r="A2377" s="15">
        <v>4002272</v>
      </c>
      <c r="B2377" s="52">
        <v>1</v>
      </c>
    </row>
    <row r="2378" spans="1:2" x14ac:dyDescent="0.35">
      <c r="A2378" s="15">
        <v>4002273</v>
      </c>
      <c r="B2378" s="52">
        <v>1</v>
      </c>
    </row>
    <row r="2379" spans="1:2" x14ac:dyDescent="0.35">
      <c r="A2379" s="15">
        <v>4002274</v>
      </c>
      <c r="B2379" s="52">
        <v>1</v>
      </c>
    </row>
    <row r="2380" spans="1:2" x14ac:dyDescent="0.35">
      <c r="A2380" s="15">
        <v>4002275</v>
      </c>
      <c r="B2380" s="52">
        <v>1</v>
      </c>
    </row>
    <row r="2381" spans="1:2" x14ac:dyDescent="0.35">
      <c r="A2381" s="15">
        <v>4002276</v>
      </c>
      <c r="B2381" s="52">
        <v>1</v>
      </c>
    </row>
    <row r="2382" spans="1:2" x14ac:dyDescent="0.35">
      <c r="A2382" s="15">
        <v>4002277</v>
      </c>
      <c r="B2382" s="52">
        <v>1</v>
      </c>
    </row>
    <row r="2383" spans="1:2" x14ac:dyDescent="0.35">
      <c r="A2383" s="15">
        <v>4002278</v>
      </c>
      <c r="B2383" s="52">
        <v>1</v>
      </c>
    </row>
    <row r="2384" spans="1:2" x14ac:dyDescent="0.35">
      <c r="A2384" s="15">
        <v>4002279</v>
      </c>
      <c r="B2384" s="52">
        <v>1</v>
      </c>
    </row>
    <row r="2385" spans="1:2" x14ac:dyDescent="0.35">
      <c r="A2385" s="15">
        <v>4002280</v>
      </c>
      <c r="B2385" s="52">
        <v>1</v>
      </c>
    </row>
    <row r="2386" spans="1:2" x14ac:dyDescent="0.35">
      <c r="A2386" s="15">
        <v>4002281</v>
      </c>
      <c r="B2386" s="52">
        <v>1</v>
      </c>
    </row>
    <row r="2387" spans="1:2" x14ac:dyDescent="0.35">
      <c r="A2387" s="15">
        <v>4002282</v>
      </c>
      <c r="B2387" s="52">
        <v>1</v>
      </c>
    </row>
    <row r="2388" spans="1:2" x14ac:dyDescent="0.35">
      <c r="A2388" s="15">
        <v>4002283</v>
      </c>
      <c r="B2388" s="52">
        <v>1</v>
      </c>
    </row>
    <row r="2389" spans="1:2" x14ac:dyDescent="0.35">
      <c r="A2389" s="15">
        <v>4002284</v>
      </c>
      <c r="B2389" s="52">
        <v>1</v>
      </c>
    </row>
    <row r="2390" spans="1:2" x14ac:dyDescent="0.35">
      <c r="A2390" s="15">
        <v>4002285</v>
      </c>
      <c r="B2390" s="52">
        <v>1</v>
      </c>
    </row>
    <row r="2391" spans="1:2" x14ac:dyDescent="0.35">
      <c r="A2391" s="15">
        <v>4002286</v>
      </c>
      <c r="B2391" s="52">
        <v>1</v>
      </c>
    </row>
    <row r="2392" spans="1:2" x14ac:dyDescent="0.35">
      <c r="A2392" s="15">
        <v>4002287</v>
      </c>
      <c r="B2392" s="52">
        <v>1</v>
      </c>
    </row>
    <row r="2393" spans="1:2" x14ac:dyDescent="0.35">
      <c r="A2393" s="15">
        <v>4002288</v>
      </c>
      <c r="B2393" s="52">
        <v>1</v>
      </c>
    </row>
    <row r="2394" spans="1:2" x14ac:dyDescent="0.35">
      <c r="A2394" s="15">
        <v>4002289</v>
      </c>
      <c r="B2394" s="52">
        <v>1</v>
      </c>
    </row>
    <row r="2395" spans="1:2" x14ac:dyDescent="0.35">
      <c r="A2395" s="15">
        <v>4002290</v>
      </c>
      <c r="B2395" s="52">
        <v>1</v>
      </c>
    </row>
    <row r="2396" spans="1:2" x14ac:dyDescent="0.35">
      <c r="A2396" s="15">
        <v>4002291</v>
      </c>
      <c r="B2396" s="52">
        <v>1</v>
      </c>
    </row>
    <row r="2397" spans="1:2" x14ac:dyDescent="0.35">
      <c r="A2397" s="15">
        <v>4002300</v>
      </c>
      <c r="B2397" s="52">
        <v>1</v>
      </c>
    </row>
    <row r="2398" spans="1:2" x14ac:dyDescent="0.35">
      <c r="A2398" s="15">
        <v>4002308</v>
      </c>
      <c r="B2398" s="52">
        <v>1</v>
      </c>
    </row>
    <row r="2399" spans="1:2" x14ac:dyDescent="0.35">
      <c r="A2399" s="15">
        <v>4002316</v>
      </c>
      <c r="B2399" s="52">
        <v>1</v>
      </c>
    </row>
    <row r="2400" spans="1:2" x14ac:dyDescent="0.35">
      <c r="A2400" s="15">
        <v>4002320</v>
      </c>
      <c r="B2400" s="52">
        <v>1</v>
      </c>
    </row>
    <row r="2401" spans="1:2" x14ac:dyDescent="0.35">
      <c r="A2401" s="15">
        <v>4002321</v>
      </c>
      <c r="B2401" s="52">
        <v>1</v>
      </c>
    </row>
    <row r="2402" spans="1:2" x14ac:dyDescent="0.35">
      <c r="A2402" s="15">
        <v>4002349</v>
      </c>
      <c r="B2402" s="52">
        <v>1</v>
      </c>
    </row>
    <row r="2403" spans="1:2" x14ac:dyDescent="0.35">
      <c r="A2403" s="15">
        <v>4002455</v>
      </c>
      <c r="B2403" s="52">
        <v>1</v>
      </c>
    </row>
    <row r="2404" spans="1:2" x14ac:dyDescent="0.35">
      <c r="A2404" s="15">
        <v>4002459</v>
      </c>
      <c r="B2404" s="52">
        <v>1</v>
      </c>
    </row>
    <row r="2405" spans="1:2" x14ac:dyDescent="0.35">
      <c r="A2405" s="15">
        <v>4002460</v>
      </c>
      <c r="B2405" s="52">
        <v>1</v>
      </c>
    </row>
    <row r="2406" spans="1:2" x14ac:dyDescent="0.35">
      <c r="A2406" s="15">
        <v>4002517</v>
      </c>
      <c r="B2406" s="52">
        <v>1</v>
      </c>
    </row>
    <row r="2407" spans="1:2" x14ac:dyDescent="0.35">
      <c r="A2407" s="15">
        <v>4002518</v>
      </c>
      <c r="B2407" s="52">
        <v>1</v>
      </c>
    </row>
    <row r="2408" spans="1:2" x14ac:dyDescent="0.35">
      <c r="A2408" s="15">
        <v>4002535</v>
      </c>
      <c r="B2408" s="52">
        <v>1</v>
      </c>
    </row>
    <row r="2409" spans="1:2" x14ac:dyDescent="0.35">
      <c r="A2409" s="15">
        <v>4002543</v>
      </c>
      <c r="B2409" s="52">
        <v>1</v>
      </c>
    </row>
    <row r="2410" spans="1:2" x14ac:dyDescent="0.35">
      <c r="A2410" s="15">
        <v>4002547</v>
      </c>
      <c r="B2410" s="52">
        <v>1</v>
      </c>
    </row>
    <row r="2411" spans="1:2" x14ac:dyDescent="0.35">
      <c r="A2411" s="15">
        <v>4002552</v>
      </c>
      <c r="B2411" s="52">
        <v>1</v>
      </c>
    </row>
    <row r="2412" spans="1:2" x14ac:dyDescent="0.35">
      <c r="A2412" s="15">
        <v>4002553</v>
      </c>
      <c r="B2412" s="52">
        <v>1</v>
      </c>
    </row>
    <row r="2413" spans="1:2" x14ac:dyDescent="0.35">
      <c r="A2413" s="15">
        <v>4002576</v>
      </c>
      <c r="B2413" s="52">
        <v>1</v>
      </c>
    </row>
    <row r="2414" spans="1:2" x14ac:dyDescent="0.35">
      <c r="A2414" s="15">
        <v>4002583</v>
      </c>
      <c r="B2414" s="52">
        <v>1</v>
      </c>
    </row>
    <row r="2415" spans="1:2" x14ac:dyDescent="0.35">
      <c r="A2415" s="15">
        <v>4002652</v>
      </c>
      <c r="B2415" s="52">
        <v>1</v>
      </c>
    </row>
    <row r="2416" spans="1:2" x14ac:dyDescent="0.35">
      <c r="A2416" s="15">
        <v>4002666</v>
      </c>
      <c r="B2416" s="52">
        <v>1</v>
      </c>
    </row>
    <row r="2417" spans="1:2" x14ac:dyDescent="0.35">
      <c r="A2417" s="15">
        <v>4002673</v>
      </c>
      <c r="B2417" s="52">
        <v>1</v>
      </c>
    </row>
    <row r="2418" spans="1:2" x14ac:dyDescent="0.35">
      <c r="A2418" s="15">
        <v>4020028</v>
      </c>
      <c r="B2418" s="52">
        <v>1</v>
      </c>
    </row>
    <row r="2419" spans="1:2" x14ac:dyDescent="0.35">
      <c r="A2419" s="15">
        <v>4020029</v>
      </c>
      <c r="B2419" s="52">
        <v>1</v>
      </c>
    </row>
    <row r="2420" spans="1:2" x14ac:dyDescent="0.35">
      <c r="A2420" s="15">
        <v>4020030</v>
      </c>
      <c r="B2420" s="52">
        <v>1</v>
      </c>
    </row>
    <row r="2421" spans="1:2" x14ac:dyDescent="0.35">
      <c r="A2421" s="15">
        <v>4020031</v>
      </c>
      <c r="B2421" s="52">
        <v>1</v>
      </c>
    </row>
    <row r="2422" spans="1:2" x14ac:dyDescent="0.35">
      <c r="A2422" s="15">
        <v>4020045</v>
      </c>
      <c r="B2422" s="52">
        <v>1</v>
      </c>
    </row>
    <row r="2423" spans="1:2" x14ac:dyDescent="0.35">
      <c r="A2423" s="15">
        <v>4020046</v>
      </c>
      <c r="B2423" s="52">
        <v>1</v>
      </c>
    </row>
    <row r="2424" spans="1:2" x14ac:dyDescent="0.35">
      <c r="A2424" s="15">
        <v>4020049</v>
      </c>
      <c r="B2424" s="52">
        <v>1</v>
      </c>
    </row>
    <row r="2425" spans="1:2" x14ac:dyDescent="0.35">
      <c r="A2425" s="15">
        <v>4020080</v>
      </c>
      <c r="B2425" s="52">
        <v>1</v>
      </c>
    </row>
    <row r="2426" spans="1:2" x14ac:dyDescent="0.35">
      <c r="A2426" s="15">
        <v>4020082</v>
      </c>
      <c r="B2426" s="52">
        <v>1</v>
      </c>
    </row>
    <row r="2427" spans="1:2" x14ac:dyDescent="0.35">
      <c r="A2427" s="15">
        <v>4020127</v>
      </c>
      <c r="B2427" s="52">
        <v>1</v>
      </c>
    </row>
    <row r="2428" spans="1:2" x14ac:dyDescent="0.35">
      <c r="A2428" s="15">
        <v>4020137</v>
      </c>
      <c r="B2428" s="52">
        <v>1</v>
      </c>
    </row>
    <row r="2429" spans="1:2" x14ac:dyDescent="0.35">
      <c r="A2429" s="15">
        <v>4020154</v>
      </c>
      <c r="B2429" s="52">
        <v>1</v>
      </c>
    </row>
    <row r="2430" spans="1:2" x14ac:dyDescent="0.35">
      <c r="A2430" s="15">
        <v>4020155</v>
      </c>
      <c r="B2430" s="52">
        <v>1</v>
      </c>
    </row>
    <row r="2431" spans="1:2" x14ac:dyDescent="0.35">
      <c r="A2431" s="15">
        <v>4040304</v>
      </c>
      <c r="B2431" s="52">
        <v>1</v>
      </c>
    </row>
    <row r="2432" spans="1:2" x14ac:dyDescent="0.35">
      <c r="A2432" s="15">
        <v>4100887</v>
      </c>
      <c r="B2432" s="52">
        <v>1</v>
      </c>
    </row>
    <row r="2433" spans="1:2" x14ac:dyDescent="0.35">
      <c r="A2433" s="15">
        <v>4102188</v>
      </c>
      <c r="B2433" s="52">
        <v>1</v>
      </c>
    </row>
    <row r="2434" spans="1:2" x14ac:dyDescent="0.35">
      <c r="A2434" s="15">
        <v>4102405</v>
      </c>
      <c r="B2434" s="52">
        <v>1</v>
      </c>
    </row>
    <row r="2435" spans="1:2" x14ac:dyDescent="0.35">
      <c r="A2435" s="15">
        <v>4146733</v>
      </c>
      <c r="B2435" s="52">
        <v>1</v>
      </c>
    </row>
    <row r="2436" spans="1:2" x14ac:dyDescent="0.35">
      <c r="A2436" s="15">
        <v>6600510</v>
      </c>
      <c r="B2436" s="52">
        <v>1</v>
      </c>
    </row>
    <row r="2437" spans="1:2" x14ac:dyDescent="0.35">
      <c r="A2437" s="15">
        <v>6602010</v>
      </c>
      <c r="B2437" s="52">
        <v>1</v>
      </c>
    </row>
    <row r="2438" spans="1:2" x14ac:dyDescent="0.35">
      <c r="A2438" s="15">
        <v>6602040</v>
      </c>
      <c r="B2438" s="52">
        <v>1</v>
      </c>
    </row>
    <row r="2439" spans="1:2" x14ac:dyDescent="0.35">
      <c r="A2439" s="15">
        <v>6602540</v>
      </c>
      <c r="B2439" s="52">
        <v>1</v>
      </c>
    </row>
    <row r="2440" spans="1:2" x14ac:dyDescent="0.35">
      <c r="A2440" s="15">
        <v>6603040</v>
      </c>
      <c r="B2440" s="52">
        <v>1</v>
      </c>
    </row>
    <row r="2441" spans="1:2" x14ac:dyDescent="0.35">
      <c r="A2441" s="15">
        <v>6604010</v>
      </c>
      <c r="B2441" s="52">
        <v>1</v>
      </c>
    </row>
    <row r="2442" spans="1:2" x14ac:dyDescent="0.35">
      <c r="A2442" s="15">
        <v>6604040</v>
      </c>
      <c r="B2442" s="52">
        <v>1</v>
      </c>
    </row>
    <row r="2443" spans="1:2" x14ac:dyDescent="0.35">
      <c r="A2443" s="15">
        <v>6605040</v>
      </c>
      <c r="B2443" s="52">
        <v>1</v>
      </c>
    </row>
    <row r="2444" spans="1:2" x14ac:dyDescent="0.35">
      <c r="A2444" s="15">
        <v>6606040</v>
      </c>
      <c r="B2444" s="52">
        <v>1</v>
      </c>
    </row>
    <row r="2445" spans="1:2" x14ac:dyDescent="0.35">
      <c r="A2445" s="15">
        <v>6608000</v>
      </c>
      <c r="B2445" s="52">
        <v>1</v>
      </c>
    </row>
    <row r="2446" spans="1:2" x14ac:dyDescent="0.35">
      <c r="A2446" s="15">
        <v>6608010</v>
      </c>
      <c r="B2446" s="52">
        <v>1</v>
      </c>
    </row>
    <row r="2447" spans="1:2" x14ac:dyDescent="0.35">
      <c r="A2447" s="15">
        <v>6608040</v>
      </c>
      <c r="B2447" s="52">
        <v>1</v>
      </c>
    </row>
    <row r="2448" spans="1:2" x14ac:dyDescent="0.35">
      <c r="A2448" s="15">
        <v>6610000</v>
      </c>
      <c r="B2448" s="52">
        <v>1</v>
      </c>
    </row>
    <row r="2449" spans="1:2" x14ac:dyDescent="0.35">
      <c r="A2449" s="15">
        <v>6610030</v>
      </c>
      <c r="B2449" s="52">
        <v>1</v>
      </c>
    </row>
    <row r="2450" spans="1:2" x14ac:dyDescent="0.35">
      <c r="A2450" s="15">
        <v>6610040</v>
      </c>
      <c r="B2450" s="52">
        <v>1</v>
      </c>
    </row>
    <row r="2451" spans="1:2" x14ac:dyDescent="0.35">
      <c r="A2451" s="15">
        <v>6612010</v>
      </c>
      <c r="B2451" s="52">
        <v>1</v>
      </c>
    </row>
    <row r="2452" spans="1:2" x14ac:dyDescent="0.35">
      <c r="A2452" s="15">
        <v>6612040</v>
      </c>
      <c r="B2452" s="52">
        <v>1</v>
      </c>
    </row>
    <row r="2453" spans="1:2" x14ac:dyDescent="0.35">
      <c r="A2453" s="15">
        <v>6612740</v>
      </c>
      <c r="B2453" s="52">
        <v>1</v>
      </c>
    </row>
    <row r="2454" spans="1:2" x14ac:dyDescent="0.35">
      <c r="A2454" s="15">
        <v>6614000</v>
      </c>
      <c r="B2454" s="52">
        <v>1</v>
      </c>
    </row>
    <row r="2455" spans="1:2" x14ac:dyDescent="0.35">
      <c r="A2455" s="15">
        <v>6614010</v>
      </c>
      <c r="B2455" s="52">
        <v>1</v>
      </c>
    </row>
    <row r="2456" spans="1:2" x14ac:dyDescent="0.35">
      <c r="A2456" s="15">
        <v>7025554</v>
      </c>
      <c r="B2456" s="52">
        <v>1</v>
      </c>
    </row>
    <row r="2457" spans="1:2" x14ac:dyDescent="0.35">
      <c r="A2457" s="15">
        <v>7025654</v>
      </c>
      <c r="B2457" s="52">
        <v>1</v>
      </c>
    </row>
    <row r="2458" spans="1:2" x14ac:dyDescent="0.35">
      <c r="A2458" s="15">
        <v>7025918</v>
      </c>
      <c r="B2458" s="52">
        <v>1</v>
      </c>
    </row>
    <row r="2459" spans="1:2" x14ac:dyDescent="0.35">
      <c r="A2459" s="15">
        <v>7025935</v>
      </c>
      <c r="B2459" s="52">
        <v>1</v>
      </c>
    </row>
    <row r="2460" spans="1:2" x14ac:dyDescent="0.35">
      <c r="A2460" s="15">
        <v>7025960</v>
      </c>
      <c r="B2460" s="52">
        <v>1</v>
      </c>
    </row>
    <row r="2461" spans="1:2" x14ac:dyDescent="0.35">
      <c r="A2461" s="15">
        <v>91001180</v>
      </c>
      <c r="B2461" s="52">
        <v>1</v>
      </c>
    </row>
    <row r="2462" spans="1:2" x14ac:dyDescent="0.35">
      <c r="A2462" s="15">
        <v>91005340</v>
      </c>
      <c r="B2462" s="52">
        <v>1</v>
      </c>
    </row>
    <row r="2463" spans="1:2" x14ac:dyDescent="0.35">
      <c r="A2463" s="15">
        <v>91009940</v>
      </c>
      <c r="B2463" s="52">
        <v>1</v>
      </c>
    </row>
    <row r="2464" spans="1:2" x14ac:dyDescent="0.35">
      <c r="A2464" s="15">
        <v>91010000</v>
      </c>
      <c r="B2464" s="52">
        <v>1</v>
      </c>
    </row>
    <row r="2465" spans="1:2" x14ac:dyDescent="0.35">
      <c r="A2465" s="15">
        <v>91011300</v>
      </c>
      <c r="B2465" s="52">
        <v>1</v>
      </c>
    </row>
    <row r="2466" spans="1:2" x14ac:dyDescent="0.35">
      <c r="A2466" s="15">
        <v>91300430</v>
      </c>
      <c r="B2466" s="52">
        <v>1</v>
      </c>
    </row>
    <row r="2467" spans="1:2" x14ac:dyDescent="0.35">
      <c r="A2467" s="15">
        <v>91300870</v>
      </c>
      <c r="B2467" s="52">
        <v>1</v>
      </c>
    </row>
    <row r="2468" spans="1:2" x14ac:dyDescent="0.35">
      <c r="A2468" s="15">
        <v>91302340</v>
      </c>
      <c r="B2468" s="52">
        <v>1</v>
      </c>
    </row>
    <row r="2469" spans="1:2" x14ac:dyDescent="0.35">
      <c r="A2469" s="15">
        <v>91303060</v>
      </c>
      <c r="B2469" s="52">
        <v>1</v>
      </c>
    </row>
    <row r="2470" spans="1:2" x14ac:dyDescent="0.35">
      <c r="A2470" s="15">
        <v>91303510</v>
      </c>
      <c r="B2470" s="52">
        <v>1</v>
      </c>
    </row>
    <row r="2471" spans="1:2" x14ac:dyDescent="0.35">
      <c r="A2471" s="15">
        <v>93026130</v>
      </c>
      <c r="B2471" s="52">
        <v>1</v>
      </c>
    </row>
    <row r="2472" spans="1:2" x14ac:dyDescent="0.35">
      <c r="A2472" s="15">
        <v>93028300</v>
      </c>
      <c r="B2472" s="52">
        <v>1</v>
      </c>
    </row>
    <row r="2473" spans="1:2" x14ac:dyDescent="0.35">
      <c r="A2473" s="15">
        <v>93600270</v>
      </c>
      <c r="B2473" s="52">
        <v>1</v>
      </c>
    </row>
    <row r="2474" spans="1:2" x14ac:dyDescent="0.35">
      <c r="A2474" s="15">
        <v>93600600</v>
      </c>
      <c r="B2474" s="52">
        <v>1</v>
      </c>
    </row>
    <row r="2475" spans="1:2" x14ac:dyDescent="0.35">
      <c r="A2475" s="15">
        <v>93601030</v>
      </c>
      <c r="B2475" s="52">
        <v>1</v>
      </c>
    </row>
    <row r="2476" spans="1:2" x14ac:dyDescent="0.35">
      <c r="A2476" s="15">
        <v>93601280</v>
      </c>
      <c r="B2476" s="52">
        <v>1</v>
      </c>
    </row>
    <row r="2477" spans="1:2" x14ac:dyDescent="0.35">
      <c r="A2477" s="15">
        <v>95005480</v>
      </c>
      <c r="B2477" s="52">
        <v>1</v>
      </c>
    </row>
    <row r="2478" spans="1:2" x14ac:dyDescent="0.35">
      <c r="A2478" s="15">
        <v>95007460</v>
      </c>
      <c r="B2478" s="52">
        <v>1</v>
      </c>
    </row>
    <row r="2479" spans="1:2" x14ac:dyDescent="0.35">
      <c r="A2479" s="15">
        <v>95106680</v>
      </c>
      <c r="B2479" s="52">
        <v>1</v>
      </c>
    </row>
    <row r="2480" spans="1:2" x14ac:dyDescent="0.35">
      <c r="A2480" s="15">
        <v>95107160</v>
      </c>
      <c r="B2480" s="52">
        <v>1</v>
      </c>
    </row>
    <row r="2481" spans="1:2" x14ac:dyDescent="0.35">
      <c r="A2481" s="15">
        <v>302004319</v>
      </c>
      <c r="B2481" s="52">
        <v>1</v>
      </c>
    </row>
    <row r="2482" spans="1:2" x14ac:dyDescent="0.35">
      <c r="A2482" s="15">
        <v>302041489</v>
      </c>
      <c r="B2482" s="52">
        <v>1</v>
      </c>
    </row>
    <row r="2483" spans="1:2" x14ac:dyDescent="0.35">
      <c r="A2483" s="15">
        <v>800000048</v>
      </c>
      <c r="B2483" s="52">
        <v>1</v>
      </c>
    </row>
    <row r="2484" spans="1:2" x14ac:dyDescent="0.35">
      <c r="A2484" s="15">
        <v>800000069</v>
      </c>
      <c r="B2484" s="52">
        <v>1</v>
      </c>
    </row>
    <row r="2485" spans="1:2" x14ac:dyDescent="0.35">
      <c r="A2485" s="15">
        <v>800000209</v>
      </c>
      <c r="B2485" s="52">
        <v>1</v>
      </c>
    </row>
    <row r="2486" spans="1:2" x14ac:dyDescent="0.35">
      <c r="A2486" s="15">
        <v>800000253</v>
      </c>
      <c r="B2486" s="52">
        <v>1</v>
      </c>
    </row>
    <row r="2487" spans="1:2" x14ac:dyDescent="0.35">
      <c r="A2487" s="15">
        <v>800000276</v>
      </c>
      <c r="B2487" s="52">
        <v>1</v>
      </c>
    </row>
    <row r="2488" spans="1:2" x14ac:dyDescent="0.35">
      <c r="A2488" s="15">
        <v>800000313</v>
      </c>
      <c r="B2488" s="52">
        <v>1</v>
      </c>
    </row>
    <row r="2489" spans="1:2" x14ac:dyDescent="0.35">
      <c r="A2489" s="15">
        <v>800000327</v>
      </c>
      <c r="B2489" s="52">
        <v>1</v>
      </c>
    </row>
    <row r="2490" spans="1:2" x14ac:dyDescent="0.35">
      <c r="A2490" s="15">
        <v>800000378</v>
      </c>
      <c r="B2490" s="52">
        <v>1</v>
      </c>
    </row>
    <row r="2491" spans="1:2" x14ac:dyDescent="0.35">
      <c r="A2491" s="15">
        <v>800000399</v>
      </c>
      <c r="B2491" s="52">
        <v>1</v>
      </c>
    </row>
    <row r="2492" spans="1:2" x14ac:dyDescent="0.35">
      <c r="A2492" s="15">
        <v>800000478</v>
      </c>
      <c r="B2492" s="52">
        <v>1</v>
      </c>
    </row>
    <row r="2493" spans="1:2" x14ac:dyDescent="0.35">
      <c r="A2493" s="15">
        <v>800000559</v>
      </c>
      <c r="B2493" s="52">
        <v>1</v>
      </c>
    </row>
    <row r="2494" spans="1:2" x14ac:dyDescent="0.35">
      <c r="A2494" s="15">
        <v>800000567</v>
      </c>
      <c r="B2494" s="52">
        <v>1</v>
      </c>
    </row>
    <row r="2495" spans="1:2" x14ac:dyDescent="0.35">
      <c r="A2495" s="15">
        <v>800000602</v>
      </c>
      <c r="B2495" s="52">
        <v>1</v>
      </c>
    </row>
    <row r="2496" spans="1:2" x14ac:dyDescent="0.35">
      <c r="A2496" s="15">
        <v>800000677</v>
      </c>
      <c r="B2496" s="52">
        <v>1</v>
      </c>
    </row>
    <row r="2497" spans="1:2" x14ac:dyDescent="0.35">
      <c r="A2497" s="15">
        <v>800000693</v>
      </c>
      <c r="B2497" s="52">
        <v>1</v>
      </c>
    </row>
    <row r="2498" spans="1:2" x14ac:dyDescent="0.35">
      <c r="A2498" s="15">
        <v>800000705</v>
      </c>
      <c r="B2498" s="52">
        <v>1</v>
      </c>
    </row>
    <row r="2499" spans="1:2" x14ac:dyDescent="0.35">
      <c r="A2499" s="15">
        <v>800000727</v>
      </c>
      <c r="B2499" s="52">
        <v>1</v>
      </c>
    </row>
    <row r="2500" spans="1:2" x14ac:dyDescent="0.35">
      <c r="A2500" s="15">
        <v>800000790</v>
      </c>
      <c r="B2500" s="52">
        <v>1</v>
      </c>
    </row>
    <row r="2501" spans="1:2" x14ac:dyDescent="0.35">
      <c r="A2501" s="15">
        <v>800000932</v>
      </c>
      <c r="B2501" s="52">
        <v>1</v>
      </c>
    </row>
    <row r="2502" spans="1:2" x14ac:dyDescent="0.35">
      <c r="A2502" s="15">
        <v>800000934</v>
      </c>
      <c r="B2502" s="52">
        <v>1</v>
      </c>
    </row>
    <row r="2503" spans="1:2" x14ac:dyDescent="0.35">
      <c r="A2503" s="15">
        <v>800000935</v>
      </c>
      <c r="B2503" s="52">
        <v>1</v>
      </c>
    </row>
    <row r="2504" spans="1:2" x14ac:dyDescent="0.35">
      <c r="A2504" s="15">
        <v>800000984</v>
      </c>
      <c r="B2504" s="52">
        <v>1</v>
      </c>
    </row>
    <row r="2505" spans="1:2" x14ac:dyDescent="0.35">
      <c r="A2505" s="15">
        <v>800000985</v>
      </c>
      <c r="B2505" s="52">
        <v>1</v>
      </c>
    </row>
    <row r="2506" spans="1:2" x14ac:dyDescent="0.35">
      <c r="A2506" s="15">
        <v>800000991</v>
      </c>
      <c r="B2506" s="52">
        <v>1</v>
      </c>
    </row>
    <row r="2507" spans="1:2" x14ac:dyDescent="0.35">
      <c r="A2507" s="15">
        <v>800000992</v>
      </c>
      <c r="B2507" s="52">
        <v>1</v>
      </c>
    </row>
    <row r="2508" spans="1:2" x14ac:dyDescent="0.35">
      <c r="A2508" s="15">
        <v>800001030</v>
      </c>
      <c r="B2508" s="52">
        <v>1</v>
      </c>
    </row>
    <row r="2509" spans="1:2" x14ac:dyDescent="0.35">
      <c r="A2509" s="15">
        <v>800001130</v>
      </c>
      <c r="B2509" s="52">
        <v>1</v>
      </c>
    </row>
    <row r="2510" spans="1:2" x14ac:dyDescent="0.35">
      <c r="A2510" s="15">
        <v>800001168</v>
      </c>
      <c r="B2510" s="52">
        <v>1</v>
      </c>
    </row>
    <row r="2511" spans="1:2" x14ac:dyDescent="0.35">
      <c r="A2511" s="15">
        <v>800001169</v>
      </c>
      <c r="B2511" s="52">
        <v>1</v>
      </c>
    </row>
    <row r="2512" spans="1:2" x14ac:dyDescent="0.35">
      <c r="A2512" s="15">
        <v>800001214</v>
      </c>
      <c r="B2512" s="52">
        <v>1</v>
      </c>
    </row>
    <row r="2513" spans="1:2" x14ac:dyDescent="0.35">
      <c r="A2513" s="15">
        <v>800001231</v>
      </c>
      <c r="B2513" s="52">
        <v>1</v>
      </c>
    </row>
    <row r="2514" spans="1:2" x14ac:dyDescent="0.35">
      <c r="A2514" s="15">
        <v>800001268</v>
      </c>
      <c r="B2514" s="52">
        <v>1</v>
      </c>
    </row>
    <row r="2515" spans="1:2" x14ac:dyDescent="0.35">
      <c r="A2515" s="15">
        <v>800001269</v>
      </c>
      <c r="B2515" s="52">
        <v>1</v>
      </c>
    </row>
    <row r="2516" spans="1:2" x14ac:dyDescent="0.35">
      <c r="A2516" s="15">
        <v>800001282</v>
      </c>
      <c r="B2516" s="52">
        <v>1</v>
      </c>
    </row>
    <row r="2517" spans="1:2" x14ac:dyDescent="0.35">
      <c r="A2517" s="15">
        <v>800001297</v>
      </c>
      <c r="B2517" s="52">
        <v>1</v>
      </c>
    </row>
    <row r="2518" spans="1:2" x14ac:dyDescent="0.35">
      <c r="A2518" s="15">
        <v>800001314</v>
      </c>
      <c r="B2518" s="52">
        <v>1</v>
      </c>
    </row>
    <row r="2519" spans="1:2" x14ac:dyDescent="0.35">
      <c r="A2519" s="15">
        <v>800001315</v>
      </c>
      <c r="B2519" s="52">
        <v>1</v>
      </c>
    </row>
    <row r="2520" spans="1:2" x14ac:dyDescent="0.35">
      <c r="A2520" s="15">
        <v>800001329</v>
      </c>
      <c r="B2520" s="52">
        <v>1</v>
      </c>
    </row>
    <row r="2521" spans="1:2" x14ac:dyDescent="0.35">
      <c r="A2521" s="15">
        <v>800001341</v>
      </c>
      <c r="B2521" s="52">
        <v>1</v>
      </c>
    </row>
    <row r="2522" spans="1:2" x14ac:dyDescent="0.35">
      <c r="A2522" s="15">
        <v>800001367</v>
      </c>
      <c r="B2522" s="52">
        <v>1</v>
      </c>
    </row>
    <row r="2523" spans="1:2" x14ac:dyDescent="0.35">
      <c r="A2523" s="15">
        <v>800001379</v>
      </c>
      <c r="B2523" s="52">
        <v>1</v>
      </c>
    </row>
    <row r="2524" spans="1:2" x14ac:dyDescent="0.35">
      <c r="A2524" s="15">
        <v>800001380</v>
      </c>
      <c r="B2524" s="52">
        <v>1</v>
      </c>
    </row>
    <row r="2525" spans="1:2" x14ac:dyDescent="0.35">
      <c r="A2525" s="15">
        <v>800001381</v>
      </c>
      <c r="B2525" s="52">
        <v>1</v>
      </c>
    </row>
    <row r="2526" spans="1:2" x14ac:dyDescent="0.35">
      <c r="A2526" s="15">
        <v>800001413</v>
      </c>
      <c r="B2526" s="52">
        <v>1</v>
      </c>
    </row>
    <row r="2527" spans="1:2" x14ac:dyDescent="0.35">
      <c r="A2527" s="15">
        <v>800001419</v>
      </c>
      <c r="B2527" s="52">
        <v>1</v>
      </c>
    </row>
    <row r="2528" spans="1:2" x14ac:dyDescent="0.35">
      <c r="A2528" s="15">
        <v>800001477</v>
      </c>
      <c r="B2528" s="52">
        <v>1</v>
      </c>
    </row>
    <row r="2529" spans="1:2" x14ac:dyDescent="0.35">
      <c r="A2529" s="15">
        <v>800001501</v>
      </c>
      <c r="B2529" s="52">
        <v>1</v>
      </c>
    </row>
    <row r="2530" spans="1:2" x14ac:dyDescent="0.35">
      <c r="A2530" s="15">
        <v>800001502</v>
      </c>
      <c r="B2530" s="52">
        <v>1</v>
      </c>
    </row>
    <row r="2531" spans="1:2" x14ac:dyDescent="0.35">
      <c r="A2531" s="15">
        <v>800001529</v>
      </c>
      <c r="B2531" s="52">
        <v>1</v>
      </c>
    </row>
    <row r="2532" spans="1:2" x14ac:dyDescent="0.35">
      <c r="A2532" s="15">
        <v>800001544</v>
      </c>
      <c r="B2532" s="52">
        <v>1</v>
      </c>
    </row>
    <row r="2533" spans="1:2" x14ac:dyDescent="0.35">
      <c r="A2533" s="15">
        <v>800001607</v>
      </c>
      <c r="B2533" s="52">
        <v>1</v>
      </c>
    </row>
    <row r="2534" spans="1:2" x14ac:dyDescent="0.35">
      <c r="A2534" s="15">
        <v>800001623</v>
      </c>
      <c r="B2534" s="52">
        <v>1</v>
      </c>
    </row>
    <row r="2535" spans="1:2" x14ac:dyDescent="0.35">
      <c r="A2535" s="15">
        <v>800001627</v>
      </c>
      <c r="B2535" s="52">
        <v>1</v>
      </c>
    </row>
    <row r="2536" spans="1:2" x14ac:dyDescent="0.35">
      <c r="A2536" s="15">
        <v>800001662</v>
      </c>
      <c r="B2536" s="52">
        <v>1</v>
      </c>
    </row>
    <row r="2537" spans="1:2" x14ac:dyDescent="0.35">
      <c r="A2537" s="15">
        <v>800001665</v>
      </c>
      <c r="B2537" s="52">
        <v>1</v>
      </c>
    </row>
    <row r="2538" spans="1:2" x14ac:dyDescent="0.35">
      <c r="A2538" s="15">
        <v>800001689</v>
      </c>
      <c r="B2538" s="52">
        <v>1</v>
      </c>
    </row>
    <row r="2539" spans="1:2" x14ac:dyDescent="0.35">
      <c r="A2539" s="15">
        <v>800001690</v>
      </c>
      <c r="B2539" s="52">
        <v>1</v>
      </c>
    </row>
    <row r="2540" spans="1:2" x14ac:dyDescent="0.35">
      <c r="A2540" s="15">
        <v>800001691</v>
      </c>
      <c r="B2540" s="52">
        <v>1</v>
      </c>
    </row>
    <row r="2541" spans="1:2" x14ac:dyDescent="0.35">
      <c r="A2541" s="15">
        <v>800001693</v>
      </c>
      <c r="B2541" s="52">
        <v>1</v>
      </c>
    </row>
    <row r="2542" spans="1:2" x14ac:dyDescent="0.35">
      <c r="A2542" s="15">
        <v>800001694</v>
      </c>
      <c r="B2542" s="52">
        <v>1</v>
      </c>
    </row>
    <row r="2543" spans="1:2" x14ac:dyDescent="0.35">
      <c r="A2543" s="15">
        <v>800001695</v>
      </c>
      <c r="B2543" s="52">
        <v>1</v>
      </c>
    </row>
    <row r="2544" spans="1:2" x14ac:dyDescent="0.35">
      <c r="A2544" s="15">
        <v>800001697</v>
      </c>
      <c r="B2544" s="52">
        <v>1</v>
      </c>
    </row>
    <row r="2545" spans="1:2" x14ac:dyDescent="0.35">
      <c r="A2545" s="15">
        <v>800001698</v>
      </c>
      <c r="B2545" s="52">
        <v>1</v>
      </c>
    </row>
    <row r="2546" spans="1:2" x14ac:dyDescent="0.35">
      <c r="A2546" s="15">
        <v>800001699</v>
      </c>
      <c r="B2546" s="52">
        <v>1</v>
      </c>
    </row>
    <row r="2547" spans="1:2" x14ac:dyDescent="0.35">
      <c r="A2547" s="15">
        <v>800001700</v>
      </c>
      <c r="B2547" s="52">
        <v>1</v>
      </c>
    </row>
    <row r="2548" spans="1:2" x14ac:dyDescent="0.35">
      <c r="A2548" s="15">
        <v>800001702</v>
      </c>
      <c r="B2548" s="52">
        <v>1</v>
      </c>
    </row>
    <row r="2549" spans="1:2" x14ac:dyDescent="0.35">
      <c r="A2549" s="15">
        <v>800001704</v>
      </c>
      <c r="B2549" s="52">
        <v>1</v>
      </c>
    </row>
    <row r="2550" spans="1:2" x14ac:dyDescent="0.35">
      <c r="A2550" s="15">
        <v>800001707</v>
      </c>
      <c r="B2550" s="52">
        <v>1</v>
      </c>
    </row>
    <row r="2551" spans="1:2" x14ac:dyDescent="0.35">
      <c r="A2551" s="15">
        <v>800001708</v>
      </c>
      <c r="B2551" s="52">
        <v>1</v>
      </c>
    </row>
    <row r="2552" spans="1:2" x14ac:dyDescent="0.35">
      <c r="A2552" s="15">
        <v>800001709</v>
      </c>
      <c r="B2552" s="52">
        <v>1</v>
      </c>
    </row>
    <row r="2553" spans="1:2" x14ac:dyDescent="0.35">
      <c r="A2553" s="15">
        <v>800001714</v>
      </c>
      <c r="B2553" s="52">
        <v>1</v>
      </c>
    </row>
    <row r="2554" spans="1:2" x14ac:dyDescent="0.35">
      <c r="A2554" s="15">
        <v>800001727</v>
      </c>
      <c r="B2554" s="52">
        <v>1</v>
      </c>
    </row>
    <row r="2555" spans="1:2" x14ac:dyDescent="0.35">
      <c r="A2555" s="15">
        <v>800001729</v>
      </c>
      <c r="B2555" s="52">
        <v>1</v>
      </c>
    </row>
    <row r="2556" spans="1:2" x14ac:dyDescent="0.35">
      <c r="A2556" s="15">
        <v>800001735</v>
      </c>
      <c r="B2556" s="52">
        <v>1</v>
      </c>
    </row>
    <row r="2557" spans="1:2" x14ac:dyDescent="0.35">
      <c r="A2557" s="15">
        <v>800001736</v>
      </c>
      <c r="B2557" s="52">
        <v>1</v>
      </c>
    </row>
    <row r="2558" spans="1:2" x14ac:dyDescent="0.35">
      <c r="A2558" s="15">
        <v>800001737</v>
      </c>
      <c r="B2558" s="52">
        <v>1</v>
      </c>
    </row>
    <row r="2559" spans="1:2" x14ac:dyDescent="0.35">
      <c r="A2559" s="15">
        <v>800001738</v>
      </c>
      <c r="B2559" s="52">
        <v>1</v>
      </c>
    </row>
    <row r="2560" spans="1:2" x14ac:dyDescent="0.35">
      <c r="A2560" s="15">
        <v>800001741</v>
      </c>
      <c r="B2560" s="52">
        <v>1</v>
      </c>
    </row>
    <row r="2561" spans="1:2" x14ac:dyDescent="0.35">
      <c r="A2561" s="15">
        <v>800001745</v>
      </c>
      <c r="B2561" s="52">
        <v>1</v>
      </c>
    </row>
    <row r="2562" spans="1:2" x14ac:dyDescent="0.35">
      <c r="A2562" s="15">
        <v>800001746</v>
      </c>
      <c r="B2562" s="52">
        <v>1</v>
      </c>
    </row>
    <row r="2563" spans="1:2" x14ac:dyDescent="0.35">
      <c r="A2563" s="15">
        <v>800001747</v>
      </c>
      <c r="B2563" s="52">
        <v>1</v>
      </c>
    </row>
    <row r="2564" spans="1:2" x14ac:dyDescent="0.35">
      <c r="A2564" s="15">
        <v>800001753</v>
      </c>
      <c r="B2564" s="52">
        <v>1</v>
      </c>
    </row>
    <row r="2565" spans="1:2" x14ac:dyDescent="0.35">
      <c r="A2565" s="15">
        <v>800001756</v>
      </c>
      <c r="B2565" s="52">
        <v>1</v>
      </c>
    </row>
    <row r="2566" spans="1:2" x14ac:dyDescent="0.35">
      <c r="A2566" s="15">
        <v>800001777</v>
      </c>
      <c r="B2566" s="52">
        <v>1</v>
      </c>
    </row>
    <row r="2567" spans="1:2" x14ac:dyDescent="0.35">
      <c r="A2567" s="15">
        <v>800001779</v>
      </c>
      <c r="B2567" s="52">
        <v>1</v>
      </c>
    </row>
    <row r="2568" spans="1:2" x14ac:dyDescent="0.35">
      <c r="A2568" s="15">
        <v>800001784</v>
      </c>
      <c r="B2568" s="52">
        <v>1</v>
      </c>
    </row>
    <row r="2569" spans="1:2" x14ac:dyDescent="0.35">
      <c r="A2569" s="15">
        <v>800001786</v>
      </c>
      <c r="B2569" s="52">
        <v>1</v>
      </c>
    </row>
    <row r="2570" spans="1:2" x14ac:dyDescent="0.35">
      <c r="A2570" s="15">
        <v>800001846</v>
      </c>
      <c r="B2570" s="52">
        <v>1</v>
      </c>
    </row>
    <row r="2571" spans="1:2" x14ac:dyDescent="0.35">
      <c r="A2571" s="15">
        <v>800001850</v>
      </c>
      <c r="B2571" s="52">
        <v>1</v>
      </c>
    </row>
    <row r="2572" spans="1:2" x14ac:dyDescent="0.35">
      <c r="A2572" s="15">
        <v>800001868</v>
      </c>
      <c r="B2572" s="52">
        <v>1</v>
      </c>
    </row>
    <row r="2573" spans="1:2" x14ac:dyDescent="0.35">
      <c r="A2573" s="15">
        <v>800001869</v>
      </c>
      <c r="B2573" s="52">
        <v>1</v>
      </c>
    </row>
    <row r="2574" spans="1:2" x14ac:dyDescent="0.35">
      <c r="A2574" s="15">
        <v>800001876</v>
      </c>
      <c r="B2574" s="52">
        <v>1</v>
      </c>
    </row>
    <row r="2575" spans="1:2" x14ac:dyDescent="0.35">
      <c r="A2575" s="15">
        <v>800001887</v>
      </c>
      <c r="B2575" s="52">
        <v>1</v>
      </c>
    </row>
    <row r="2576" spans="1:2" x14ac:dyDescent="0.35">
      <c r="A2576" s="15">
        <v>800001888</v>
      </c>
      <c r="B2576" s="52">
        <v>1</v>
      </c>
    </row>
    <row r="2577" spans="1:2" x14ac:dyDescent="0.35">
      <c r="A2577" s="15">
        <v>800001891</v>
      </c>
      <c r="B2577" s="52">
        <v>1</v>
      </c>
    </row>
    <row r="2578" spans="1:2" x14ac:dyDescent="0.35">
      <c r="A2578" s="15">
        <v>800001904</v>
      </c>
      <c r="B2578" s="52">
        <v>1</v>
      </c>
    </row>
    <row r="2579" spans="1:2" x14ac:dyDescent="0.35">
      <c r="A2579" s="15">
        <v>800001905</v>
      </c>
      <c r="B2579" s="52">
        <v>1</v>
      </c>
    </row>
    <row r="2580" spans="1:2" x14ac:dyDescent="0.35">
      <c r="A2580" s="15">
        <v>800001906</v>
      </c>
      <c r="B2580" s="52">
        <v>1</v>
      </c>
    </row>
    <row r="2581" spans="1:2" x14ac:dyDescent="0.35">
      <c r="A2581" s="15">
        <v>800001907</v>
      </c>
      <c r="B2581" s="52">
        <v>1</v>
      </c>
    </row>
    <row r="2582" spans="1:2" x14ac:dyDescent="0.35">
      <c r="A2582" s="15">
        <v>800001908</v>
      </c>
      <c r="B2582" s="52">
        <v>1</v>
      </c>
    </row>
    <row r="2583" spans="1:2" x14ac:dyDescent="0.35">
      <c r="A2583" s="15">
        <v>800001909</v>
      </c>
      <c r="B2583" s="52">
        <v>1</v>
      </c>
    </row>
    <row r="2584" spans="1:2" x14ac:dyDescent="0.35">
      <c r="A2584" s="15">
        <v>800001910</v>
      </c>
      <c r="B2584" s="52">
        <v>1</v>
      </c>
    </row>
    <row r="2585" spans="1:2" x14ac:dyDescent="0.35">
      <c r="A2585" s="15">
        <v>800001911</v>
      </c>
      <c r="B2585" s="52">
        <v>1</v>
      </c>
    </row>
    <row r="2586" spans="1:2" x14ac:dyDescent="0.35">
      <c r="A2586" s="15">
        <v>800001912</v>
      </c>
      <c r="B2586" s="52">
        <v>1</v>
      </c>
    </row>
    <row r="2587" spans="1:2" x14ac:dyDescent="0.35">
      <c r="A2587" s="15">
        <v>800001913</v>
      </c>
      <c r="B2587" s="52">
        <v>1</v>
      </c>
    </row>
    <row r="2588" spans="1:2" x14ac:dyDescent="0.35">
      <c r="A2588" s="15">
        <v>800001914</v>
      </c>
      <c r="B2588" s="52">
        <v>1</v>
      </c>
    </row>
    <row r="2589" spans="1:2" x14ac:dyDescent="0.35">
      <c r="A2589" s="15">
        <v>800001915</v>
      </c>
      <c r="B2589" s="52">
        <v>1</v>
      </c>
    </row>
    <row r="2590" spans="1:2" x14ac:dyDescent="0.35">
      <c r="A2590" s="15">
        <v>800001916</v>
      </c>
      <c r="B2590" s="52">
        <v>1</v>
      </c>
    </row>
    <row r="2591" spans="1:2" x14ac:dyDescent="0.35">
      <c r="A2591" s="15">
        <v>800001917</v>
      </c>
      <c r="B2591" s="52">
        <v>1</v>
      </c>
    </row>
    <row r="2592" spans="1:2" x14ac:dyDescent="0.35">
      <c r="A2592" s="15">
        <v>800001919</v>
      </c>
      <c r="B2592" s="52">
        <v>1</v>
      </c>
    </row>
    <row r="2593" spans="1:2" x14ac:dyDescent="0.35">
      <c r="A2593" s="15">
        <v>800001942</v>
      </c>
      <c r="B2593" s="52">
        <v>1</v>
      </c>
    </row>
    <row r="2594" spans="1:2" x14ac:dyDescent="0.35">
      <c r="A2594" s="15">
        <v>800001960</v>
      </c>
      <c r="B2594" s="52">
        <v>1</v>
      </c>
    </row>
    <row r="2595" spans="1:2" x14ac:dyDescent="0.35">
      <c r="A2595" s="15">
        <v>800001971</v>
      </c>
      <c r="B2595" s="52">
        <v>1</v>
      </c>
    </row>
    <row r="2596" spans="1:2" x14ac:dyDescent="0.35">
      <c r="A2596" s="15">
        <v>800002014</v>
      </c>
      <c r="B2596" s="52">
        <v>1</v>
      </c>
    </row>
    <row r="2597" spans="1:2" x14ac:dyDescent="0.35">
      <c r="A2597" s="15">
        <v>800002052</v>
      </c>
      <c r="B2597" s="52">
        <v>1</v>
      </c>
    </row>
    <row r="2598" spans="1:2" x14ac:dyDescent="0.35">
      <c r="A2598" s="15">
        <v>800002090</v>
      </c>
      <c r="B2598" s="52">
        <v>1</v>
      </c>
    </row>
    <row r="2599" spans="1:2" x14ac:dyDescent="0.35">
      <c r="A2599" s="15">
        <v>800002156</v>
      </c>
      <c r="B2599" s="52">
        <v>1</v>
      </c>
    </row>
    <row r="2600" spans="1:2" x14ac:dyDescent="0.35">
      <c r="A2600" s="15">
        <v>800002161</v>
      </c>
      <c r="B2600" s="52">
        <v>1</v>
      </c>
    </row>
    <row r="2601" spans="1:2" x14ac:dyDescent="0.35">
      <c r="A2601" s="15">
        <v>800002183</v>
      </c>
      <c r="B2601" s="52">
        <v>1</v>
      </c>
    </row>
    <row r="2602" spans="1:2" x14ac:dyDescent="0.35">
      <c r="A2602" s="15">
        <v>800002200</v>
      </c>
      <c r="B2602" s="52">
        <v>1</v>
      </c>
    </row>
    <row r="2603" spans="1:2" x14ac:dyDescent="0.35">
      <c r="A2603" s="15">
        <v>800002201</v>
      </c>
      <c r="B2603" s="52">
        <v>1</v>
      </c>
    </row>
    <row r="2604" spans="1:2" x14ac:dyDescent="0.35">
      <c r="A2604" s="15">
        <v>800002224</v>
      </c>
      <c r="B2604" s="52">
        <v>1</v>
      </c>
    </row>
    <row r="2605" spans="1:2" x14ac:dyDescent="0.35">
      <c r="A2605" s="15">
        <v>800002226</v>
      </c>
      <c r="B2605" s="52">
        <v>1</v>
      </c>
    </row>
    <row r="2606" spans="1:2" x14ac:dyDescent="0.35">
      <c r="A2606" s="15">
        <v>800002227</v>
      </c>
      <c r="B2606" s="52">
        <v>1</v>
      </c>
    </row>
    <row r="2607" spans="1:2" x14ac:dyDescent="0.35">
      <c r="A2607" s="15">
        <v>800002247</v>
      </c>
      <c r="B2607" s="52">
        <v>1</v>
      </c>
    </row>
    <row r="2608" spans="1:2" x14ac:dyDescent="0.35">
      <c r="A2608" s="15">
        <v>800002248</v>
      </c>
      <c r="B2608" s="52">
        <v>1</v>
      </c>
    </row>
    <row r="2609" spans="1:2" x14ac:dyDescent="0.35">
      <c r="A2609" s="15">
        <v>800002278</v>
      </c>
      <c r="B2609" s="52">
        <v>1</v>
      </c>
    </row>
    <row r="2610" spans="1:2" x14ac:dyDescent="0.35">
      <c r="A2610" s="15">
        <v>800002279</v>
      </c>
      <c r="B2610" s="52">
        <v>1</v>
      </c>
    </row>
    <row r="2611" spans="1:2" x14ac:dyDescent="0.35">
      <c r="A2611" s="15">
        <v>800002289</v>
      </c>
      <c r="B2611" s="52">
        <v>1</v>
      </c>
    </row>
    <row r="2612" spans="1:2" x14ac:dyDescent="0.35">
      <c r="A2612" s="15">
        <v>800002303</v>
      </c>
      <c r="B2612" s="52">
        <v>1</v>
      </c>
    </row>
    <row r="2613" spans="1:2" x14ac:dyDescent="0.35">
      <c r="A2613" s="15">
        <v>800002341</v>
      </c>
      <c r="B2613" s="52">
        <v>1</v>
      </c>
    </row>
    <row r="2614" spans="1:2" x14ac:dyDescent="0.35">
      <c r="A2614" s="15">
        <v>800002454</v>
      </c>
      <c r="B2614" s="52">
        <v>1</v>
      </c>
    </row>
    <row r="2615" spans="1:2" x14ac:dyDescent="0.35">
      <c r="A2615" s="15">
        <v>800002513</v>
      </c>
      <c r="B2615" s="52">
        <v>1</v>
      </c>
    </row>
    <row r="2616" spans="1:2" x14ac:dyDescent="0.35">
      <c r="A2616" s="15">
        <v>800002646</v>
      </c>
      <c r="B2616" s="52">
        <v>1</v>
      </c>
    </row>
    <row r="2617" spans="1:2" x14ac:dyDescent="0.35">
      <c r="A2617" s="15">
        <v>800002696</v>
      </c>
      <c r="B2617" s="52">
        <v>1</v>
      </c>
    </row>
    <row r="2618" spans="1:2" x14ac:dyDescent="0.35">
      <c r="A2618" s="15">
        <v>800002697</v>
      </c>
      <c r="B2618" s="52">
        <v>1</v>
      </c>
    </row>
    <row r="2619" spans="1:2" x14ac:dyDescent="0.35">
      <c r="A2619" s="15">
        <v>800002708</v>
      </c>
      <c r="B2619" s="52">
        <v>1</v>
      </c>
    </row>
    <row r="2620" spans="1:2" x14ac:dyDescent="0.35">
      <c r="A2620" s="15">
        <v>800002712</v>
      </c>
      <c r="B2620" s="52">
        <v>1</v>
      </c>
    </row>
    <row r="2621" spans="1:2" x14ac:dyDescent="0.35">
      <c r="A2621" s="15">
        <v>800002713</v>
      </c>
      <c r="B2621" s="52">
        <v>1</v>
      </c>
    </row>
    <row r="2622" spans="1:2" x14ac:dyDescent="0.35">
      <c r="A2622" s="15">
        <v>800002763</v>
      </c>
      <c r="B2622" s="52">
        <v>1</v>
      </c>
    </row>
    <row r="2623" spans="1:2" x14ac:dyDescent="0.35">
      <c r="A2623" s="15">
        <v>800002774</v>
      </c>
      <c r="B2623" s="52">
        <v>1</v>
      </c>
    </row>
    <row r="2624" spans="1:2" x14ac:dyDescent="0.35">
      <c r="A2624" s="15">
        <v>800002798</v>
      </c>
      <c r="B2624" s="52">
        <v>1</v>
      </c>
    </row>
    <row r="2625" spans="1:2" x14ac:dyDescent="0.35">
      <c r="A2625" s="15">
        <v>800002810</v>
      </c>
      <c r="B2625" s="52">
        <v>1</v>
      </c>
    </row>
    <row r="2626" spans="1:2" x14ac:dyDescent="0.35">
      <c r="A2626" s="15">
        <v>800002823</v>
      </c>
      <c r="B2626" s="52">
        <v>1</v>
      </c>
    </row>
    <row r="2627" spans="1:2" x14ac:dyDescent="0.35">
      <c r="A2627" s="15">
        <v>800002832</v>
      </c>
      <c r="B2627" s="52">
        <v>1</v>
      </c>
    </row>
    <row r="2628" spans="1:2" x14ac:dyDescent="0.35">
      <c r="A2628" s="15">
        <v>800002843</v>
      </c>
      <c r="B2628" s="52">
        <v>1</v>
      </c>
    </row>
    <row r="2629" spans="1:2" x14ac:dyDescent="0.35">
      <c r="A2629" s="15">
        <v>800002921</v>
      </c>
      <c r="B2629" s="52">
        <v>1</v>
      </c>
    </row>
    <row r="2630" spans="1:2" x14ac:dyDescent="0.35">
      <c r="A2630" s="15">
        <v>800003134</v>
      </c>
      <c r="B2630" s="52">
        <v>1</v>
      </c>
    </row>
    <row r="2631" spans="1:2" x14ac:dyDescent="0.35">
      <c r="A2631" s="15">
        <v>800003154</v>
      </c>
      <c r="B2631" s="52">
        <v>1</v>
      </c>
    </row>
    <row r="2632" spans="1:2" x14ac:dyDescent="0.35">
      <c r="A2632" s="15">
        <v>800003176</v>
      </c>
      <c r="B2632" s="52">
        <v>1</v>
      </c>
    </row>
    <row r="2633" spans="1:2" x14ac:dyDescent="0.35">
      <c r="A2633" s="15">
        <v>800003177</v>
      </c>
      <c r="B2633" s="52">
        <v>1</v>
      </c>
    </row>
    <row r="2634" spans="1:2" x14ac:dyDescent="0.35">
      <c r="A2634" s="15">
        <v>800003234</v>
      </c>
      <c r="B2634" s="52">
        <v>1</v>
      </c>
    </row>
    <row r="2635" spans="1:2" x14ac:dyDescent="0.35">
      <c r="A2635" s="15">
        <v>800003256</v>
      </c>
      <c r="B2635" s="52">
        <v>1</v>
      </c>
    </row>
    <row r="2636" spans="1:2" x14ac:dyDescent="0.35">
      <c r="A2636" s="15">
        <v>800003259</v>
      </c>
      <c r="B2636" s="52">
        <v>1</v>
      </c>
    </row>
    <row r="2637" spans="1:2" x14ac:dyDescent="0.35">
      <c r="A2637" s="15">
        <v>800003261</v>
      </c>
      <c r="B2637" s="52">
        <v>1</v>
      </c>
    </row>
    <row r="2638" spans="1:2" x14ac:dyDescent="0.35">
      <c r="A2638" s="15">
        <v>800003268</v>
      </c>
      <c r="B2638" s="52">
        <v>1</v>
      </c>
    </row>
    <row r="2639" spans="1:2" x14ac:dyDescent="0.35">
      <c r="A2639" s="15">
        <v>800003301</v>
      </c>
      <c r="B2639" s="52">
        <v>1</v>
      </c>
    </row>
    <row r="2640" spans="1:2" x14ac:dyDescent="0.35">
      <c r="A2640" s="15">
        <v>800003313</v>
      </c>
      <c r="B2640" s="52">
        <v>1</v>
      </c>
    </row>
    <row r="2641" spans="1:2" x14ac:dyDescent="0.35">
      <c r="A2641" s="15">
        <v>800003407</v>
      </c>
      <c r="B2641" s="52">
        <v>1</v>
      </c>
    </row>
    <row r="2642" spans="1:2" x14ac:dyDescent="0.35">
      <c r="A2642" s="15">
        <v>800003418</v>
      </c>
      <c r="B2642" s="52">
        <v>1</v>
      </c>
    </row>
    <row r="2643" spans="1:2" x14ac:dyDescent="0.35">
      <c r="A2643" s="15">
        <v>800003472</v>
      </c>
      <c r="B2643" s="52">
        <v>1</v>
      </c>
    </row>
    <row r="2644" spans="1:2" x14ac:dyDescent="0.35">
      <c r="A2644" s="15">
        <v>800003537</v>
      </c>
      <c r="B2644" s="52">
        <v>1</v>
      </c>
    </row>
    <row r="2645" spans="1:2" x14ac:dyDescent="0.35">
      <c r="A2645" s="15">
        <v>800003538</v>
      </c>
      <c r="B2645" s="52">
        <v>1</v>
      </c>
    </row>
    <row r="2646" spans="1:2" x14ac:dyDescent="0.35">
      <c r="A2646" s="15">
        <v>800003598</v>
      </c>
      <c r="B2646" s="52">
        <v>1</v>
      </c>
    </row>
    <row r="2647" spans="1:2" x14ac:dyDescent="0.35">
      <c r="A2647" s="15">
        <v>800003621</v>
      </c>
      <c r="B2647" s="52">
        <v>1</v>
      </c>
    </row>
    <row r="2648" spans="1:2" x14ac:dyDescent="0.35">
      <c r="A2648" s="15">
        <v>800003622</v>
      </c>
      <c r="B2648" s="52">
        <v>1</v>
      </c>
    </row>
    <row r="2649" spans="1:2" x14ac:dyDescent="0.35">
      <c r="A2649" s="15">
        <v>800003623</v>
      </c>
      <c r="B2649" s="52">
        <v>1</v>
      </c>
    </row>
    <row r="2650" spans="1:2" x14ac:dyDescent="0.35">
      <c r="A2650" s="15">
        <v>800003628</v>
      </c>
      <c r="B2650" s="52">
        <v>1</v>
      </c>
    </row>
    <row r="2651" spans="1:2" x14ac:dyDescent="0.35">
      <c r="A2651" s="15">
        <v>800003629</v>
      </c>
      <c r="B2651" s="52">
        <v>1</v>
      </c>
    </row>
    <row r="2652" spans="1:2" x14ac:dyDescent="0.35">
      <c r="A2652" s="15">
        <v>800003630</v>
      </c>
      <c r="B2652" s="52">
        <v>1</v>
      </c>
    </row>
    <row r="2653" spans="1:2" x14ac:dyDescent="0.35">
      <c r="A2653" s="15">
        <v>800003667</v>
      </c>
      <c r="B2653" s="52">
        <v>1</v>
      </c>
    </row>
    <row r="2654" spans="1:2" x14ac:dyDescent="0.35">
      <c r="A2654" s="15">
        <v>800003668</v>
      </c>
      <c r="B2654" s="52">
        <v>1</v>
      </c>
    </row>
    <row r="2655" spans="1:2" x14ac:dyDescent="0.35">
      <c r="A2655" s="15">
        <v>800003669</v>
      </c>
      <c r="B2655" s="52">
        <v>1</v>
      </c>
    </row>
    <row r="2656" spans="1:2" x14ac:dyDescent="0.35">
      <c r="A2656" s="15">
        <v>800003670</v>
      </c>
      <c r="B2656" s="52">
        <v>1</v>
      </c>
    </row>
    <row r="2657" spans="1:2" x14ac:dyDescent="0.35">
      <c r="A2657" s="15">
        <v>800003723</v>
      </c>
      <c r="B2657" s="52">
        <v>1</v>
      </c>
    </row>
    <row r="2658" spans="1:2" x14ac:dyDescent="0.35">
      <c r="A2658" s="15">
        <v>800003746</v>
      </c>
      <c r="B2658" s="52">
        <v>1</v>
      </c>
    </row>
    <row r="2659" spans="1:2" x14ac:dyDescent="0.35">
      <c r="A2659" s="15">
        <v>800003759</v>
      </c>
      <c r="B2659" s="52">
        <v>1</v>
      </c>
    </row>
    <row r="2660" spans="1:2" x14ac:dyDescent="0.35">
      <c r="A2660" s="15">
        <v>800003898</v>
      </c>
      <c r="B2660" s="52">
        <v>1</v>
      </c>
    </row>
    <row r="2661" spans="1:2" x14ac:dyDescent="0.35">
      <c r="A2661" s="15">
        <v>800003899</v>
      </c>
      <c r="B2661" s="52">
        <v>1</v>
      </c>
    </row>
    <row r="2662" spans="1:2" x14ac:dyDescent="0.35">
      <c r="A2662" s="15">
        <v>800003900</v>
      </c>
      <c r="B2662" s="52">
        <v>1</v>
      </c>
    </row>
    <row r="2663" spans="1:2" x14ac:dyDescent="0.35">
      <c r="A2663" s="15">
        <v>800003932</v>
      </c>
      <c r="B2663" s="52">
        <v>1</v>
      </c>
    </row>
    <row r="2664" spans="1:2" x14ac:dyDescent="0.35">
      <c r="A2664" s="15">
        <v>800004052</v>
      </c>
      <c r="B2664" s="52">
        <v>1</v>
      </c>
    </row>
    <row r="2665" spans="1:2" x14ac:dyDescent="0.35">
      <c r="A2665" s="15">
        <v>800004053</v>
      </c>
      <c r="B2665" s="52">
        <v>1</v>
      </c>
    </row>
    <row r="2666" spans="1:2" x14ac:dyDescent="0.35">
      <c r="A2666" s="15">
        <v>800004054</v>
      </c>
      <c r="B2666" s="52">
        <v>1</v>
      </c>
    </row>
    <row r="2667" spans="1:2" x14ac:dyDescent="0.35">
      <c r="A2667" s="15">
        <v>800004071</v>
      </c>
      <c r="B2667" s="52">
        <v>1</v>
      </c>
    </row>
    <row r="2668" spans="1:2" x14ac:dyDescent="0.35">
      <c r="A2668" s="15">
        <v>800004099</v>
      </c>
      <c r="B2668" s="52">
        <v>1</v>
      </c>
    </row>
    <row r="2669" spans="1:2" x14ac:dyDescent="0.35">
      <c r="A2669" s="15">
        <v>800004123</v>
      </c>
      <c r="B2669" s="52">
        <v>1</v>
      </c>
    </row>
    <row r="2670" spans="1:2" x14ac:dyDescent="0.35">
      <c r="A2670" s="15">
        <v>800004212</v>
      </c>
      <c r="B2670" s="52">
        <v>1</v>
      </c>
    </row>
    <row r="2671" spans="1:2" x14ac:dyDescent="0.35">
      <c r="A2671" s="15">
        <v>800004258</v>
      </c>
      <c r="B2671" s="52">
        <v>1</v>
      </c>
    </row>
    <row r="2672" spans="1:2" x14ac:dyDescent="0.35">
      <c r="A2672" s="15">
        <v>800004269</v>
      </c>
      <c r="B2672" s="52">
        <v>1</v>
      </c>
    </row>
    <row r="2673" spans="1:2" x14ac:dyDescent="0.35">
      <c r="A2673" s="15">
        <v>800004339</v>
      </c>
      <c r="B2673" s="52">
        <v>1</v>
      </c>
    </row>
    <row r="2674" spans="1:2" x14ac:dyDescent="0.35">
      <c r="A2674" s="15">
        <v>800004368</v>
      </c>
      <c r="B2674" s="52">
        <v>1</v>
      </c>
    </row>
    <row r="2675" spans="1:2" x14ac:dyDescent="0.35">
      <c r="A2675" s="15">
        <v>800004636</v>
      </c>
      <c r="B2675" s="52">
        <v>1</v>
      </c>
    </row>
    <row r="2676" spans="1:2" x14ac:dyDescent="0.35">
      <c r="A2676" s="15">
        <v>800004637</v>
      </c>
      <c r="B2676" s="52">
        <v>1</v>
      </c>
    </row>
    <row r="2677" spans="1:2" x14ac:dyDescent="0.35">
      <c r="A2677" s="15">
        <v>800004638</v>
      </c>
      <c r="B2677" s="52">
        <v>1</v>
      </c>
    </row>
    <row r="2678" spans="1:2" x14ac:dyDescent="0.35">
      <c r="A2678" s="15">
        <v>800004641</v>
      </c>
      <c r="B2678" s="52">
        <v>1</v>
      </c>
    </row>
    <row r="2679" spans="1:2" x14ac:dyDescent="0.35">
      <c r="A2679" s="15">
        <v>800004642</v>
      </c>
      <c r="B2679" s="52">
        <v>1</v>
      </c>
    </row>
    <row r="2680" spans="1:2" x14ac:dyDescent="0.35">
      <c r="A2680" s="15">
        <v>800004643</v>
      </c>
      <c r="B2680" s="52">
        <v>1</v>
      </c>
    </row>
    <row r="2681" spans="1:2" x14ac:dyDescent="0.35">
      <c r="A2681" s="15">
        <v>800004717</v>
      </c>
      <c r="B2681" s="52">
        <v>1</v>
      </c>
    </row>
    <row r="2682" spans="1:2" x14ac:dyDescent="0.35">
      <c r="A2682" s="15">
        <v>800004718</v>
      </c>
      <c r="B2682" s="52">
        <v>1</v>
      </c>
    </row>
    <row r="2683" spans="1:2" x14ac:dyDescent="0.35">
      <c r="A2683" s="15">
        <v>800004719</v>
      </c>
      <c r="B2683" s="52">
        <v>1</v>
      </c>
    </row>
    <row r="2684" spans="1:2" x14ac:dyDescent="0.35">
      <c r="A2684" s="15">
        <v>800004917</v>
      </c>
      <c r="B2684" s="52">
        <v>1</v>
      </c>
    </row>
    <row r="2685" spans="1:2" x14ac:dyDescent="0.35">
      <c r="A2685" s="15">
        <v>800005071</v>
      </c>
      <c r="B2685" s="52">
        <v>1</v>
      </c>
    </row>
    <row r="2686" spans="1:2" x14ac:dyDescent="0.35">
      <c r="A2686" s="15">
        <v>800005072</v>
      </c>
      <c r="B2686" s="52">
        <v>1</v>
      </c>
    </row>
    <row r="2687" spans="1:2" x14ac:dyDescent="0.35">
      <c r="A2687" s="15">
        <v>800005113</v>
      </c>
      <c r="B2687" s="52">
        <v>1</v>
      </c>
    </row>
    <row r="2688" spans="1:2" x14ac:dyDescent="0.35">
      <c r="A2688" s="15">
        <v>800005121</v>
      </c>
      <c r="B2688" s="52">
        <v>1</v>
      </c>
    </row>
    <row r="2689" spans="1:2" x14ac:dyDescent="0.35">
      <c r="A2689" s="15">
        <v>800005342</v>
      </c>
      <c r="B2689" s="52">
        <v>1</v>
      </c>
    </row>
    <row r="2690" spans="1:2" x14ac:dyDescent="0.35">
      <c r="A2690" s="15">
        <v>800005343</v>
      </c>
      <c r="B2690" s="52">
        <v>1</v>
      </c>
    </row>
    <row r="2691" spans="1:2" x14ac:dyDescent="0.35">
      <c r="A2691" s="15">
        <v>800011638</v>
      </c>
      <c r="B2691" s="52">
        <v>1</v>
      </c>
    </row>
    <row r="2692" spans="1:2" x14ac:dyDescent="0.35">
      <c r="A2692" s="15">
        <v>6501001608</v>
      </c>
      <c r="B2692" s="52">
        <v>1</v>
      </c>
    </row>
    <row r="2693" spans="1:2" x14ac:dyDescent="0.35">
      <c r="A2693" s="15">
        <v>6501600404</v>
      </c>
      <c r="B2693" s="52">
        <v>1</v>
      </c>
    </row>
    <row r="2694" spans="1:2" x14ac:dyDescent="0.35">
      <c r="A2694" s="15">
        <v>6502000304</v>
      </c>
      <c r="B2694" s="52">
        <v>1</v>
      </c>
    </row>
    <row r="2695" spans="1:2" x14ac:dyDescent="0.35">
      <c r="A2695" s="15">
        <v>6502000401</v>
      </c>
      <c r="B2695" s="52">
        <v>1</v>
      </c>
    </row>
    <row r="2696" spans="1:2" x14ac:dyDescent="0.35">
      <c r="A2696" s="15">
        <v>6502000403</v>
      </c>
      <c r="B2696" s="52">
        <v>1</v>
      </c>
    </row>
    <row r="2697" spans="1:2" x14ac:dyDescent="0.35">
      <c r="A2697" s="15">
        <v>6502000499</v>
      </c>
      <c r="B2697" s="52">
        <v>1</v>
      </c>
    </row>
    <row r="2698" spans="1:2" x14ac:dyDescent="0.35">
      <c r="A2698" s="15">
        <v>6502000504</v>
      </c>
      <c r="B2698" s="52">
        <v>1</v>
      </c>
    </row>
    <row r="2699" spans="1:2" x14ac:dyDescent="0.35">
      <c r="A2699" s="15">
        <v>6502000601</v>
      </c>
      <c r="B2699" s="52">
        <v>1</v>
      </c>
    </row>
    <row r="2700" spans="1:2" x14ac:dyDescent="0.35">
      <c r="A2700" s="15">
        <v>6502000604</v>
      </c>
      <c r="B2700" s="52">
        <v>1</v>
      </c>
    </row>
    <row r="2701" spans="1:2" x14ac:dyDescent="0.35">
      <c r="A2701" s="15">
        <v>6502000801</v>
      </c>
      <c r="B2701" s="52">
        <v>1</v>
      </c>
    </row>
    <row r="2702" spans="1:2" x14ac:dyDescent="0.35">
      <c r="A2702" s="15">
        <v>6502000808</v>
      </c>
      <c r="B2702" s="52">
        <v>1</v>
      </c>
    </row>
    <row r="2703" spans="1:2" x14ac:dyDescent="0.35">
      <c r="A2703" s="15">
        <v>6502001008</v>
      </c>
      <c r="B2703" s="52">
        <v>1</v>
      </c>
    </row>
    <row r="2704" spans="1:2" x14ac:dyDescent="0.35">
      <c r="A2704" s="15">
        <v>6502500404</v>
      </c>
      <c r="B2704" s="52">
        <v>1</v>
      </c>
    </row>
    <row r="2705" spans="1:2" x14ac:dyDescent="0.35">
      <c r="A2705" s="15">
        <v>6502500408</v>
      </c>
      <c r="B2705" s="52">
        <v>1</v>
      </c>
    </row>
    <row r="2706" spans="1:2" x14ac:dyDescent="0.35">
      <c r="A2706" s="15">
        <v>6502500503</v>
      </c>
      <c r="B2706" s="52">
        <v>1</v>
      </c>
    </row>
    <row r="2707" spans="1:2" x14ac:dyDescent="0.35">
      <c r="A2707" s="15">
        <v>6502501008</v>
      </c>
      <c r="B2707" s="52">
        <v>1</v>
      </c>
    </row>
    <row r="2708" spans="1:2" x14ac:dyDescent="0.35">
      <c r="A2708" s="15">
        <v>6503000503</v>
      </c>
      <c r="B2708" s="52">
        <v>1</v>
      </c>
    </row>
    <row r="2709" spans="1:2" x14ac:dyDescent="0.35">
      <c r="A2709" s="15">
        <v>6503000508</v>
      </c>
      <c r="B2709" s="52">
        <v>1</v>
      </c>
    </row>
    <row r="2710" spans="1:2" x14ac:dyDescent="0.35">
      <c r="A2710" s="15">
        <v>6503000509</v>
      </c>
      <c r="B2710" s="52">
        <v>1</v>
      </c>
    </row>
    <row r="2711" spans="1:2" x14ac:dyDescent="0.35">
      <c r="A2711" s="15">
        <v>6503000599</v>
      </c>
      <c r="B2711" s="52">
        <v>1</v>
      </c>
    </row>
    <row r="2712" spans="1:2" x14ac:dyDescent="0.35">
      <c r="A2712" s="15">
        <v>6503000601</v>
      </c>
      <c r="B2712" s="52">
        <v>1</v>
      </c>
    </row>
    <row r="2713" spans="1:2" x14ac:dyDescent="0.35">
      <c r="A2713" s="15">
        <v>6503000603</v>
      </c>
      <c r="B2713" s="52">
        <v>1</v>
      </c>
    </row>
    <row r="2714" spans="1:2" x14ac:dyDescent="0.35">
      <c r="A2714" s="15">
        <v>6503000604</v>
      </c>
      <c r="B2714" s="52">
        <v>1</v>
      </c>
    </row>
    <row r="2715" spans="1:2" x14ac:dyDescent="0.35">
      <c r="A2715" s="15">
        <v>6503000608</v>
      </c>
      <c r="B2715" s="52">
        <v>1</v>
      </c>
    </row>
    <row r="2716" spans="1:2" x14ac:dyDescent="0.35">
      <c r="A2716" s="15">
        <v>6503000693</v>
      </c>
      <c r="B2716" s="52">
        <v>1</v>
      </c>
    </row>
    <row r="2717" spans="1:2" x14ac:dyDescent="0.35">
      <c r="A2717" s="15">
        <v>6503000801</v>
      </c>
      <c r="B2717" s="52">
        <v>1</v>
      </c>
    </row>
    <row r="2718" spans="1:2" x14ac:dyDescent="0.35">
      <c r="A2718" s="15">
        <v>6503000803</v>
      </c>
      <c r="B2718" s="52">
        <v>1</v>
      </c>
    </row>
    <row r="2719" spans="1:2" x14ac:dyDescent="0.35">
      <c r="A2719" s="15">
        <v>6503000808</v>
      </c>
      <c r="B2719" s="52">
        <v>1</v>
      </c>
    </row>
    <row r="2720" spans="1:2" x14ac:dyDescent="0.35">
      <c r="A2720" s="15">
        <v>6503000809</v>
      </c>
      <c r="B2720" s="52">
        <v>1</v>
      </c>
    </row>
    <row r="2721" spans="1:2" x14ac:dyDescent="0.35">
      <c r="A2721" s="15">
        <v>6503001001</v>
      </c>
      <c r="B2721" s="52">
        <v>1</v>
      </c>
    </row>
    <row r="2722" spans="1:2" x14ac:dyDescent="0.35">
      <c r="A2722" s="15">
        <v>6503001003</v>
      </c>
      <c r="B2722" s="52">
        <v>1</v>
      </c>
    </row>
    <row r="2723" spans="1:2" x14ac:dyDescent="0.35">
      <c r="A2723" s="15">
        <v>6503001008</v>
      </c>
      <c r="B2723" s="52">
        <v>1</v>
      </c>
    </row>
    <row r="2724" spans="1:2" x14ac:dyDescent="0.35">
      <c r="A2724" s="15">
        <v>6503001009</v>
      </c>
      <c r="B2724" s="52">
        <v>1</v>
      </c>
    </row>
    <row r="2725" spans="1:2" x14ac:dyDescent="0.35">
      <c r="A2725" s="15">
        <v>6503001099</v>
      </c>
      <c r="B2725" s="52">
        <v>1</v>
      </c>
    </row>
    <row r="2726" spans="1:2" x14ac:dyDescent="0.35">
      <c r="A2726" s="15">
        <v>6503001203</v>
      </c>
      <c r="B2726" s="52">
        <v>1</v>
      </c>
    </row>
    <row r="2727" spans="1:2" x14ac:dyDescent="0.35">
      <c r="A2727" s="15">
        <v>6503001208</v>
      </c>
      <c r="B2727" s="52">
        <v>1</v>
      </c>
    </row>
    <row r="2728" spans="1:2" x14ac:dyDescent="0.35">
      <c r="A2728" s="15">
        <v>6503001209</v>
      </c>
      <c r="B2728" s="52">
        <v>1</v>
      </c>
    </row>
    <row r="2729" spans="1:2" x14ac:dyDescent="0.35">
      <c r="A2729" s="15">
        <v>6503001299</v>
      </c>
      <c r="B2729" s="52">
        <v>1</v>
      </c>
    </row>
    <row r="2730" spans="1:2" x14ac:dyDescent="0.35">
      <c r="A2730" s="15">
        <v>6503001408</v>
      </c>
      <c r="B2730" s="52">
        <v>1</v>
      </c>
    </row>
    <row r="2731" spans="1:2" x14ac:dyDescent="0.35">
      <c r="A2731" s="15">
        <v>6503001603</v>
      </c>
      <c r="B2731" s="52">
        <v>1</v>
      </c>
    </row>
    <row r="2732" spans="1:2" x14ac:dyDescent="0.35">
      <c r="A2732" s="15">
        <v>6503001608</v>
      </c>
      <c r="B2732" s="52">
        <v>1</v>
      </c>
    </row>
    <row r="2733" spans="1:2" x14ac:dyDescent="0.35">
      <c r="A2733" s="15">
        <v>6503002008</v>
      </c>
      <c r="B2733" s="52">
        <v>1</v>
      </c>
    </row>
    <row r="2734" spans="1:2" x14ac:dyDescent="0.35">
      <c r="A2734" s="15">
        <v>6503002504</v>
      </c>
      <c r="B2734" s="52">
        <v>1</v>
      </c>
    </row>
    <row r="2735" spans="1:2" x14ac:dyDescent="0.35">
      <c r="A2735" s="15">
        <v>6503002508</v>
      </c>
      <c r="B2735" s="52">
        <v>1</v>
      </c>
    </row>
    <row r="2736" spans="1:2" x14ac:dyDescent="0.35">
      <c r="A2736" s="15">
        <v>6503003001</v>
      </c>
      <c r="B2736" s="52">
        <v>1</v>
      </c>
    </row>
    <row r="2737" spans="1:2" x14ac:dyDescent="0.35">
      <c r="A2737" s="15">
        <v>6503004001</v>
      </c>
      <c r="B2737" s="52">
        <v>1</v>
      </c>
    </row>
    <row r="2738" spans="1:2" x14ac:dyDescent="0.35">
      <c r="A2738" s="15">
        <v>6504000603</v>
      </c>
      <c r="B2738" s="52">
        <v>1</v>
      </c>
    </row>
    <row r="2739" spans="1:2" x14ac:dyDescent="0.35">
      <c r="A2739" s="15">
        <v>6504000604</v>
      </c>
      <c r="B2739" s="52">
        <v>1</v>
      </c>
    </row>
    <row r="2740" spans="1:2" x14ac:dyDescent="0.35">
      <c r="A2740" s="15">
        <v>6504000608</v>
      </c>
      <c r="B2740" s="52">
        <v>1</v>
      </c>
    </row>
    <row r="2741" spans="1:2" x14ac:dyDescent="0.35">
      <c r="A2741" s="15">
        <v>6504000609</v>
      </c>
      <c r="B2741" s="52">
        <v>1</v>
      </c>
    </row>
    <row r="2742" spans="1:2" x14ac:dyDescent="0.35">
      <c r="A2742" s="15">
        <v>6504000803</v>
      </c>
      <c r="B2742" s="52">
        <v>1</v>
      </c>
    </row>
    <row r="2743" spans="1:2" x14ac:dyDescent="0.35">
      <c r="A2743" s="15">
        <v>6504000808</v>
      </c>
      <c r="B2743" s="52">
        <v>1</v>
      </c>
    </row>
    <row r="2744" spans="1:2" x14ac:dyDescent="0.35">
      <c r="A2744" s="15">
        <v>6504000809</v>
      </c>
      <c r="B2744" s="52">
        <v>1</v>
      </c>
    </row>
    <row r="2745" spans="1:2" x14ac:dyDescent="0.35">
      <c r="A2745" s="15">
        <v>6504001001</v>
      </c>
      <c r="B2745" s="52">
        <v>1</v>
      </c>
    </row>
    <row r="2746" spans="1:2" x14ac:dyDescent="0.35">
      <c r="A2746" s="15">
        <v>6504001003</v>
      </c>
      <c r="B2746" s="52">
        <v>1</v>
      </c>
    </row>
    <row r="2747" spans="1:2" x14ac:dyDescent="0.35">
      <c r="A2747" s="15">
        <v>6504001009</v>
      </c>
      <c r="B2747" s="52">
        <v>1</v>
      </c>
    </row>
    <row r="2748" spans="1:2" x14ac:dyDescent="0.35">
      <c r="A2748" s="15">
        <v>6504001203</v>
      </c>
      <c r="B2748" s="52">
        <v>1</v>
      </c>
    </row>
    <row r="2749" spans="1:2" x14ac:dyDescent="0.35">
      <c r="A2749" s="15">
        <v>6504001208</v>
      </c>
      <c r="B2749" s="52">
        <v>1</v>
      </c>
    </row>
    <row r="2750" spans="1:2" x14ac:dyDescent="0.35">
      <c r="A2750" s="15">
        <v>6504001209</v>
      </c>
      <c r="B2750" s="52">
        <v>1</v>
      </c>
    </row>
    <row r="2751" spans="1:2" x14ac:dyDescent="0.35">
      <c r="A2751" s="15">
        <v>6504001403</v>
      </c>
      <c r="B2751" s="52">
        <v>1</v>
      </c>
    </row>
    <row r="2752" spans="1:2" x14ac:dyDescent="0.35">
      <c r="A2752" s="15">
        <v>6504001408</v>
      </c>
      <c r="B2752" s="52">
        <v>1</v>
      </c>
    </row>
    <row r="2753" spans="1:2" x14ac:dyDescent="0.35">
      <c r="A2753" s="15">
        <v>6504001409</v>
      </c>
      <c r="B2753" s="52">
        <v>1</v>
      </c>
    </row>
    <row r="2754" spans="1:2" x14ac:dyDescent="0.35">
      <c r="A2754" s="15">
        <v>6504001603</v>
      </c>
      <c r="B2754" s="52">
        <v>1</v>
      </c>
    </row>
    <row r="2755" spans="1:2" x14ac:dyDescent="0.35">
      <c r="A2755" s="15">
        <v>6504001608</v>
      </c>
      <c r="B2755" s="52">
        <v>1</v>
      </c>
    </row>
    <row r="2756" spans="1:2" x14ac:dyDescent="0.35">
      <c r="A2756" s="15">
        <v>6504001609</v>
      </c>
      <c r="B2756" s="52">
        <v>1</v>
      </c>
    </row>
    <row r="2757" spans="1:2" x14ac:dyDescent="0.35">
      <c r="A2757" s="15">
        <v>6504001699</v>
      </c>
      <c r="B2757" s="52">
        <v>1</v>
      </c>
    </row>
    <row r="2758" spans="1:2" x14ac:dyDescent="0.35">
      <c r="A2758" s="15">
        <v>6504001808</v>
      </c>
      <c r="B2758" s="52">
        <v>1</v>
      </c>
    </row>
    <row r="2759" spans="1:2" x14ac:dyDescent="0.35">
      <c r="A2759" s="15">
        <v>6504002008</v>
      </c>
      <c r="B2759" s="52">
        <v>1</v>
      </c>
    </row>
    <row r="2760" spans="1:2" x14ac:dyDescent="0.35">
      <c r="A2760" s="15">
        <v>6504002009</v>
      </c>
      <c r="B2760" s="52">
        <v>1</v>
      </c>
    </row>
    <row r="2761" spans="1:2" x14ac:dyDescent="0.35">
      <c r="A2761" s="15">
        <v>6504002208</v>
      </c>
      <c r="B2761" s="52">
        <v>1</v>
      </c>
    </row>
    <row r="2762" spans="1:2" x14ac:dyDescent="0.35">
      <c r="A2762" s="15">
        <v>6504002508</v>
      </c>
      <c r="B2762" s="52">
        <v>1</v>
      </c>
    </row>
    <row r="2763" spans="1:2" x14ac:dyDescent="0.35">
      <c r="A2763" s="15">
        <v>6504003008</v>
      </c>
      <c r="B2763" s="52">
        <v>1</v>
      </c>
    </row>
    <row r="2764" spans="1:2" x14ac:dyDescent="0.35">
      <c r="A2764" s="15">
        <v>6504003508</v>
      </c>
      <c r="B2764" s="52">
        <v>1</v>
      </c>
    </row>
    <row r="2765" spans="1:2" x14ac:dyDescent="0.35">
      <c r="A2765" s="15">
        <v>6504004008</v>
      </c>
      <c r="B2765" s="52">
        <v>1</v>
      </c>
    </row>
    <row r="2766" spans="1:2" x14ac:dyDescent="0.35">
      <c r="A2766" s="15">
        <v>6504004501</v>
      </c>
      <c r="B2766" s="52">
        <v>1</v>
      </c>
    </row>
    <row r="2767" spans="1:2" x14ac:dyDescent="0.35">
      <c r="A2767" s="15">
        <v>6504004508</v>
      </c>
      <c r="B2767" s="52">
        <v>1</v>
      </c>
    </row>
    <row r="2768" spans="1:2" x14ac:dyDescent="0.35">
      <c r="A2768" s="15">
        <v>6505000608</v>
      </c>
      <c r="B2768" s="52">
        <v>1</v>
      </c>
    </row>
    <row r="2769" spans="1:2" x14ac:dyDescent="0.35">
      <c r="A2769" s="15">
        <v>6505000609</v>
      </c>
      <c r="B2769" s="52">
        <v>1</v>
      </c>
    </row>
    <row r="2770" spans="1:2" x14ac:dyDescent="0.35">
      <c r="A2770" s="15">
        <v>6505000804</v>
      </c>
      <c r="B2770" s="52">
        <v>1</v>
      </c>
    </row>
    <row r="2771" spans="1:2" x14ac:dyDescent="0.35">
      <c r="A2771" s="15">
        <v>6505000808</v>
      </c>
      <c r="B2771" s="52">
        <v>1</v>
      </c>
    </row>
    <row r="2772" spans="1:2" x14ac:dyDescent="0.35">
      <c r="A2772" s="15">
        <v>6505000809</v>
      </c>
      <c r="B2772" s="52">
        <v>1</v>
      </c>
    </row>
    <row r="2773" spans="1:2" x14ac:dyDescent="0.35">
      <c r="A2773" s="15">
        <v>6505001008</v>
      </c>
      <c r="B2773" s="52">
        <v>1</v>
      </c>
    </row>
    <row r="2774" spans="1:2" x14ac:dyDescent="0.35">
      <c r="A2774" s="15">
        <v>6505001009</v>
      </c>
      <c r="B2774" s="52">
        <v>1</v>
      </c>
    </row>
    <row r="2775" spans="1:2" x14ac:dyDescent="0.35">
      <c r="A2775" s="15">
        <v>6505001203</v>
      </c>
      <c r="B2775" s="52">
        <v>1</v>
      </c>
    </row>
    <row r="2776" spans="1:2" x14ac:dyDescent="0.35">
      <c r="A2776" s="15">
        <v>6505001208</v>
      </c>
      <c r="B2776" s="52">
        <v>1</v>
      </c>
    </row>
    <row r="2777" spans="1:2" x14ac:dyDescent="0.35">
      <c r="A2777" s="15">
        <v>6505001209</v>
      </c>
      <c r="B2777" s="52">
        <v>1</v>
      </c>
    </row>
    <row r="2778" spans="1:2" x14ac:dyDescent="0.35">
      <c r="A2778" s="15">
        <v>6505001408</v>
      </c>
      <c r="B2778" s="52">
        <v>1</v>
      </c>
    </row>
    <row r="2779" spans="1:2" x14ac:dyDescent="0.35">
      <c r="A2779" s="15">
        <v>6505001508</v>
      </c>
      <c r="B2779" s="52">
        <v>1</v>
      </c>
    </row>
    <row r="2780" spans="1:2" x14ac:dyDescent="0.35">
      <c r="A2780" s="15">
        <v>6505001603</v>
      </c>
      <c r="B2780" s="52">
        <v>1</v>
      </c>
    </row>
    <row r="2781" spans="1:2" x14ac:dyDescent="0.35">
      <c r="A2781" s="15">
        <v>6505001608</v>
      </c>
      <c r="B2781" s="52">
        <v>1</v>
      </c>
    </row>
    <row r="2782" spans="1:2" x14ac:dyDescent="0.35">
      <c r="A2782" s="15">
        <v>6505001609</v>
      </c>
      <c r="B2782" s="52">
        <v>1</v>
      </c>
    </row>
    <row r="2783" spans="1:2" x14ac:dyDescent="0.35">
      <c r="A2783" s="15">
        <v>6505001803</v>
      </c>
      <c r="B2783" s="52">
        <v>1</v>
      </c>
    </row>
    <row r="2784" spans="1:2" x14ac:dyDescent="0.35">
      <c r="A2784" s="15">
        <v>6505001808</v>
      </c>
      <c r="B2784" s="52">
        <v>1</v>
      </c>
    </row>
    <row r="2785" spans="1:2" x14ac:dyDescent="0.35">
      <c r="A2785" s="15">
        <v>6505002008</v>
      </c>
      <c r="B2785" s="52">
        <v>1</v>
      </c>
    </row>
    <row r="2786" spans="1:2" x14ac:dyDescent="0.35">
      <c r="A2786" s="15">
        <v>6505002009</v>
      </c>
      <c r="B2786" s="52">
        <v>1</v>
      </c>
    </row>
    <row r="2787" spans="1:2" x14ac:dyDescent="0.35">
      <c r="A2787" s="15">
        <v>6505002208</v>
      </c>
      <c r="B2787" s="52">
        <v>1</v>
      </c>
    </row>
    <row r="2788" spans="1:2" x14ac:dyDescent="0.35">
      <c r="A2788" s="15">
        <v>6505002508</v>
      </c>
      <c r="B2788" s="52">
        <v>1</v>
      </c>
    </row>
    <row r="2789" spans="1:2" x14ac:dyDescent="0.35">
      <c r="A2789" s="15">
        <v>6505003001</v>
      </c>
      <c r="B2789" s="52">
        <v>1</v>
      </c>
    </row>
    <row r="2790" spans="1:2" x14ac:dyDescent="0.35">
      <c r="A2790" s="15">
        <v>6505003008</v>
      </c>
      <c r="B2790" s="52">
        <v>1</v>
      </c>
    </row>
    <row r="2791" spans="1:2" x14ac:dyDescent="0.35">
      <c r="A2791" s="15">
        <v>6505003508</v>
      </c>
      <c r="B2791" s="52">
        <v>1</v>
      </c>
    </row>
    <row r="2792" spans="1:2" x14ac:dyDescent="0.35">
      <c r="A2792" s="15">
        <v>6505004008</v>
      </c>
      <c r="B2792" s="52">
        <v>1</v>
      </c>
    </row>
    <row r="2793" spans="1:2" x14ac:dyDescent="0.35">
      <c r="A2793" s="15">
        <v>6505006008</v>
      </c>
      <c r="B2793" s="52">
        <v>1</v>
      </c>
    </row>
    <row r="2794" spans="1:2" x14ac:dyDescent="0.35">
      <c r="A2794" s="15">
        <v>6506001008</v>
      </c>
      <c r="B2794" s="52">
        <v>1</v>
      </c>
    </row>
    <row r="2795" spans="1:2" x14ac:dyDescent="0.35">
      <c r="A2795" s="15">
        <v>6506001009</v>
      </c>
      <c r="B2795" s="52">
        <v>1</v>
      </c>
    </row>
    <row r="2796" spans="1:2" x14ac:dyDescent="0.35">
      <c r="A2796" s="15">
        <v>6506001203</v>
      </c>
      <c r="B2796" s="52">
        <v>1</v>
      </c>
    </row>
    <row r="2797" spans="1:2" x14ac:dyDescent="0.35">
      <c r="A2797" s="15">
        <v>6506001208</v>
      </c>
      <c r="B2797" s="52">
        <v>1</v>
      </c>
    </row>
    <row r="2798" spans="1:2" x14ac:dyDescent="0.35">
      <c r="A2798" s="15">
        <v>6506001209</v>
      </c>
      <c r="B2798" s="52">
        <v>1</v>
      </c>
    </row>
    <row r="2799" spans="1:2" x14ac:dyDescent="0.35">
      <c r="A2799" s="15">
        <v>6506001403</v>
      </c>
      <c r="B2799" s="52">
        <v>1</v>
      </c>
    </row>
    <row r="2800" spans="1:2" x14ac:dyDescent="0.35">
      <c r="A2800" s="15">
        <v>6506001608</v>
      </c>
      <c r="B2800" s="52">
        <v>1</v>
      </c>
    </row>
    <row r="2801" spans="1:2" x14ac:dyDescent="0.35">
      <c r="A2801" s="15">
        <v>6506001609</v>
      </c>
      <c r="B2801" s="52">
        <v>1</v>
      </c>
    </row>
    <row r="2802" spans="1:2" x14ac:dyDescent="0.35">
      <c r="A2802" s="15">
        <v>6506001808</v>
      </c>
      <c r="B2802" s="52">
        <v>1</v>
      </c>
    </row>
    <row r="2803" spans="1:2" x14ac:dyDescent="0.35">
      <c r="A2803" s="15">
        <v>6506001809</v>
      </c>
      <c r="B2803" s="52">
        <v>1</v>
      </c>
    </row>
    <row r="2804" spans="1:2" x14ac:dyDescent="0.35">
      <c r="A2804" s="15">
        <v>6506002008</v>
      </c>
      <c r="B2804" s="52">
        <v>1</v>
      </c>
    </row>
    <row r="2805" spans="1:2" x14ac:dyDescent="0.35">
      <c r="A2805" s="15">
        <v>6506002208</v>
      </c>
      <c r="B2805" s="52">
        <v>1</v>
      </c>
    </row>
    <row r="2806" spans="1:2" x14ac:dyDescent="0.35">
      <c r="A2806" s="15">
        <v>6506002507</v>
      </c>
      <c r="B2806" s="52">
        <v>1</v>
      </c>
    </row>
    <row r="2807" spans="1:2" x14ac:dyDescent="0.35">
      <c r="A2807" s="15">
        <v>6506002508</v>
      </c>
      <c r="B2807" s="52">
        <v>1</v>
      </c>
    </row>
    <row r="2808" spans="1:2" x14ac:dyDescent="0.35">
      <c r="A2808" s="15">
        <v>6506002509</v>
      </c>
      <c r="B2808" s="52">
        <v>1</v>
      </c>
    </row>
    <row r="2809" spans="1:2" x14ac:dyDescent="0.35">
      <c r="A2809" s="15">
        <v>6506003008</v>
      </c>
      <c r="B2809" s="52">
        <v>1</v>
      </c>
    </row>
    <row r="2810" spans="1:2" x14ac:dyDescent="0.35">
      <c r="A2810" s="15">
        <v>6506003009</v>
      </c>
      <c r="B2810" s="52">
        <v>1</v>
      </c>
    </row>
    <row r="2811" spans="1:2" x14ac:dyDescent="0.35">
      <c r="A2811" s="15">
        <v>6506003508</v>
      </c>
      <c r="B2811" s="52">
        <v>1</v>
      </c>
    </row>
    <row r="2812" spans="1:2" x14ac:dyDescent="0.35">
      <c r="A2812" s="15">
        <v>6506004008</v>
      </c>
      <c r="B2812" s="52">
        <v>1</v>
      </c>
    </row>
    <row r="2813" spans="1:2" x14ac:dyDescent="0.35">
      <c r="A2813" s="15">
        <v>6506004508</v>
      </c>
      <c r="B2813" s="52">
        <v>1</v>
      </c>
    </row>
    <row r="2814" spans="1:2" x14ac:dyDescent="0.35">
      <c r="A2814" s="15">
        <v>6506005008</v>
      </c>
      <c r="B2814" s="52">
        <v>1</v>
      </c>
    </row>
    <row r="2815" spans="1:2" x14ac:dyDescent="0.35">
      <c r="A2815" s="15">
        <v>6508001208</v>
      </c>
      <c r="B2815" s="52">
        <v>1</v>
      </c>
    </row>
    <row r="2816" spans="1:2" x14ac:dyDescent="0.35">
      <c r="A2816" s="15">
        <v>6508001603</v>
      </c>
      <c r="B2816" s="52">
        <v>1</v>
      </c>
    </row>
    <row r="2817" spans="1:2" x14ac:dyDescent="0.35">
      <c r="A2817" s="15">
        <v>6508001609</v>
      </c>
      <c r="B2817" s="52">
        <v>1</v>
      </c>
    </row>
    <row r="2818" spans="1:2" x14ac:dyDescent="0.35">
      <c r="A2818" s="15">
        <v>6508002008</v>
      </c>
      <c r="B2818" s="52">
        <v>1</v>
      </c>
    </row>
    <row r="2819" spans="1:2" x14ac:dyDescent="0.35">
      <c r="A2819" s="15">
        <v>6508002503</v>
      </c>
      <c r="B2819" s="52">
        <v>1</v>
      </c>
    </row>
    <row r="2820" spans="1:2" x14ac:dyDescent="0.35">
      <c r="A2820" s="15">
        <v>6508002508</v>
      </c>
      <c r="B2820" s="52">
        <v>1</v>
      </c>
    </row>
    <row r="2821" spans="1:2" x14ac:dyDescent="0.35">
      <c r="A2821" s="15">
        <v>6508003008</v>
      </c>
      <c r="B2821" s="52">
        <v>1</v>
      </c>
    </row>
    <row r="2822" spans="1:2" x14ac:dyDescent="0.35">
      <c r="A2822" s="15">
        <v>6508003508</v>
      </c>
      <c r="B2822" s="52">
        <v>1</v>
      </c>
    </row>
    <row r="2823" spans="1:2" x14ac:dyDescent="0.35">
      <c r="A2823" s="15">
        <v>6508004008</v>
      </c>
      <c r="B2823" s="52">
        <v>1</v>
      </c>
    </row>
    <row r="2824" spans="1:2" x14ac:dyDescent="0.35">
      <c r="A2824" s="15">
        <v>6510001607</v>
      </c>
      <c r="B2824" s="52">
        <v>1</v>
      </c>
    </row>
    <row r="2825" spans="1:2" x14ac:dyDescent="0.35">
      <c r="A2825" s="15">
        <v>6510002003</v>
      </c>
      <c r="B2825" s="52">
        <v>1</v>
      </c>
    </row>
    <row r="2826" spans="1:2" x14ac:dyDescent="0.35">
      <c r="A2826" s="15">
        <v>6510002508</v>
      </c>
      <c r="B2826" s="52">
        <v>1</v>
      </c>
    </row>
    <row r="2827" spans="1:2" x14ac:dyDescent="0.35">
      <c r="A2827" s="15">
        <v>6510005008</v>
      </c>
      <c r="B2827" s="52">
        <v>1</v>
      </c>
    </row>
    <row r="2828" spans="1:2" x14ac:dyDescent="0.35">
      <c r="A2828" s="15">
        <v>6510008008</v>
      </c>
      <c r="B2828" s="52">
        <v>1</v>
      </c>
    </row>
    <row r="2829" spans="1:2" x14ac:dyDescent="0.35">
      <c r="A2829" s="15">
        <v>6512002007</v>
      </c>
      <c r="B2829" s="52">
        <v>1</v>
      </c>
    </row>
    <row r="2830" spans="1:2" x14ac:dyDescent="0.35">
      <c r="A2830" s="15">
        <v>6512002507</v>
      </c>
      <c r="B2830" s="52">
        <v>1</v>
      </c>
    </row>
    <row r="2831" spans="1:2" x14ac:dyDescent="0.35">
      <c r="A2831" s="15">
        <v>6512003007</v>
      </c>
      <c r="B2831" s="52">
        <v>1</v>
      </c>
    </row>
    <row r="2832" spans="1:2" x14ac:dyDescent="0.35">
      <c r="A2832" s="15">
        <v>6512003507</v>
      </c>
      <c r="B2832" s="52">
        <v>1</v>
      </c>
    </row>
    <row r="2833" spans="1:2" x14ac:dyDescent="0.35">
      <c r="A2833" s="15">
        <v>6512004007</v>
      </c>
      <c r="B2833" s="52">
        <v>1</v>
      </c>
    </row>
    <row r="2834" spans="1:2" x14ac:dyDescent="0.35">
      <c r="A2834" s="15">
        <v>6512004008</v>
      </c>
      <c r="B2834" s="52">
        <v>1</v>
      </c>
    </row>
    <row r="2835" spans="1:2" x14ac:dyDescent="0.35">
      <c r="A2835" s="15">
        <v>6512005007</v>
      </c>
      <c r="B2835" s="52">
        <v>1</v>
      </c>
    </row>
    <row r="2836" spans="1:2" x14ac:dyDescent="0.35">
      <c r="A2836" s="15">
        <v>6706320001</v>
      </c>
      <c r="B2836" s="52">
        <v>1</v>
      </c>
    </row>
    <row r="2837" spans="1:2" x14ac:dyDescent="0.35">
      <c r="A2837" s="15">
        <v>6714200001</v>
      </c>
      <c r="B2837" s="52">
        <v>1</v>
      </c>
    </row>
    <row r="2838" spans="1:2" x14ac:dyDescent="0.35">
      <c r="A2838" s="15">
        <v>6804401404</v>
      </c>
      <c r="B2838" s="52">
        <v>1</v>
      </c>
    </row>
    <row r="2839" spans="1:2" x14ac:dyDescent="0.35">
      <c r="A2839" s="15">
        <v>6804403804</v>
      </c>
      <c r="B2839" s="52">
        <v>1</v>
      </c>
    </row>
    <row r="2840" spans="1:2" x14ac:dyDescent="0.35">
      <c r="A2840" s="15">
        <v>6806321008</v>
      </c>
      <c r="B2840" s="52">
        <v>1</v>
      </c>
    </row>
    <row r="2841" spans="1:2" x14ac:dyDescent="0.35">
      <c r="A2841" s="15">
        <v>6806321201</v>
      </c>
      <c r="B2841" s="52">
        <v>1</v>
      </c>
    </row>
    <row r="2842" spans="1:2" x14ac:dyDescent="0.35">
      <c r="A2842" s="15">
        <v>6806321408</v>
      </c>
      <c r="B2842" s="52">
        <v>1</v>
      </c>
    </row>
    <row r="2843" spans="1:2" x14ac:dyDescent="0.35">
      <c r="A2843" s="15">
        <v>6806323808</v>
      </c>
      <c r="B2843" s="52">
        <v>1</v>
      </c>
    </row>
    <row r="2844" spans="1:2" x14ac:dyDescent="0.35">
      <c r="A2844" s="15">
        <v>6806323809</v>
      </c>
      <c r="B2844" s="52">
        <v>1</v>
      </c>
    </row>
    <row r="2845" spans="1:2" x14ac:dyDescent="0.35">
      <c r="A2845" s="15">
        <v>6808321008</v>
      </c>
      <c r="B2845" s="52">
        <v>1</v>
      </c>
    </row>
    <row r="2846" spans="1:2" x14ac:dyDescent="0.35">
      <c r="A2846" s="15">
        <v>6808321201</v>
      </c>
      <c r="B2846" s="52">
        <v>1</v>
      </c>
    </row>
    <row r="2847" spans="1:2" x14ac:dyDescent="0.35">
      <c r="A2847" s="15">
        <v>6808323208</v>
      </c>
      <c r="B2847" s="52">
        <v>1</v>
      </c>
    </row>
    <row r="2848" spans="1:2" x14ac:dyDescent="0.35">
      <c r="A2848" s="15">
        <v>6808323609</v>
      </c>
      <c r="B2848" s="52">
        <v>1</v>
      </c>
    </row>
    <row r="2849" spans="1:2" x14ac:dyDescent="0.35">
      <c r="A2849" s="15">
        <v>6808323808</v>
      </c>
      <c r="B2849" s="52">
        <v>1</v>
      </c>
    </row>
    <row r="2850" spans="1:2" x14ac:dyDescent="0.35">
      <c r="A2850" s="15">
        <v>6808325808</v>
      </c>
      <c r="B2850" s="52">
        <v>1</v>
      </c>
    </row>
    <row r="2851" spans="1:2" x14ac:dyDescent="0.35">
      <c r="A2851" s="15">
        <v>6810321208</v>
      </c>
      <c r="B2851" s="52">
        <v>1</v>
      </c>
    </row>
    <row r="2852" spans="1:2" x14ac:dyDescent="0.35">
      <c r="A2852" s="15">
        <v>6810321404</v>
      </c>
      <c r="B2852" s="52">
        <v>1</v>
      </c>
    </row>
    <row r="2853" spans="1:2" x14ac:dyDescent="0.35">
      <c r="A2853" s="15">
        <v>6810321408</v>
      </c>
      <c r="B2853" s="52">
        <v>1</v>
      </c>
    </row>
    <row r="2854" spans="1:2" x14ac:dyDescent="0.35">
      <c r="A2854" s="15">
        <v>6810323804</v>
      </c>
      <c r="B2854" s="52">
        <v>1</v>
      </c>
    </row>
    <row r="2855" spans="1:2" x14ac:dyDescent="0.35">
      <c r="A2855" s="15">
        <v>6810325608</v>
      </c>
      <c r="B2855" s="52">
        <v>1</v>
      </c>
    </row>
    <row r="2856" spans="1:2" x14ac:dyDescent="0.35">
      <c r="A2856" s="15">
        <v>6814201208</v>
      </c>
      <c r="B2856" s="52">
        <v>1</v>
      </c>
    </row>
    <row r="2857" spans="1:2" x14ac:dyDescent="0.35">
      <c r="A2857" s="15">
        <v>6814203804</v>
      </c>
      <c r="B2857" s="52">
        <v>1</v>
      </c>
    </row>
    <row r="2858" spans="1:2" x14ac:dyDescent="0.35">
      <c r="A2858" s="15">
        <v>8000000644</v>
      </c>
      <c r="B2858" s="52">
        <v>1</v>
      </c>
    </row>
    <row r="2859" spans="1:2" x14ac:dyDescent="0.35">
      <c r="A2859" s="15">
        <v>8000008251</v>
      </c>
      <c r="B2859" s="52">
        <v>1</v>
      </c>
    </row>
    <row r="2860" spans="1:2" x14ac:dyDescent="0.35">
      <c r="A2860" s="15" t="s">
        <v>3593</v>
      </c>
      <c r="B2860" s="52">
        <v>1</v>
      </c>
    </row>
    <row r="2861" spans="1:2" x14ac:dyDescent="0.35">
      <c r="A2861" s="15" t="s">
        <v>3583</v>
      </c>
      <c r="B2861" s="52">
        <v>1</v>
      </c>
    </row>
    <row r="2862" spans="1:2" x14ac:dyDescent="0.35">
      <c r="A2862" s="15" t="s">
        <v>3648</v>
      </c>
      <c r="B2862" s="52">
        <v>1</v>
      </c>
    </row>
    <row r="2863" spans="1:2" x14ac:dyDescent="0.35">
      <c r="A2863" s="15" t="s">
        <v>803</v>
      </c>
      <c r="B2863" s="52">
        <v>1</v>
      </c>
    </row>
    <row r="2864" spans="1:2" x14ac:dyDescent="0.35">
      <c r="A2864" s="15" t="s">
        <v>829</v>
      </c>
      <c r="B2864" s="52">
        <v>1</v>
      </c>
    </row>
    <row r="2865" spans="1:2" x14ac:dyDescent="0.35">
      <c r="A2865" s="15" t="s">
        <v>3352</v>
      </c>
      <c r="B2865" s="52">
        <v>1</v>
      </c>
    </row>
    <row r="2866" spans="1:2" x14ac:dyDescent="0.35">
      <c r="A2866" s="15" t="s">
        <v>3836</v>
      </c>
      <c r="B2866" s="52">
        <v>1</v>
      </c>
    </row>
    <row r="2867" spans="1:2" x14ac:dyDescent="0.35">
      <c r="A2867" s="15" t="s">
        <v>4144</v>
      </c>
      <c r="B2867" s="52">
        <v>1</v>
      </c>
    </row>
    <row r="2868" spans="1:2" x14ac:dyDescent="0.35">
      <c r="A2868" s="15" t="s">
        <v>4168</v>
      </c>
      <c r="B2868" s="52">
        <v>1</v>
      </c>
    </row>
    <row r="2869" spans="1:2" x14ac:dyDescent="0.35">
      <c r="A2869" s="15" t="s">
        <v>3889</v>
      </c>
      <c r="B2869" s="52">
        <v>1</v>
      </c>
    </row>
    <row r="2870" spans="1:2" x14ac:dyDescent="0.35">
      <c r="A2870" s="15" t="s">
        <v>3862</v>
      </c>
      <c r="B2870" s="52">
        <v>1</v>
      </c>
    </row>
    <row r="2871" spans="1:2" x14ac:dyDescent="0.35">
      <c r="A2871" s="15" t="s">
        <v>4109</v>
      </c>
      <c r="B2871" s="52">
        <v>1</v>
      </c>
    </row>
    <row r="2872" spans="1:2" x14ac:dyDescent="0.35">
      <c r="A2872" s="15" t="s">
        <v>4107</v>
      </c>
      <c r="B2872" s="52">
        <v>1</v>
      </c>
    </row>
    <row r="2873" spans="1:2" x14ac:dyDescent="0.35">
      <c r="A2873" s="15" t="s">
        <v>4181</v>
      </c>
      <c r="B2873" s="52">
        <v>1</v>
      </c>
    </row>
    <row r="2874" spans="1:2" x14ac:dyDescent="0.35">
      <c r="A2874" s="15" t="s">
        <v>4188</v>
      </c>
      <c r="B2874" s="52">
        <v>1</v>
      </c>
    </row>
    <row r="2875" spans="1:2" x14ac:dyDescent="0.35">
      <c r="A2875" s="15" t="s">
        <v>4052</v>
      </c>
      <c r="B2875" s="52">
        <v>1</v>
      </c>
    </row>
    <row r="2876" spans="1:2" x14ac:dyDescent="0.35">
      <c r="A2876" s="15" t="s">
        <v>4053</v>
      </c>
      <c r="B2876" s="52">
        <v>1</v>
      </c>
    </row>
    <row r="2877" spans="1:2" x14ac:dyDescent="0.35">
      <c r="A2877" s="15" t="s">
        <v>4118</v>
      </c>
      <c r="B2877" s="52">
        <v>1</v>
      </c>
    </row>
    <row r="2878" spans="1:2" x14ac:dyDescent="0.35">
      <c r="A2878" s="15" t="s">
        <v>4182</v>
      </c>
      <c r="B2878" s="52">
        <v>1</v>
      </c>
    </row>
    <row r="2879" spans="1:2" x14ac:dyDescent="0.35">
      <c r="A2879" s="15" t="s">
        <v>3908</v>
      </c>
      <c r="B2879" s="52">
        <v>1</v>
      </c>
    </row>
    <row r="2880" spans="1:2" x14ac:dyDescent="0.35">
      <c r="A2880" s="15" t="s">
        <v>3840</v>
      </c>
      <c r="B2880" s="52">
        <v>1</v>
      </c>
    </row>
    <row r="2881" spans="1:2" x14ac:dyDescent="0.35">
      <c r="A2881" s="15" t="s">
        <v>3794</v>
      </c>
      <c r="B2881" s="52">
        <v>1</v>
      </c>
    </row>
    <row r="2882" spans="1:2" x14ac:dyDescent="0.35">
      <c r="A2882" s="15" t="s">
        <v>2480</v>
      </c>
      <c r="B2882" s="52">
        <v>1</v>
      </c>
    </row>
    <row r="2883" spans="1:2" x14ac:dyDescent="0.35">
      <c r="A2883" s="15" t="s">
        <v>3755</v>
      </c>
      <c r="B2883" s="52">
        <v>1</v>
      </c>
    </row>
    <row r="2884" spans="1:2" x14ac:dyDescent="0.35">
      <c r="A2884" s="15" t="s">
        <v>3726</v>
      </c>
      <c r="B2884" s="52">
        <v>1</v>
      </c>
    </row>
    <row r="2885" spans="1:2" x14ac:dyDescent="0.35">
      <c r="A2885" s="15" t="s">
        <v>3706</v>
      </c>
      <c r="B2885" s="52">
        <v>1</v>
      </c>
    </row>
    <row r="2886" spans="1:2" x14ac:dyDescent="0.35">
      <c r="A2886" s="15" t="s">
        <v>3729</v>
      </c>
      <c r="B2886" s="52">
        <v>1</v>
      </c>
    </row>
    <row r="2887" spans="1:2" x14ac:dyDescent="0.35">
      <c r="A2887" s="15" t="s">
        <v>806</v>
      </c>
      <c r="B2887" s="52">
        <v>1</v>
      </c>
    </row>
    <row r="2888" spans="1:2" x14ac:dyDescent="0.35">
      <c r="A2888" s="15" t="s">
        <v>3815</v>
      </c>
      <c r="B2888" s="52">
        <v>1</v>
      </c>
    </row>
    <row r="2889" spans="1:2" x14ac:dyDescent="0.35">
      <c r="A2889" s="15" t="s">
        <v>3872</v>
      </c>
      <c r="B2889" s="52">
        <v>1</v>
      </c>
    </row>
    <row r="2890" spans="1:2" x14ac:dyDescent="0.35">
      <c r="A2890" s="15" t="s">
        <v>3746</v>
      </c>
      <c r="B2890" s="52">
        <v>1</v>
      </c>
    </row>
    <row r="2891" spans="1:2" x14ac:dyDescent="0.35">
      <c r="A2891" s="15" t="s">
        <v>3934</v>
      </c>
      <c r="B2891" s="52">
        <v>1</v>
      </c>
    </row>
    <row r="2892" spans="1:2" x14ac:dyDescent="0.35">
      <c r="A2892" s="15" t="s">
        <v>4097</v>
      </c>
      <c r="B2892" s="52">
        <v>1</v>
      </c>
    </row>
    <row r="2893" spans="1:2" x14ac:dyDescent="0.35">
      <c r="A2893" s="15" t="s">
        <v>3803</v>
      </c>
      <c r="B2893" s="52">
        <v>1</v>
      </c>
    </row>
    <row r="2894" spans="1:2" x14ac:dyDescent="0.35">
      <c r="A2894" s="15" t="s">
        <v>3796</v>
      </c>
      <c r="B2894" s="52">
        <v>1</v>
      </c>
    </row>
    <row r="2895" spans="1:2" x14ac:dyDescent="0.35">
      <c r="A2895" s="15" t="s">
        <v>3752</v>
      </c>
      <c r="B2895" s="52">
        <v>1</v>
      </c>
    </row>
    <row r="2896" spans="1:2" x14ac:dyDescent="0.35">
      <c r="A2896" s="15" t="s">
        <v>3749</v>
      </c>
      <c r="B2896" s="52">
        <v>1</v>
      </c>
    </row>
    <row r="2897" spans="1:2" x14ac:dyDescent="0.35">
      <c r="A2897" s="15" t="s">
        <v>3810</v>
      </c>
      <c r="B2897" s="52">
        <v>1</v>
      </c>
    </row>
    <row r="2898" spans="1:2" x14ac:dyDescent="0.35">
      <c r="A2898" s="15" t="s">
        <v>2966</v>
      </c>
      <c r="B2898" s="52">
        <v>1</v>
      </c>
    </row>
    <row r="2899" spans="1:2" x14ac:dyDescent="0.35">
      <c r="A2899" s="15" t="s">
        <v>3978</v>
      </c>
      <c r="B2899" s="52">
        <v>1</v>
      </c>
    </row>
    <row r="2900" spans="1:2" x14ac:dyDescent="0.35">
      <c r="A2900" s="15" t="s">
        <v>3716</v>
      </c>
      <c r="B2900" s="52">
        <v>1</v>
      </c>
    </row>
    <row r="2901" spans="1:2" x14ac:dyDescent="0.35">
      <c r="A2901" s="15" t="s">
        <v>3299</v>
      </c>
      <c r="B2901" s="52">
        <v>1</v>
      </c>
    </row>
    <row r="2902" spans="1:2" x14ac:dyDescent="0.35">
      <c r="A2902" s="15" t="s">
        <v>3589</v>
      </c>
      <c r="B2902" s="52">
        <v>1</v>
      </c>
    </row>
    <row r="2903" spans="1:2" x14ac:dyDescent="0.35">
      <c r="A2903" s="15" t="s">
        <v>801</v>
      </c>
      <c r="B2903" s="52">
        <v>1</v>
      </c>
    </row>
    <row r="2904" spans="1:2" x14ac:dyDescent="0.35">
      <c r="A2904" s="15" t="s">
        <v>831</v>
      </c>
      <c r="B2904" s="52">
        <v>1</v>
      </c>
    </row>
    <row r="2905" spans="1:2" x14ac:dyDescent="0.35">
      <c r="A2905" s="15" t="s">
        <v>3591</v>
      </c>
      <c r="B2905" s="52">
        <v>1</v>
      </c>
    </row>
    <row r="2906" spans="1:2" x14ac:dyDescent="0.35">
      <c r="A2906" s="15" t="s">
        <v>3712</v>
      </c>
      <c r="B2906" s="52">
        <v>1</v>
      </c>
    </row>
    <row r="2907" spans="1:2" x14ac:dyDescent="0.35">
      <c r="A2907" s="15" t="s">
        <v>3849</v>
      </c>
      <c r="B2907" s="52">
        <v>1</v>
      </c>
    </row>
    <row r="2908" spans="1:2" x14ac:dyDescent="0.35">
      <c r="A2908" s="15" t="s">
        <v>3850</v>
      </c>
      <c r="B2908" s="52">
        <v>1</v>
      </c>
    </row>
    <row r="2909" spans="1:2" x14ac:dyDescent="0.35">
      <c r="A2909" s="15" t="s">
        <v>3776</v>
      </c>
      <c r="B2909" s="52">
        <v>1</v>
      </c>
    </row>
    <row r="2910" spans="1:2" x14ac:dyDescent="0.35">
      <c r="A2910" s="15" t="s">
        <v>3659</v>
      </c>
      <c r="B2910" s="52">
        <v>1</v>
      </c>
    </row>
    <row r="2911" spans="1:2" x14ac:dyDescent="0.35">
      <c r="A2911" s="15" t="s">
        <v>3690</v>
      </c>
      <c r="B2911" s="52">
        <v>1</v>
      </c>
    </row>
    <row r="2912" spans="1:2" x14ac:dyDescent="0.35">
      <c r="A2912" s="15" t="s">
        <v>3673</v>
      </c>
      <c r="B2912" s="52">
        <v>1</v>
      </c>
    </row>
    <row r="2913" spans="1:2" x14ac:dyDescent="0.35">
      <c r="A2913" s="15" t="s">
        <v>3830</v>
      </c>
      <c r="B2913" s="52">
        <v>1</v>
      </c>
    </row>
    <row r="2914" spans="1:2" x14ac:dyDescent="0.35">
      <c r="A2914" s="15" t="s">
        <v>3831</v>
      </c>
      <c r="B2914" s="52">
        <v>1</v>
      </c>
    </row>
    <row r="2915" spans="1:2" x14ac:dyDescent="0.35">
      <c r="A2915" s="15" t="s">
        <v>3655</v>
      </c>
      <c r="B2915" s="52">
        <v>1</v>
      </c>
    </row>
    <row r="2916" spans="1:2" x14ac:dyDescent="0.35">
      <c r="A2916" s="15" t="s">
        <v>4017</v>
      </c>
      <c r="B2916" s="52">
        <v>1</v>
      </c>
    </row>
    <row r="2917" spans="1:2" x14ac:dyDescent="0.35">
      <c r="A2917" s="15" t="s">
        <v>3672</v>
      </c>
      <c r="B2917" s="52">
        <v>1</v>
      </c>
    </row>
    <row r="2918" spans="1:2" x14ac:dyDescent="0.35">
      <c r="A2918" s="15" t="s">
        <v>3881</v>
      </c>
      <c r="B2918" s="52">
        <v>1</v>
      </c>
    </row>
    <row r="2919" spans="1:2" x14ac:dyDescent="0.35">
      <c r="A2919" s="15" t="s">
        <v>4147</v>
      </c>
      <c r="B2919" s="52">
        <v>1</v>
      </c>
    </row>
    <row r="2920" spans="1:2" x14ac:dyDescent="0.35">
      <c r="A2920" s="15" t="s">
        <v>4125</v>
      </c>
      <c r="B2920" s="52">
        <v>1</v>
      </c>
    </row>
    <row r="2921" spans="1:2" x14ac:dyDescent="0.35">
      <c r="A2921" s="15" t="s">
        <v>3681</v>
      </c>
      <c r="B2921" s="52">
        <v>1</v>
      </c>
    </row>
    <row r="2922" spans="1:2" x14ac:dyDescent="0.35">
      <c r="A2922" s="15" t="s">
        <v>3689</v>
      </c>
      <c r="B2922" s="52">
        <v>1</v>
      </c>
    </row>
    <row r="2923" spans="1:2" x14ac:dyDescent="0.35">
      <c r="A2923" s="15" t="s">
        <v>3825</v>
      </c>
      <c r="B2923" s="52">
        <v>1</v>
      </c>
    </row>
    <row r="2924" spans="1:2" x14ac:dyDescent="0.35">
      <c r="A2924" s="15" t="s">
        <v>3700</v>
      </c>
      <c r="B2924" s="52">
        <v>1</v>
      </c>
    </row>
    <row r="2925" spans="1:2" x14ac:dyDescent="0.35">
      <c r="A2925" s="15" t="s">
        <v>3768</v>
      </c>
      <c r="B2925" s="52">
        <v>1</v>
      </c>
    </row>
    <row r="2926" spans="1:2" x14ac:dyDescent="0.35">
      <c r="A2926" s="15" t="s">
        <v>3698</v>
      </c>
      <c r="B2926" s="52">
        <v>1</v>
      </c>
    </row>
    <row r="2927" spans="1:2" x14ac:dyDescent="0.35">
      <c r="A2927" s="15" t="s">
        <v>3694</v>
      </c>
      <c r="B2927" s="52">
        <v>1</v>
      </c>
    </row>
    <row r="2928" spans="1:2" x14ac:dyDescent="0.35">
      <c r="A2928" s="15" t="s">
        <v>3787</v>
      </c>
      <c r="B2928" s="52">
        <v>1</v>
      </c>
    </row>
    <row r="2929" spans="1:2" x14ac:dyDescent="0.35">
      <c r="A2929" s="15" t="s">
        <v>3685</v>
      </c>
      <c r="B2929" s="52">
        <v>1</v>
      </c>
    </row>
    <row r="2930" spans="1:2" x14ac:dyDescent="0.35">
      <c r="A2930" s="15" t="s">
        <v>4066</v>
      </c>
      <c r="B2930" s="52">
        <v>1</v>
      </c>
    </row>
    <row r="2931" spans="1:2" x14ac:dyDescent="0.35">
      <c r="A2931" s="15" t="s">
        <v>3798</v>
      </c>
      <c r="B2931" s="52">
        <v>1</v>
      </c>
    </row>
    <row r="2932" spans="1:2" x14ac:dyDescent="0.35">
      <c r="A2932" s="15" t="s">
        <v>2754</v>
      </c>
      <c r="B2932" s="52">
        <v>1</v>
      </c>
    </row>
    <row r="2933" spans="1:2" x14ac:dyDescent="0.35">
      <c r="A2933" s="15" t="s">
        <v>3939</v>
      </c>
      <c r="B2933" s="52">
        <v>1</v>
      </c>
    </row>
    <row r="2934" spans="1:2" x14ac:dyDescent="0.35">
      <c r="A2934" s="15" t="s">
        <v>3974</v>
      </c>
      <c r="B2934" s="52">
        <v>1</v>
      </c>
    </row>
    <row r="2935" spans="1:2" x14ac:dyDescent="0.35">
      <c r="A2935" s="15" t="s">
        <v>3906</v>
      </c>
      <c r="B2935" s="52">
        <v>1</v>
      </c>
    </row>
    <row r="2936" spans="1:2" x14ac:dyDescent="0.35">
      <c r="A2936" s="15" t="s">
        <v>3981</v>
      </c>
      <c r="B2936" s="52">
        <v>1</v>
      </c>
    </row>
    <row r="2937" spans="1:2" x14ac:dyDescent="0.35">
      <c r="A2937" s="15" t="s">
        <v>710</v>
      </c>
      <c r="B2937" s="52">
        <v>1</v>
      </c>
    </row>
    <row r="2938" spans="1:2" x14ac:dyDescent="0.35">
      <c r="A2938" s="15" t="s">
        <v>3769</v>
      </c>
      <c r="B2938" s="52">
        <v>1</v>
      </c>
    </row>
    <row r="2939" spans="1:2" x14ac:dyDescent="0.35">
      <c r="A2939" s="15" t="s">
        <v>4128</v>
      </c>
      <c r="B2939" s="52">
        <v>1</v>
      </c>
    </row>
    <row r="2940" spans="1:2" x14ac:dyDescent="0.35">
      <c r="A2940" s="15" t="s">
        <v>4126</v>
      </c>
      <c r="B2940" s="52">
        <v>1</v>
      </c>
    </row>
    <row r="2941" spans="1:2" x14ac:dyDescent="0.35">
      <c r="A2941" s="15" t="s">
        <v>3754</v>
      </c>
      <c r="B2941" s="52">
        <v>1</v>
      </c>
    </row>
    <row r="2942" spans="1:2" x14ac:dyDescent="0.35">
      <c r="A2942" s="15" t="s">
        <v>3795</v>
      </c>
      <c r="B2942" s="52">
        <v>1</v>
      </c>
    </row>
    <row r="2943" spans="1:2" x14ac:dyDescent="0.35">
      <c r="A2943" s="15" t="s">
        <v>3741</v>
      </c>
      <c r="B2943" s="52">
        <v>1</v>
      </c>
    </row>
    <row r="2944" spans="1:2" x14ac:dyDescent="0.35">
      <c r="A2944" s="15" t="s">
        <v>3781</v>
      </c>
      <c r="B2944" s="52">
        <v>1</v>
      </c>
    </row>
    <row r="2945" spans="1:2" x14ac:dyDescent="0.35">
      <c r="A2945" s="15" t="s">
        <v>3743</v>
      </c>
      <c r="B2945" s="52">
        <v>1</v>
      </c>
    </row>
    <row r="2946" spans="1:2" x14ac:dyDescent="0.35">
      <c r="A2946" s="15" t="s">
        <v>2699</v>
      </c>
      <c r="B2946" s="52">
        <v>1</v>
      </c>
    </row>
    <row r="2947" spans="1:2" x14ac:dyDescent="0.35">
      <c r="A2947" s="15" t="s">
        <v>3744</v>
      </c>
      <c r="B2947" s="52">
        <v>1</v>
      </c>
    </row>
    <row r="2948" spans="1:2" x14ac:dyDescent="0.35">
      <c r="A2948" s="15" t="s">
        <v>3725</v>
      </c>
      <c r="B2948" s="52">
        <v>1</v>
      </c>
    </row>
    <row r="2949" spans="1:2" x14ac:dyDescent="0.35">
      <c r="A2949" s="15" t="s">
        <v>3724</v>
      </c>
      <c r="B2949" s="52">
        <v>1</v>
      </c>
    </row>
    <row r="2950" spans="1:2" x14ac:dyDescent="0.35">
      <c r="A2950" s="15" t="s">
        <v>3580</v>
      </c>
      <c r="B2950" s="52">
        <v>1</v>
      </c>
    </row>
    <row r="2951" spans="1:2" x14ac:dyDescent="0.35">
      <c r="A2951" s="15" t="s">
        <v>3804</v>
      </c>
      <c r="B2951" s="52">
        <v>1</v>
      </c>
    </row>
    <row r="2952" spans="1:2" x14ac:dyDescent="0.35">
      <c r="A2952" s="15" t="s">
        <v>3998</v>
      </c>
      <c r="B2952" s="52">
        <v>1</v>
      </c>
    </row>
    <row r="2953" spans="1:2" x14ac:dyDescent="0.35">
      <c r="A2953" s="15" t="s">
        <v>4122</v>
      </c>
      <c r="B2953" s="52">
        <v>1</v>
      </c>
    </row>
    <row r="2954" spans="1:2" x14ac:dyDescent="0.35">
      <c r="A2954" s="15" t="s">
        <v>4123</v>
      </c>
      <c r="B2954" s="52">
        <v>1</v>
      </c>
    </row>
    <row r="2955" spans="1:2" x14ac:dyDescent="0.35">
      <c r="A2955" s="15" t="s">
        <v>3710</v>
      </c>
      <c r="B2955" s="52">
        <v>1</v>
      </c>
    </row>
    <row r="2956" spans="1:2" x14ac:dyDescent="0.35">
      <c r="A2956" s="15" t="s">
        <v>85</v>
      </c>
      <c r="B2956" s="52">
        <v>1</v>
      </c>
    </row>
    <row r="2957" spans="1:2" x14ac:dyDescent="0.35">
      <c r="A2957" s="15" t="s">
        <v>3905</v>
      </c>
      <c r="B2957" s="52">
        <v>1</v>
      </c>
    </row>
    <row r="2958" spans="1:2" x14ac:dyDescent="0.35">
      <c r="A2958" s="15" t="s">
        <v>3983</v>
      </c>
      <c r="B2958" s="52">
        <v>1</v>
      </c>
    </row>
    <row r="2959" spans="1:2" x14ac:dyDescent="0.35">
      <c r="A2959" s="15" t="s">
        <v>4074</v>
      </c>
      <c r="B2959" s="52">
        <v>1</v>
      </c>
    </row>
    <row r="2960" spans="1:2" x14ac:dyDescent="0.35">
      <c r="A2960" s="15" t="s">
        <v>3613</v>
      </c>
      <c r="B2960" s="52">
        <v>1</v>
      </c>
    </row>
    <row r="2961" spans="1:2" x14ac:dyDescent="0.35">
      <c r="A2961" s="15" t="s">
        <v>3679</v>
      </c>
      <c r="B2961" s="52">
        <v>1</v>
      </c>
    </row>
    <row r="2962" spans="1:2" x14ac:dyDescent="0.35">
      <c r="A2962" s="15" t="s">
        <v>3832</v>
      </c>
      <c r="B2962" s="52">
        <v>1</v>
      </c>
    </row>
    <row r="2963" spans="1:2" x14ac:dyDescent="0.35">
      <c r="A2963" s="15" t="s">
        <v>3963</v>
      </c>
      <c r="B2963" s="52">
        <v>1</v>
      </c>
    </row>
    <row r="2964" spans="1:2" x14ac:dyDescent="0.35">
      <c r="A2964" s="15" t="s">
        <v>4060</v>
      </c>
      <c r="B2964" s="52">
        <v>1</v>
      </c>
    </row>
    <row r="2965" spans="1:2" x14ac:dyDescent="0.35">
      <c r="A2965" s="15" t="s">
        <v>3245</v>
      </c>
      <c r="B2965" s="52">
        <v>1</v>
      </c>
    </row>
    <row r="2966" spans="1:2" x14ac:dyDescent="0.35">
      <c r="A2966" s="15" t="s">
        <v>3705</v>
      </c>
      <c r="B2966" s="52">
        <v>1</v>
      </c>
    </row>
    <row r="2967" spans="1:2" x14ac:dyDescent="0.35">
      <c r="A2967" s="15" t="s">
        <v>3607</v>
      </c>
      <c r="B2967" s="52">
        <v>1</v>
      </c>
    </row>
    <row r="2968" spans="1:2" x14ac:dyDescent="0.35">
      <c r="A2968" s="15" t="s">
        <v>3805</v>
      </c>
      <c r="B2968" s="52">
        <v>1</v>
      </c>
    </row>
    <row r="2969" spans="1:2" x14ac:dyDescent="0.35">
      <c r="A2969" s="15" t="s">
        <v>3807</v>
      </c>
      <c r="B2969" s="52">
        <v>1</v>
      </c>
    </row>
    <row r="2970" spans="1:2" x14ac:dyDescent="0.35">
      <c r="A2970" s="15" t="s">
        <v>4016</v>
      </c>
      <c r="B2970" s="52">
        <v>1</v>
      </c>
    </row>
    <row r="2971" spans="1:2" x14ac:dyDescent="0.35">
      <c r="A2971" s="15" t="s">
        <v>3740</v>
      </c>
      <c r="B2971" s="52">
        <v>1</v>
      </c>
    </row>
    <row r="2972" spans="1:2" x14ac:dyDescent="0.35">
      <c r="A2972" s="15" t="s">
        <v>4014</v>
      </c>
      <c r="B2972" s="52">
        <v>1</v>
      </c>
    </row>
    <row r="2973" spans="1:2" x14ac:dyDescent="0.35">
      <c r="A2973" s="15" t="s">
        <v>4142</v>
      </c>
      <c r="B2973" s="52">
        <v>1</v>
      </c>
    </row>
    <row r="2974" spans="1:2" x14ac:dyDescent="0.35">
      <c r="A2974" s="15" t="s">
        <v>3903</v>
      </c>
      <c r="B2974" s="52">
        <v>1</v>
      </c>
    </row>
    <row r="2975" spans="1:2" x14ac:dyDescent="0.35">
      <c r="A2975" s="15" t="s">
        <v>3861</v>
      </c>
      <c r="B2975" s="52">
        <v>1</v>
      </c>
    </row>
    <row r="2976" spans="1:2" x14ac:dyDescent="0.35">
      <c r="A2976" s="15" t="s">
        <v>4143</v>
      </c>
      <c r="B2976" s="52">
        <v>1</v>
      </c>
    </row>
    <row r="2977" spans="1:2" x14ac:dyDescent="0.35">
      <c r="A2977" s="15" t="s">
        <v>3918</v>
      </c>
      <c r="B2977" s="52">
        <v>1</v>
      </c>
    </row>
    <row r="2978" spans="1:2" x14ac:dyDescent="0.35">
      <c r="A2978" s="15" t="s">
        <v>3763</v>
      </c>
      <c r="B2978" s="52">
        <v>1</v>
      </c>
    </row>
    <row r="2979" spans="1:2" x14ac:dyDescent="0.35">
      <c r="A2979" s="15" t="s">
        <v>3684</v>
      </c>
      <c r="B2979" s="52">
        <v>1</v>
      </c>
    </row>
    <row r="2980" spans="1:2" x14ac:dyDescent="0.35">
      <c r="A2980" s="15" t="s">
        <v>4185</v>
      </c>
      <c r="B2980" s="52">
        <v>1</v>
      </c>
    </row>
    <row r="2981" spans="1:2" x14ac:dyDescent="0.35">
      <c r="A2981" s="15" t="s">
        <v>4127</v>
      </c>
      <c r="B2981" s="52">
        <v>1</v>
      </c>
    </row>
    <row r="2982" spans="1:2" x14ac:dyDescent="0.35">
      <c r="A2982" s="15" t="s">
        <v>4099</v>
      </c>
      <c r="B2982" s="52">
        <v>1</v>
      </c>
    </row>
    <row r="2983" spans="1:2" x14ac:dyDescent="0.35">
      <c r="A2983" s="15" t="s">
        <v>3630</v>
      </c>
      <c r="B2983" s="52">
        <v>1</v>
      </c>
    </row>
    <row r="2984" spans="1:2" x14ac:dyDescent="0.35">
      <c r="A2984" s="15" t="s">
        <v>3631</v>
      </c>
      <c r="B2984" s="52">
        <v>1</v>
      </c>
    </row>
    <row r="2985" spans="1:2" x14ac:dyDescent="0.35">
      <c r="A2985" s="15" t="s">
        <v>3628</v>
      </c>
      <c r="B2985" s="52">
        <v>1</v>
      </c>
    </row>
    <row r="2986" spans="1:2" x14ac:dyDescent="0.35">
      <c r="A2986" s="15" t="s">
        <v>3871</v>
      </c>
      <c r="B2986" s="52">
        <v>1</v>
      </c>
    </row>
    <row r="2987" spans="1:2" x14ac:dyDescent="0.35">
      <c r="A2987" s="15" t="s">
        <v>3874</v>
      </c>
      <c r="B2987" s="52">
        <v>1</v>
      </c>
    </row>
    <row r="2988" spans="1:2" x14ac:dyDescent="0.35">
      <c r="A2988" s="15" t="s">
        <v>4023</v>
      </c>
      <c r="B2988" s="52">
        <v>1</v>
      </c>
    </row>
    <row r="2989" spans="1:2" x14ac:dyDescent="0.35">
      <c r="A2989" s="15" t="s">
        <v>4022</v>
      </c>
      <c r="B2989" s="52">
        <v>1</v>
      </c>
    </row>
    <row r="2990" spans="1:2" x14ac:dyDescent="0.35">
      <c r="A2990" s="15" t="s">
        <v>3632</v>
      </c>
      <c r="B2990" s="52">
        <v>1</v>
      </c>
    </row>
    <row r="2991" spans="1:2" x14ac:dyDescent="0.35">
      <c r="A2991" s="15" t="s">
        <v>3938</v>
      </c>
      <c r="B2991" s="52">
        <v>1</v>
      </c>
    </row>
    <row r="2992" spans="1:2" x14ac:dyDescent="0.35">
      <c r="A2992" s="15" t="s">
        <v>3988</v>
      </c>
      <c r="B2992" s="52">
        <v>1</v>
      </c>
    </row>
    <row r="2993" spans="1:2" x14ac:dyDescent="0.35">
      <c r="A2993" s="15" t="s">
        <v>3141</v>
      </c>
      <c r="B2993" s="52">
        <v>1</v>
      </c>
    </row>
    <row r="2994" spans="1:2" x14ac:dyDescent="0.35">
      <c r="A2994" s="15" t="s">
        <v>3972</v>
      </c>
      <c r="B2994" s="52">
        <v>1</v>
      </c>
    </row>
    <row r="2995" spans="1:2" x14ac:dyDescent="0.35">
      <c r="A2995" s="15" t="s">
        <v>3991</v>
      </c>
      <c r="B2995" s="52">
        <v>1</v>
      </c>
    </row>
    <row r="2996" spans="1:2" x14ac:dyDescent="0.35">
      <c r="A2996" s="15" t="s">
        <v>3842</v>
      </c>
      <c r="B2996" s="52">
        <v>1</v>
      </c>
    </row>
    <row r="2997" spans="1:2" x14ac:dyDescent="0.35">
      <c r="A2997" s="15" t="s">
        <v>4187</v>
      </c>
      <c r="B2997" s="52">
        <v>1</v>
      </c>
    </row>
    <row r="2998" spans="1:2" x14ac:dyDescent="0.35">
      <c r="A2998" s="15" t="s">
        <v>4059</v>
      </c>
      <c r="B2998" s="52">
        <v>1</v>
      </c>
    </row>
    <row r="2999" spans="1:2" x14ac:dyDescent="0.35">
      <c r="A2999" s="15" t="s">
        <v>4013</v>
      </c>
      <c r="B2999" s="52">
        <v>1</v>
      </c>
    </row>
    <row r="3000" spans="1:2" x14ac:dyDescent="0.35">
      <c r="A3000" s="15" t="s">
        <v>3984</v>
      </c>
      <c r="B3000" s="52">
        <v>1</v>
      </c>
    </row>
    <row r="3001" spans="1:2" x14ac:dyDescent="0.35">
      <c r="A3001" s="15" t="s">
        <v>3928</v>
      </c>
      <c r="B3001" s="52">
        <v>1</v>
      </c>
    </row>
    <row r="3002" spans="1:2" x14ac:dyDescent="0.35">
      <c r="A3002" s="15" t="s">
        <v>4172</v>
      </c>
      <c r="B3002" s="52">
        <v>1</v>
      </c>
    </row>
    <row r="3003" spans="1:2" x14ac:dyDescent="0.35">
      <c r="A3003" s="15" t="s">
        <v>3327</v>
      </c>
      <c r="B3003" s="52">
        <v>1</v>
      </c>
    </row>
    <row r="3004" spans="1:2" x14ac:dyDescent="0.35">
      <c r="A3004" s="15" t="s">
        <v>3330</v>
      </c>
      <c r="B3004" s="52">
        <v>1</v>
      </c>
    </row>
    <row r="3005" spans="1:2" x14ac:dyDescent="0.35">
      <c r="A3005" s="15" t="s">
        <v>3339</v>
      </c>
      <c r="B3005" s="52">
        <v>1</v>
      </c>
    </row>
    <row r="3006" spans="1:2" x14ac:dyDescent="0.35">
      <c r="A3006" s="15" t="s">
        <v>3333</v>
      </c>
      <c r="B3006" s="52">
        <v>1</v>
      </c>
    </row>
    <row r="3007" spans="1:2" x14ac:dyDescent="0.35">
      <c r="A3007" s="15" t="s">
        <v>732</v>
      </c>
      <c r="B3007" s="52">
        <v>1</v>
      </c>
    </row>
    <row r="3008" spans="1:2" x14ac:dyDescent="0.35">
      <c r="A3008" s="15" t="s">
        <v>3697</v>
      </c>
      <c r="B3008" s="52">
        <v>1</v>
      </c>
    </row>
    <row r="3009" spans="1:2" x14ac:dyDescent="0.35">
      <c r="A3009" s="15" t="s">
        <v>3699</v>
      </c>
      <c r="B3009" s="52">
        <v>1</v>
      </c>
    </row>
    <row r="3010" spans="1:2" x14ac:dyDescent="0.35">
      <c r="A3010" s="15" t="s">
        <v>2986</v>
      </c>
      <c r="B3010" s="52">
        <v>1</v>
      </c>
    </row>
    <row r="3011" spans="1:2" x14ac:dyDescent="0.35">
      <c r="A3011" s="15" t="s">
        <v>4169</v>
      </c>
      <c r="B3011" s="52">
        <v>1</v>
      </c>
    </row>
    <row r="3012" spans="1:2" x14ac:dyDescent="0.35">
      <c r="A3012" s="15" t="s">
        <v>3856</v>
      </c>
      <c r="B3012" s="52">
        <v>1</v>
      </c>
    </row>
    <row r="3013" spans="1:2" x14ac:dyDescent="0.35">
      <c r="A3013" s="15" t="s">
        <v>3857</v>
      </c>
      <c r="B3013" s="52">
        <v>1</v>
      </c>
    </row>
    <row r="3014" spans="1:2" x14ac:dyDescent="0.35">
      <c r="A3014" s="15" t="s">
        <v>3858</v>
      </c>
      <c r="B3014" s="52">
        <v>1</v>
      </c>
    </row>
    <row r="3015" spans="1:2" x14ac:dyDescent="0.35">
      <c r="A3015" s="15" t="s">
        <v>3851</v>
      </c>
      <c r="B3015" s="52">
        <v>1</v>
      </c>
    </row>
    <row r="3016" spans="1:2" x14ac:dyDescent="0.35">
      <c r="A3016" s="15" t="s">
        <v>4089</v>
      </c>
      <c r="B3016" s="52">
        <v>1</v>
      </c>
    </row>
    <row r="3017" spans="1:2" x14ac:dyDescent="0.35">
      <c r="A3017" s="15" t="s">
        <v>4124</v>
      </c>
      <c r="B3017" s="52">
        <v>1</v>
      </c>
    </row>
    <row r="3018" spans="1:2" x14ac:dyDescent="0.35">
      <c r="A3018" s="15" t="s">
        <v>4027</v>
      </c>
      <c r="B3018" s="52">
        <v>1</v>
      </c>
    </row>
    <row r="3019" spans="1:2" x14ac:dyDescent="0.35">
      <c r="A3019" s="15" t="s">
        <v>3865</v>
      </c>
      <c r="B3019" s="52">
        <v>1</v>
      </c>
    </row>
    <row r="3020" spans="1:2" x14ac:dyDescent="0.35">
      <c r="A3020" s="15" t="s">
        <v>3863</v>
      </c>
      <c r="B3020" s="52">
        <v>1</v>
      </c>
    </row>
    <row r="3021" spans="1:2" x14ac:dyDescent="0.35">
      <c r="A3021" s="15" t="s">
        <v>3866</v>
      </c>
      <c r="B3021" s="52">
        <v>1</v>
      </c>
    </row>
    <row r="3022" spans="1:2" x14ac:dyDescent="0.35">
      <c r="A3022" s="15" t="s">
        <v>3083</v>
      </c>
      <c r="B3022" s="52">
        <v>1</v>
      </c>
    </row>
    <row r="3023" spans="1:2" x14ac:dyDescent="0.35">
      <c r="A3023" s="15" t="s">
        <v>2540</v>
      </c>
      <c r="B3023" s="52">
        <v>1</v>
      </c>
    </row>
    <row r="3024" spans="1:2" x14ac:dyDescent="0.35">
      <c r="A3024" s="15" t="s">
        <v>3986</v>
      </c>
      <c r="B3024" s="52">
        <v>1</v>
      </c>
    </row>
    <row r="3025" spans="1:2" x14ac:dyDescent="0.35">
      <c r="A3025" s="15" t="s">
        <v>3652</v>
      </c>
      <c r="B3025" s="52">
        <v>1</v>
      </c>
    </row>
    <row r="3026" spans="1:2" x14ac:dyDescent="0.35">
      <c r="A3026" s="15" t="s">
        <v>4177</v>
      </c>
      <c r="B3026" s="52">
        <v>1</v>
      </c>
    </row>
    <row r="3027" spans="1:2" x14ac:dyDescent="0.35">
      <c r="A3027" s="15" t="s">
        <v>98</v>
      </c>
      <c r="B3027" s="52">
        <v>1</v>
      </c>
    </row>
    <row r="3028" spans="1:2" x14ac:dyDescent="0.35">
      <c r="A3028" s="15" t="s">
        <v>3664</v>
      </c>
      <c r="B3028" s="52">
        <v>1</v>
      </c>
    </row>
    <row r="3029" spans="1:2" x14ac:dyDescent="0.35">
      <c r="A3029" s="15" t="s">
        <v>3775</v>
      </c>
      <c r="B3029" s="52">
        <v>1</v>
      </c>
    </row>
    <row r="3030" spans="1:2" x14ac:dyDescent="0.35">
      <c r="A3030" s="15" t="s">
        <v>3777</v>
      </c>
      <c r="B3030" s="52">
        <v>1</v>
      </c>
    </row>
    <row r="3031" spans="1:2" x14ac:dyDescent="0.35">
      <c r="A3031" s="15" t="s">
        <v>3793</v>
      </c>
      <c r="B3031" s="52">
        <v>1</v>
      </c>
    </row>
    <row r="3032" spans="1:2" x14ac:dyDescent="0.35">
      <c r="A3032" s="15" t="s">
        <v>3808</v>
      </c>
      <c r="B3032" s="52">
        <v>1</v>
      </c>
    </row>
    <row r="3033" spans="1:2" x14ac:dyDescent="0.35">
      <c r="A3033" s="15" t="s">
        <v>4152</v>
      </c>
      <c r="B3033" s="52">
        <v>1</v>
      </c>
    </row>
    <row r="3034" spans="1:2" x14ac:dyDescent="0.35">
      <c r="A3034" s="15" t="s">
        <v>4161</v>
      </c>
      <c r="B3034" s="52">
        <v>1</v>
      </c>
    </row>
    <row r="3035" spans="1:2" x14ac:dyDescent="0.35">
      <c r="A3035" s="15" t="s">
        <v>4159</v>
      </c>
      <c r="B3035" s="52">
        <v>1</v>
      </c>
    </row>
    <row r="3036" spans="1:2" x14ac:dyDescent="0.35">
      <c r="A3036" s="15" t="s">
        <v>4157</v>
      </c>
      <c r="B3036" s="52">
        <v>1</v>
      </c>
    </row>
    <row r="3037" spans="1:2" x14ac:dyDescent="0.35">
      <c r="A3037" s="15" t="s">
        <v>4158</v>
      </c>
      <c r="B3037" s="52">
        <v>1</v>
      </c>
    </row>
    <row r="3038" spans="1:2" x14ac:dyDescent="0.35">
      <c r="A3038" s="15" t="s">
        <v>4150</v>
      </c>
      <c r="B3038" s="52">
        <v>1</v>
      </c>
    </row>
    <row r="3039" spans="1:2" x14ac:dyDescent="0.35">
      <c r="A3039" s="15" t="s">
        <v>4156</v>
      </c>
      <c r="B3039" s="52">
        <v>1</v>
      </c>
    </row>
    <row r="3040" spans="1:2" x14ac:dyDescent="0.35">
      <c r="A3040" s="15" t="s">
        <v>4149</v>
      </c>
      <c r="B3040" s="52">
        <v>1</v>
      </c>
    </row>
    <row r="3041" spans="1:2" x14ac:dyDescent="0.35">
      <c r="A3041" s="15" t="s">
        <v>4160</v>
      </c>
      <c r="B3041" s="52">
        <v>1</v>
      </c>
    </row>
    <row r="3042" spans="1:2" x14ac:dyDescent="0.35">
      <c r="A3042" s="15" t="s">
        <v>4155</v>
      </c>
      <c r="B3042" s="52">
        <v>1</v>
      </c>
    </row>
    <row r="3043" spans="1:2" x14ac:dyDescent="0.35">
      <c r="A3043" s="15" t="s">
        <v>4153</v>
      </c>
      <c r="B3043" s="52">
        <v>1</v>
      </c>
    </row>
    <row r="3044" spans="1:2" x14ac:dyDescent="0.35">
      <c r="A3044" s="15" t="s">
        <v>3975</v>
      </c>
      <c r="B3044" s="52">
        <v>1</v>
      </c>
    </row>
    <row r="3045" spans="1:2" x14ac:dyDescent="0.35">
      <c r="A3045" s="15" t="s">
        <v>3876</v>
      </c>
      <c r="B3045" s="52">
        <v>1</v>
      </c>
    </row>
    <row r="3046" spans="1:2" x14ac:dyDescent="0.35">
      <c r="A3046" s="15" t="s">
        <v>3967</v>
      </c>
      <c r="B3046" s="52">
        <v>1</v>
      </c>
    </row>
    <row r="3047" spans="1:2" x14ac:dyDescent="0.35">
      <c r="A3047" s="15" t="s">
        <v>3609</v>
      </c>
      <c r="B3047" s="52">
        <v>1</v>
      </c>
    </row>
    <row r="3048" spans="1:2" x14ac:dyDescent="0.35">
      <c r="A3048" s="15" t="s">
        <v>3879</v>
      </c>
      <c r="B3048" s="52">
        <v>1</v>
      </c>
    </row>
    <row r="3049" spans="1:2" x14ac:dyDescent="0.35">
      <c r="A3049" s="15" t="s">
        <v>3932</v>
      </c>
      <c r="B3049" s="52">
        <v>1</v>
      </c>
    </row>
    <row r="3050" spans="1:2" x14ac:dyDescent="0.35">
      <c r="A3050" s="15" t="s">
        <v>3897</v>
      </c>
      <c r="B3050" s="52">
        <v>1</v>
      </c>
    </row>
    <row r="3051" spans="1:2" x14ac:dyDescent="0.35">
      <c r="A3051" s="15" t="s">
        <v>4105</v>
      </c>
      <c r="B3051" s="52">
        <v>1</v>
      </c>
    </row>
    <row r="3052" spans="1:2" x14ac:dyDescent="0.35">
      <c r="A3052" s="15" t="s">
        <v>3864</v>
      </c>
      <c r="B3052" s="52">
        <v>1</v>
      </c>
    </row>
    <row r="3053" spans="1:2" x14ac:dyDescent="0.35">
      <c r="A3053" s="15" t="s">
        <v>3941</v>
      </c>
      <c r="B3053" s="52">
        <v>1</v>
      </c>
    </row>
    <row r="3054" spans="1:2" x14ac:dyDescent="0.35">
      <c r="A3054" s="15" t="s">
        <v>4094</v>
      </c>
      <c r="B3054" s="52">
        <v>1</v>
      </c>
    </row>
    <row r="3055" spans="1:2" x14ac:dyDescent="0.35">
      <c r="A3055" s="15" t="s">
        <v>3730</v>
      </c>
      <c r="B3055" s="52">
        <v>1</v>
      </c>
    </row>
    <row r="3056" spans="1:2" x14ac:dyDescent="0.35">
      <c r="A3056" s="15" t="s">
        <v>3818</v>
      </c>
      <c r="B3056" s="52">
        <v>1</v>
      </c>
    </row>
    <row r="3057" spans="1:2" x14ac:dyDescent="0.35">
      <c r="A3057" s="15" t="s">
        <v>4117</v>
      </c>
      <c r="B3057" s="52">
        <v>1</v>
      </c>
    </row>
    <row r="3058" spans="1:2" x14ac:dyDescent="0.35">
      <c r="A3058" s="15" t="s">
        <v>3745</v>
      </c>
      <c r="B3058" s="52">
        <v>1</v>
      </c>
    </row>
    <row r="3059" spans="1:2" x14ac:dyDescent="0.35">
      <c r="A3059" s="15" t="s">
        <v>3692</v>
      </c>
      <c r="B3059" s="52">
        <v>1</v>
      </c>
    </row>
    <row r="3060" spans="1:2" x14ac:dyDescent="0.35">
      <c r="A3060" s="15" t="s">
        <v>4098</v>
      </c>
      <c r="B3060" s="52">
        <v>1</v>
      </c>
    </row>
    <row r="3061" spans="1:2" x14ac:dyDescent="0.35">
      <c r="A3061" s="15" t="s">
        <v>4095</v>
      </c>
      <c r="B3061" s="52">
        <v>1</v>
      </c>
    </row>
    <row r="3062" spans="1:2" x14ac:dyDescent="0.35">
      <c r="A3062" s="15" t="s">
        <v>4007</v>
      </c>
      <c r="B3062" s="52">
        <v>1</v>
      </c>
    </row>
    <row r="3063" spans="1:2" x14ac:dyDescent="0.35">
      <c r="A3063" s="15" t="s">
        <v>3623</v>
      </c>
      <c r="B3063" s="52">
        <v>1</v>
      </c>
    </row>
    <row r="3064" spans="1:2" x14ac:dyDescent="0.35">
      <c r="A3064" s="15" t="s">
        <v>3976</v>
      </c>
      <c r="B3064" s="52">
        <v>1</v>
      </c>
    </row>
    <row r="3065" spans="1:2" x14ac:dyDescent="0.35">
      <c r="A3065" s="15" t="s">
        <v>3989</v>
      </c>
      <c r="B3065" s="52">
        <v>1</v>
      </c>
    </row>
    <row r="3066" spans="1:2" x14ac:dyDescent="0.35">
      <c r="A3066" s="15" t="s">
        <v>3620</v>
      </c>
      <c r="B3066" s="52">
        <v>1</v>
      </c>
    </row>
    <row r="3067" spans="1:2" x14ac:dyDescent="0.35">
      <c r="A3067" s="15" t="s">
        <v>3612</v>
      </c>
      <c r="B3067" s="52">
        <v>1</v>
      </c>
    </row>
    <row r="3068" spans="1:2" x14ac:dyDescent="0.35">
      <c r="A3068" s="15" t="s">
        <v>3943</v>
      </c>
      <c r="B3068" s="52">
        <v>1</v>
      </c>
    </row>
    <row r="3069" spans="1:2" x14ac:dyDescent="0.35">
      <c r="A3069" s="15" t="s">
        <v>4078</v>
      </c>
      <c r="B3069" s="52">
        <v>1</v>
      </c>
    </row>
    <row r="3070" spans="1:2" x14ac:dyDescent="0.35">
      <c r="A3070" s="15" t="s">
        <v>4106</v>
      </c>
      <c r="B3070" s="52">
        <v>1</v>
      </c>
    </row>
    <row r="3071" spans="1:2" x14ac:dyDescent="0.35">
      <c r="A3071" s="15" t="s">
        <v>4108</v>
      </c>
      <c r="B3071" s="52">
        <v>1</v>
      </c>
    </row>
    <row r="3072" spans="1:2" x14ac:dyDescent="0.35">
      <c r="A3072" s="15" t="s">
        <v>3859</v>
      </c>
      <c r="B3072" s="52">
        <v>1</v>
      </c>
    </row>
    <row r="3073" spans="1:2" x14ac:dyDescent="0.35">
      <c r="A3073" s="15" t="s">
        <v>3827</v>
      </c>
      <c r="B3073" s="52">
        <v>1</v>
      </c>
    </row>
    <row r="3074" spans="1:2" x14ac:dyDescent="0.35">
      <c r="A3074" s="15" t="s">
        <v>3907</v>
      </c>
      <c r="B3074" s="52">
        <v>1</v>
      </c>
    </row>
    <row r="3075" spans="1:2" x14ac:dyDescent="0.35">
      <c r="A3075" s="15" t="s">
        <v>4141</v>
      </c>
      <c r="B3075" s="52">
        <v>1</v>
      </c>
    </row>
    <row r="3076" spans="1:2" x14ac:dyDescent="0.35">
      <c r="A3076" s="15" t="s">
        <v>3848</v>
      </c>
      <c r="B3076" s="52">
        <v>1</v>
      </c>
    </row>
    <row r="3077" spans="1:2" x14ac:dyDescent="0.35">
      <c r="A3077" s="15" t="s">
        <v>3701</v>
      </c>
      <c r="B3077" s="52">
        <v>1</v>
      </c>
    </row>
    <row r="3078" spans="1:2" x14ac:dyDescent="0.35">
      <c r="A3078" s="15" t="s">
        <v>3813</v>
      </c>
      <c r="B3078" s="52">
        <v>1</v>
      </c>
    </row>
    <row r="3079" spans="1:2" x14ac:dyDescent="0.35">
      <c r="A3079" s="15" t="s">
        <v>3747</v>
      </c>
      <c r="B3079" s="52">
        <v>1</v>
      </c>
    </row>
    <row r="3080" spans="1:2" x14ac:dyDescent="0.35">
      <c r="A3080" s="15" t="s">
        <v>3719</v>
      </c>
      <c r="B3080" s="52">
        <v>1</v>
      </c>
    </row>
    <row r="3081" spans="1:2" x14ac:dyDescent="0.35">
      <c r="A3081" s="15" t="s">
        <v>3627</v>
      </c>
      <c r="B3081" s="52">
        <v>1</v>
      </c>
    </row>
    <row r="3082" spans="1:2" x14ac:dyDescent="0.35">
      <c r="A3082" s="15" t="s">
        <v>3753</v>
      </c>
      <c r="B3082" s="52">
        <v>1</v>
      </c>
    </row>
    <row r="3083" spans="1:2" x14ac:dyDescent="0.35">
      <c r="A3083" s="15" t="s">
        <v>3693</v>
      </c>
      <c r="B3083" s="52">
        <v>1</v>
      </c>
    </row>
    <row r="3084" spans="1:2" x14ac:dyDescent="0.35">
      <c r="A3084" s="15" t="s">
        <v>3592</v>
      </c>
      <c r="B3084" s="52">
        <v>1</v>
      </c>
    </row>
    <row r="3085" spans="1:2" x14ac:dyDescent="0.35">
      <c r="A3085" s="15" t="s">
        <v>3360</v>
      </c>
      <c r="B3085" s="52">
        <v>1</v>
      </c>
    </row>
    <row r="3086" spans="1:2" x14ac:dyDescent="0.35">
      <c r="A3086" s="15" t="s">
        <v>744</v>
      </c>
      <c r="B3086" s="52">
        <v>1</v>
      </c>
    </row>
    <row r="3087" spans="1:2" x14ac:dyDescent="0.35">
      <c r="A3087" s="15" t="s">
        <v>3279</v>
      </c>
      <c r="B3087" s="52">
        <v>1</v>
      </c>
    </row>
    <row r="3088" spans="1:2" x14ac:dyDescent="0.35">
      <c r="A3088" s="15" t="s">
        <v>3282</v>
      </c>
      <c r="B3088" s="52">
        <v>1</v>
      </c>
    </row>
    <row r="3089" spans="1:2" x14ac:dyDescent="0.35">
      <c r="A3089" s="15" t="s">
        <v>3785</v>
      </c>
      <c r="B3089" s="52">
        <v>1</v>
      </c>
    </row>
    <row r="3090" spans="1:2" x14ac:dyDescent="0.35">
      <c r="A3090" s="15" t="s">
        <v>4047</v>
      </c>
      <c r="B3090" s="52">
        <v>1</v>
      </c>
    </row>
    <row r="3091" spans="1:2" x14ac:dyDescent="0.35">
      <c r="A3091" s="15" t="s">
        <v>4048</v>
      </c>
      <c r="B3091" s="52">
        <v>1</v>
      </c>
    </row>
    <row r="3092" spans="1:2" x14ac:dyDescent="0.35">
      <c r="A3092" s="15" t="s">
        <v>4042</v>
      </c>
      <c r="B3092" s="52">
        <v>1</v>
      </c>
    </row>
    <row r="3093" spans="1:2" x14ac:dyDescent="0.35">
      <c r="A3093" s="15" t="s">
        <v>4044</v>
      </c>
      <c r="B3093" s="52">
        <v>1</v>
      </c>
    </row>
    <row r="3094" spans="1:2" x14ac:dyDescent="0.35">
      <c r="A3094" s="15" t="s">
        <v>4043</v>
      </c>
      <c r="B3094" s="52">
        <v>1</v>
      </c>
    </row>
    <row r="3095" spans="1:2" x14ac:dyDescent="0.35">
      <c r="A3095" s="15" t="s">
        <v>4045</v>
      </c>
      <c r="B3095" s="52">
        <v>1</v>
      </c>
    </row>
    <row r="3096" spans="1:2" x14ac:dyDescent="0.35">
      <c r="A3096" s="15" t="s">
        <v>3809</v>
      </c>
      <c r="B3096" s="52">
        <v>1</v>
      </c>
    </row>
    <row r="3097" spans="1:2" x14ac:dyDescent="0.35">
      <c r="A3097" s="15" t="s">
        <v>4151</v>
      </c>
      <c r="B3097" s="52">
        <v>1</v>
      </c>
    </row>
    <row r="3098" spans="1:2" x14ac:dyDescent="0.35">
      <c r="A3098" s="15" t="s">
        <v>3259</v>
      </c>
      <c r="B3098" s="52">
        <v>1</v>
      </c>
    </row>
    <row r="3099" spans="1:2" x14ac:dyDescent="0.35">
      <c r="A3099" s="15" t="s">
        <v>3238</v>
      </c>
      <c r="B3099" s="52">
        <v>1</v>
      </c>
    </row>
    <row r="3100" spans="1:2" x14ac:dyDescent="0.35">
      <c r="A3100" s="15" t="s">
        <v>3212</v>
      </c>
      <c r="B3100" s="52">
        <v>1</v>
      </c>
    </row>
    <row r="3101" spans="1:2" x14ac:dyDescent="0.35">
      <c r="A3101" s="15" t="s">
        <v>2504</v>
      </c>
      <c r="B3101" s="52">
        <v>1</v>
      </c>
    </row>
    <row r="3102" spans="1:2" x14ac:dyDescent="0.35">
      <c r="A3102" s="15" t="s">
        <v>3102</v>
      </c>
      <c r="B3102" s="52">
        <v>1</v>
      </c>
    </row>
    <row r="3103" spans="1:2" x14ac:dyDescent="0.35">
      <c r="A3103" s="15" t="s">
        <v>3105</v>
      </c>
      <c r="B3103" s="52">
        <v>1</v>
      </c>
    </row>
    <row r="3104" spans="1:2" x14ac:dyDescent="0.35">
      <c r="A3104" s="15" t="s">
        <v>742</v>
      </c>
      <c r="B3104" s="52">
        <v>1</v>
      </c>
    </row>
    <row r="3105" spans="1:2" x14ac:dyDescent="0.35">
      <c r="A3105" s="15" t="s">
        <v>3737</v>
      </c>
      <c r="B3105" s="52">
        <v>1</v>
      </c>
    </row>
    <row r="3106" spans="1:2" x14ac:dyDescent="0.35">
      <c r="A3106" s="15" t="s">
        <v>3750</v>
      </c>
      <c r="B3106" s="52">
        <v>1</v>
      </c>
    </row>
    <row r="3107" spans="1:2" x14ac:dyDescent="0.35">
      <c r="A3107" s="15" t="s">
        <v>4039</v>
      </c>
      <c r="B3107" s="52">
        <v>1</v>
      </c>
    </row>
    <row r="3108" spans="1:2" x14ac:dyDescent="0.35">
      <c r="A3108" s="15" t="s">
        <v>833</v>
      </c>
      <c r="B3108" s="52">
        <v>1</v>
      </c>
    </row>
    <row r="3109" spans="1:2" x14ac:dyDescent="0.35">
      <c r="A3109" s="15" t="s">
        <v>2510</v>
      </c>
      <c r="B3109" s="52">
        <v>1</v>
      </c>
    </row>
    <row r="3110" spans="1:2" x14ac:dyDescent="0.35">
      <c r="A3110" s="15" t="s">
        <v>3198</v>
      </c>
      <c r="B3110" s="52">
        <v>1</v>
      </c>
    </row>
    <row r="3111" spans="1:2" x14ac:dyDescent="0.35">
      <c r="A3111" s="15" t="s">
        <v>2516</v>
      </c>
      <c r="B3111" s="52">
        <v>1</v>
      </c>
    </row>
    <row r="3112" spans="1:2" x14ac:dyDescent="0.35">
      <c r="A3112" s="15" t="s">
        <v>2525</v>
      </c>
      <c r="B3112" s="52">
        <v>1</v>
      </c>
    </row>
    <row r="3113" spans="1:2" x14ac:dyDescent="0.35">
      <c r="A3113" s="15" t="s">
        <v>2507</v>
      </c>
      <c r="B3113" s="52">
        <v>1</v>
      </c>
    </row>
    <row r="3114" spans="1:2" x14ac:dyDescent="0.35">
      <c r="A3114" s="15" t="s">
        <v>2493</v>
      </c>
      <c r="B3114" s="52">
        <v>1</v>
      </c>
    </row>
    <row r="3115" spans="1:2" x14ac:dyDescent="0.35">
      <c r="A3115" s="15" t="s">
        <v>3834</v>
      </c>
      <c r="B3115" s="52">
        <v>1</v>
      </c>
    </row>
    <row r="3116" spans="1:2" x14ac:dyDescent="0.35">
      <c r="A3116" s="15" t="s">
        <v>4055</v>
      </c>
      <c r="B3116" s="52">
        <v>1</v>
      </c>
    </row>
    <row r="3117" spans="1:2" x14ac:dyDescent="0.35">
      <c r="A3117" s="15" t="s">
        <v>3837</v>
      </c>
      <c r="B3117" s="52">
        <v>1</v>
      </c>
    </row>
    <row r="3118" spans="1:2" x14ac:dyDescent="0.35">
      <c r="A3118" s="15" t="s">
        <v>3921</v>
      </c>
      <c r="B3118" s="52">
        <v>1</v>
      </c>
    </row>
    <row r="3119" spans="1:2" x14ac:dyDescent="0.35">
      <c r="A3119" s="15" t="s">
        <v>3914</v>
      </c>
      <c r="B3119" s="52">
        <v>1</v>
      </c>
    </row>
    <row r="3120" spans="1:2" x14ac:dyDescent="0.35">
      <c r="A3120" s="15" t="s">
        <v>4002</v>
      </c>
      <c r="B3120" s="52">
        <v>1</v>
      </c>
    </row>
    <row r="3121" spans="1:2" x14ac:dyDescent="0.35">
      <c r="A3121" s="15" t="s">
        <v>2485</v>
      </c>
      <c r="B3121" s="52">
        <v>1</v>
      </c>
    </row>
    <row r="3122" spans="1:2" x14ac:dyDescent="0.35">
      <c r="A3122" s="15" t="s">
        <v>3826</v>
      </c>
      <c r="B3122" s="52">
        <v>1</v>
      </c>
    </row>
    <row r="3123" spans="1:2" x14ac:dyDescent="0.35">
      <c r="A3123" s="15" t="s">
        <v>2528</v>
      </c>
      <c r="B3123" s="52">
        <v>1</v>
      </c>
    </row>
    <row r="3124" spans="1:2" x14ac:dyDescent="0.35">
      <c r="A3124" s="15" t="s">
        <v>2490</v>
      </c>
      <c r="B3124" s="52">
        <v>1</v>
      </c>
    </row>
    <row r="3125" spans="1:2" x14ac:dyDescent="0.35">
      <c r="A3125" s="15" t="s">
        <v>3823</v>
      </c>
      <c r="B3125" s="52">
        <v>1</v>
      </c>
    </row>
    <row r="3126" spans="1:2" x14ac:dyDescent="0.35">
      <c r="A3126" s="15" t="s">
        <v>3302</v>
      </c>
      <c r="B3126" s="52">
        <v>1</v>
      </c>
    </row>
    <row r="3127" spans="1:2" x14ac:dyDescent="0.35">
      <c r="A3127" s="15" t="s">
        <v>2531</v>
      </c>
      <c r="B3127" s="52">
        <v>1</v>
      </c>
    </row>
    <row r="3128" spans="1:2" x14ac:dyDescent="0.35">
      <c r="A3128" s="15" t="s">
        <v>3594</v>
      </c>
      <c r="B3128" s="52">
        <v>1</v>
      </c>
    </row>
    <row r="3129" spans="1:2" x14ac:dyDescent="0.35">
      <c r="A3129" s="15" t="s">
        <v>716</v>
      </c>
      <c r="B3129" s="52">
        <v>1</v>
      </c>
    </row>
    <row r="3130" spans="1:2" x14ac:dyDescent="0.35">
      <c r="A3130" s="15" t="s">
        <v>2953</v>
      </c>
      <c r="B3130" s="52">
        <v>1</v>
      </c>
    </row>
    <row r="3131" spans="1:2" x14ac:dyDescent="0.35">
      <c r="A3131" s="15" t="s">
        <v>4050</v>
      </c>
      <c r="B3131" s="52">
        <v>1</v>
      </c>
    </row>
    <row r="3132" spans="1:2" x14ac:dyDescent="0.35">
      <c r="A3132" s="15" t="s">
        <v>4075</v>
      </c>
      <c r="B3132" s="52">
        <v>1</v>
      </c>
    </row>
    <row r="3133" spans="1:2" x14ac:dyDescent="0.35">
      <c r="A3133" s="15" t="s">
        <v>3262</v>
      </c>
      <c r="B3133" s="52">
        <v>1</v>
      </c>
    </row>
    <row r="3134" spans="1:2" x14ac:dyDescent="0.35">
      <c r="A3134" s="15" t="s">
        <v>3201</v>
      </c>
      <c r="B3134" s="52">
        <v>1</v>
      </c>
    </row>
    <row r="3135" spans="1:2" x14ac:dyDescent="0.35">
      <c r="A3135" s="15" t="s">
        <v>3606</v>
      </c>
      <c r="B3135" s="52">
        <v>1</v>
      </c>
    </row>
    <row r="3136" spans="1:2" x14ac:dyDescent="0.35">
      <c r="A3136" s="15" t="s">
        <v>4057</v>
      </c>
      <c r="B3136" s="52">
        <v>1</v>
      </c>
    </row>
    <row r="3137" spans="1:2" x14ac:dyDescent="0.35">
      <c r="A3137" s="15" t="s">
        <v>3099</v>
      </c>
      <c r="B3137" s="52">
        <v>1</v>
      </c>
    </row>
    <row r="3138" spans="1:2" x14ac:dyDescent="0.35">
      <c r="A3138" s="15" t="s">
        <v>3308</v>
      </c>
      <c r="B3138" s="52">
        <v>1</v>
      </c>
    </row>
    <row r="3139" spans="1:2" x14ac:dyDescent="0.35">
      <c r="A3139" s="15" t="s">
        <v>3595</v>
      </c>
      <c r="B3139" s="52">
        <v>1</v>
      </c>
    </row>
    <row r="3140" spans="1:2" x14ac:dyDescent="0.35">
      <c r="A3140" s="15" t="s">
        <v>3204</v>
      </c>
      <c r="B3140" s="52">
        <v>1</v>
      </c>
    </row>
    <row r="3141" spans="1:2" x14ac:dyDescent="0.35">
      <c r="A3141" s="15" t="s">
        <v>3596</v>
      </c>
      <c r="B3141" s="52">
        <v>1</v>
      </c>
    </row>
    <row r="3142" spans="1:2" x14ac:dyDescent="0.35">
      <c r="A3142" s="15" t="s">
        <v>3321</v>
      </c>
      <c r="B3142" s="52">
        <v>1</v>
      </c>
    </row>
    <row r="3143" spans="1:2" x14ac:dyDescent="0.35">
      <c r="A3143" s="15" t="s">
        <v>3218</v>
      </c>
      <c r="B3143" s="52">
        <v>1</v>
      </c>
    </row>
    <row r="3144" spans="1:2" x14ac:dyDescent="0.35">
      <c r="A3144" s="15" t="s">
        <v>3215</v>
      </c>
      <c r="B3144" s="52">
        <v>1</v>
      </c>
    </row>
    <row r="3145" spans="1:2" x14ac:dyDescent="0.35">
      <c r="A3145" s="15" t="s">
        <v>2522</v>
      </c>
      <c r="B3145" s="52">
        <v>1</v>
      </c>
    </row>
    <row r="3146" spans="1:2" x14ac:dyDescent="0.35">
      <c r="A3146" s="15" t="s">
        <v>2983</v>
      </c>
      <c r="B3146" s="52">
        <v>1</v>
      </c>
    </row>
    <row r="3147" spans="1:2" x14ac:dyDescent="0.35">
      <c r="A3147" s="15" t="s">
        <v>3802</v>
      </c>
      <c r="B3147" s="52">
        <v>1</v>
      </c>
    </row>
    <row r="3148" spans="1:2" x14ac:dyDescent="0.35">
      <c r="A3148" s="15" t="s">
        <v>3195</v>
      </c>
      <c r="B3148" s="52">
        <v>1</v>
      </c>
    </row>
    <row r="3149" spans="1:2" x14ac:dyDescent="0.35">
      <c r="A3149" s="15" t="s">
        <v>2499</v>
      </c>
      <c r="B3149" s="52">
        <v>1</v>
      </c>
    </row>
    <row r="3150" spans="1:2" x14ac:dyDescent="0.35">
      <c r="A3150" s="15" t="s">
        <v>3311</v>
      </c>
      <c r="B3150" s="52">
        <v>1</v>
      </c>
    </row>
    <row r="3151" spans="1:2" x14ac:dyDescent="0.35">
      <c r="A3151" s="15" t="s">
        <v>3336</v>
      </c>
      <c r="B3151" s="52">
        <v>1</v>
      </c>
    </row>
    <row r="3152" spans="1:2" x14ac:dyDescent="0.35">
      <c r="A3152" s="15" t="s">
        <v>3324</v>
      </c>
      <c r="B3152" s="52">
        <v>1</v>
      </c>
    </row>
    <row r="3153" spans="1:2" x14ac:dyDescent="0.35">
      <c r="A3153" s="15" t="s">
        <v>3582</v>
      </c>
      <c r="B3153" s="52">
        <v>1</v>
      </c>
    </row>
    <row r="3154" spans="1:2" x14ac:dyDescent="0.35">
      <c r="A3154" s="15" t="s">
        <v>743</v>
      </c>
      <c r="B3154" s="52">
        <v>1</v>
      </c>
    </row>
    <row r="3155" spans="1:2" x14ac:dyDescent="0.35">
      <c r="A3155" s="15" t="s">
        <v>3294</v>
      </c>
      <c r="B3155" s="52">
        <v>1</v>
      </c>
    </row>
    <row r="3156" spans="1:2" x14ac:dyDescent="0.35">
      <c r="A3156" s="15" t="s">
        <v>3680</v>
      </c>
      <c r="B3156" s="52">
        <v>1</v>
      </c>
    </row>
    <row r="3157" spans="1:2" x14ac:dyDescent="0.35">
      <c r="A3157" s="15" t="s">
        <v>3708</v>
      </c>
      <c r="B3157" s="52">
        <v>1</v>
      </c>
    </row>
    <row r="3158" spans="1:2" x14ac:dyDescent="0.35">
      <c r="A3158" s="15" t="s">
        <v>3956</v>
      </c>
      <c r="B3158" s="52">
        <v>1</v>
      </c>
    </row>
    <row r="3159" spans="1:2" x14ac:dyDescent="0.35">
      <c r="A3159" s="15" t="s">
        <v>3980</v>
      </c>
      <c r="B3159" s="52">
        <v>1</v>
      </c>
    </row>
    <row r="3160" spans="1:2" x14ac:dyDescent="0.35">
      <c r="A3160" s="15" t="s">
        <v>3691</v>
      </c>
      <c r="B3160" s="52">
        <v>1</v>
      </c>
    </row>
    <row r="3161" spans="1:2" x14ac:dyDescent="0.35">
      <c r="A3161" s="15" t="s">
        <v>4079</v>
      </c>
      <c r="B3161" s="52">
        <v>1</v>
      </c>
    </row>
    <row r="3162" spans="1:2" x14ac:dyDescent="0.35">
      <c r="A3162" s="15" t="s">
        <v>4035</v>
      </c>
      <c r="B3162" s="52">
        <v>1</v>
      </c>
    </row>
    <row r="3163" spans="1:2" x14ac:dyDescent="0.35">
      <c r="A3163" s="15" t="s">
        <v>3860</v>
      </c>
      <c r="B3163" s="52">
        <v>1</v>
      </c>
    </row>
    <row r="3164" spans="1:2" x14ac:dyDescent="0.35">
      <c r="A3164" s="15" t="s">
        <v>3248</v>
      </c>
      <c r="B3164" s="52">
        <v>1</v>
      </c>
    </row>
    <row r="3165" spans="1:2" x14ac:dyDescent="0.35">
      <c r="A3165" s="15" t="s">
        <v>2106</v>
      </c>
      <c r="B3165" s="52">
        <v>1</v>
      </c>
    </row>
    <row r="3166" spans="1:2" x14ac:dyDescent="0.35">
      <c r="A3166" s="15" t="s">
        <v>3936</v>
      </c>
      <c r="B3166" s="52">
        <v>1</v>
      </c>
    </row>
    <row r="3167" spans="1:2" x14ac:dyDescent="0.35">
      <c r="A3167" s="15" t="s">
        <v>3702</v>
      </c>
      <c r="B3167" s="52">
        <v>1</v>
      </c>
    </row>
    <row r="3168" spans="1:2" x14ac:dyDescent="0.35">
      <c r="A3168" s="15" t="s">
        <v>3682</v>
      </c>
      <c r="B3168" s="52">
        <v>1</v>
      </c>
    </row>
    <row r="3169" spans="1:2" x14ac:dyDescent="0.35">
      <c r="A3169" s="15" t="s">
        <v>3703</v>
      </c>
      <c r="B3169" s="52">
        <v>1</v>
      </c>
    </row>
    <row r="3170" spans="1:2" x14ac:dyDescent="0.35">
      <c r="A3170" s="15" t="s">
        <v>3108</v>
      </c>
      <c r="B3170" s="52">
        <v>1</v>
      </c>
    </row>
    <row r="3171" spans="1:2" x14ac:dyDescent="0.35">
      <c r="A3171" s="15" t="s">
        <v>3597</v>
      </c>
      <c r="B3171" s="52">
        <v>1</v>
      </c>
    </row>
    <row r="3172" spans="1:2" x14ac:dyDescent="0.35">
      <c r="A3172" s="15" t="s">
        <v>3398</v>
      </c>
      <c r="B3172" s="52">
        <v>1</v>
      </c>
    </row>
    <row r="3173" spans="1:2" x14ac:dyDescent="0.35">
      <c r="A3173" s="15" t="s">
        <v>3391</v>
      </c>
      <c r="B3173" s="52">
        <v>1</v>
      </c>
    </row>
    <row r="3174" spans="1:2" x14ac:dyDescent="0.35">
      <c r="A3174" s="15" t="s">
        <v>3287</v>
      </c>
      <c r="B3174" s="52">
        <v>1</v>
      </c>
    </row>
    <row r="3175" spans="1:2" x14ac:dyDescent="0.35">
      <c r="A3175" s="15" t="s">
        <v>3893</v>
      </c>
      <c r="B3175" s="52">
        <v>1</v>
      </c>
    </row>
    <row r="3176" spans="1:2" x14ac:dyDescent="0.35">
      <c r="A3176" s="15" t="s">
        <v>3875</v>
      </c>
      <c r="B3176" s="52">
        <v>1</v>
      </c>
    </row>
    <row r="3177" spans="1:2" x14ac:dyDescent="0.35">
      <c r="A3177" s="15" t="s">
        <v>3674</v>
      </c>
      <c r="B3177" s="52">
        <v>1</v>
      </c>
    </row>
    <row r="3178" spans="1:2" x14ac:dyDescent="0.35">
      <c r="A3178" s="15" t="s">
        <v>3305</v>
      </c>
      <c r="B3178" s="52">
        <v>1</v>
      </c>
    </row>
    <row r="3179" spans="1:2" x14ac:dyDescent="0.35">
      <c r="A3179" s="15" t="s">
        <v>3688</v>
      </c>
      <c r="B3179" s="52">
        <v>1</v>
      </c>
    </row>
    <row r="3180" spans="1:2" x14ac:dyDescent="0.35">
      <c r="A3180" s="15" t="s">
        <v>3801</v>
      </c>
      <c r="B3180" s="52">
        <v>1</v>
      </c>
    </row>
    <row r="3181" spans="1:2" x14ac:dyDescent="0.35">
      <c r="A3181" s="15" t="s">
        <v>4030</v>
      </c>
      <c r="B3181" s="52">
        <v>1</v>
      </c>
    </row>
    <row r="3182" spans="1:2" x14ac:dyDescent="0.35">
      <c r="A3182" s="15" t="s">
        <v>4137</v>
      </c>
      <c r="B3182" s="52">
        <v>1</v>
      </c>
    </row>
    <row r="3183" spans="1:2" x14ac:dyDescent="0.35">
      <c r="A3183" s="15" t="s">
        <v>3738</v>
      </c>
      <c r="B3183" s="52">
        <v>1</v>
      </c>
    </row>
    <row r="3184" spans="1:2" x14ac:dyDescent="0.35">
      <c r="A3184" s="15" t="s">
        <v>3723</v>
      </c>
      <c r="B3184" s="52">
        <v>1</v>
      </c>
    </row>
    <row r="3185" spans="1:2" x14ac:dyDescent="0.35">
      <c r="A3185" s="15" t="s">
        <v>3758</v>
      </c>
      <c r="B3185" s="52">
        <v>1</v>
      </c>
    </row>
    <row r="3186" spans="1:2" x14ac:dyDescent="0.35">
      <c r="A3186" s="15" t="s">
        <v>3598</v>
      </c>
      <c r="B3186" s="52">
        <v>1</v>
      </c>
    </row>
    <row r="3187" spans="1:2" x14ac:dyDescent="0.35">
      <c r="A3187" s="15" t="s">
        <v>2537</v>
      </c>
      <c r="B3187" s="52">
        <v>1</v>
      </c>
    </row>
    <row r="3188" spans="1:2" x14ac:dyDescent="0.35">
      <c r="A3188" s="15" t="s">
        <v>3314</v>
      </c>
      <c r="B3188" s="52">
        <v>1</v>
      </c>
    </row>
    <row r="3189" spans="1:2" x14ac:dyDescent="0.35">
      <c r="A3189" s="15" t="s">
        <v>2513</v>
      </c>
      <c r="B3189" s="52">
        <v>1</v>
      </c>
    </row>
    <row r="3190" spans="1:2" x14ac:dyDescent="0.35">
      <c r="A3190" s="15" t="s">
        <v>750</v>
      </c>
      <c r="B3190" s="52">
        <v>1</v>
      </c>
    </row>
    <row r="3191" spans="1:2" x14ac:dyDescent="0.35">
      <c r="A3191" s="15" t="s">
        <v>3599</v>
      </c>
      <c r="B3191" s="52">
        <v>1</v>
      </c>
    </row>
    <row r="3192" spans="1:2" x14ac:dyDescent="0.35">
      <c r="A3192" s="15" t="s">
        <v>3578</v>
      </c>
      <c r="B3192" s="52">
        <v>1</v>
      </c>
    </row>
    <row r="3193" spans="1:2" x14ac:dyDescent="0.35">
      <c r="A3193" s="15" t="s">
        <v>4024</v>
      </c>
      <c r="B3193" s="52">
        <v>1</v>
      </c>
    </row>
    <row r="3194" spans="1:2" x14ac:dyDescent="0.35">
      <c r="A3194" s="15" t="s">
        <v>3799</v>
      </c>
      <c r="B3194" s="52">
        <v>1</v>
      </c>
    </row>
    <row r="3195" spans="1:2" x14ac:dyDescent="0.35">
      <c r="A3195" s="15" t="s">
        <v>3610</v>
      </c>
      <c r="B3195" s="52">
        <v>1</v>
      </c>
    </row>
    <row r="3196" spans="1:2" x14ac:dyDescent="0.35">
      <c r="A3196" s="15" t="s">
        <v>3789</v>
      </c>
      <c r="B3196" s="52">
        <v>1</v>
      </c>
    </row>
    <row r="3197" spans="1:2" x14ac:dyDescent="0.35">
      <c r="A3197" s="15" t="s">
        <v>3990</v>
      </c>
      <c r="B3197" s="52">
        <v>1</v>
      </c>
    </row>
    <row r="3198" spans="1:2" x14ac:dyDescent="0.35">
      <c r="A3198" s="15" t="s">
        <v>3873</v>
      </c>
      <c r="B3198" s="52">
        <v>1</v>
      </c>
    </row>
    <row r="3199" spans="1:2" x14ac:dyDescent="0.35">
      <c r="A3199" s="15" t="s">
        <v>4186</v>
      </c>
      <c r="B3199" s="52">
        <v>1</v>
      </c>
    </row>
    <row r="3200" spans="1:2" x14ac:dyDescent="0.35">
      <c r="A3200" s="15" t="s">
        <v>3828</v>
      </c>
      <c r="B3200" s="52">
        <v>1</v>
      </c>
    </row>
    <row r="3201" spans="1:2" x14ac:dyDescent="0.35">
      <c r="A3201" s="15" t="s">
        <v>3824</v>
      </c>
      <c r="B3201" s="52">
        <v>1</v>
      </c>
    </row>
    <row r="3202" spans="1:2" x14ac:dyDescent="0.35">
      <c r="A3202" s="15" t="s">
        <v>3759</v>
      </c>
      <c r="B3202" s="52">
        <v>1</v>
      </c>
    </row>
    <row r="3203" spans="1:2" x14ac:dyDescent="0.35">
      <c r="A3203" s="15" t="s">
        <v>3658</v>
      </c>
      <c r="B3203" s="52">
        <v>1</v>
      </c>
    </row>
    <row r="3204" spans="1:2" x14ac:dyDescent="0.35">
      <c r="A3204" s="15" t="s">
        <v>3935</v>
      </c>
      <c r="B3204" s="52">
        <v>1</v>
      </c>
    </row>
    <row r="3205" spans="1:2" x14ac:dyDescent="0.35">
      <c r="A3205" s="15" t="s">
        <v>3902</v>
      </c>
      <c r="B3205" s="52">
        <v>1</v>
      </c>
    </row>
    <row r="3206" spans="1:2" x14ac:dyDescent="0.35">
      <c r="A3206" s="15" t="s">
        <v>3900</v>
      </c>
      <c r="B3206" s="52">
        <v>1</v>
      </c>
    </row>
    <row r="3207" spans="1:2" x14ac:dyDescent="0.35">
      <c r="A3207" s="15" t="s">
        <v>3946</v>
      </c>
      <c r="B3207" s="52">
        <v>1</v>
      </c>
    </row>
    <row r="3208" spans="1:2" x14ac:dyDescent="0.35">
      <c r="A3208" s="15" t="s">
        <v>3953</v>
      </c>
      <c r="B3208" s="52">
        <v>1</v>
      </c>
    </row>
    <row r="3209" spans="1:2" x14ac:dyDescent="0.35">
      <c r="A3209" s="15" t="s">
        <v>3791</v>
      </c>
      <c r="B3209" s="52">
        <v>1</v>
      </c>
    </row>
    <row r="3210" spans="1:2" x14ac:dyDescent="0.35">
      <c r="A3210" s="15" t="s">
        <v>4133</v>
      </c>
      <c r="B3210" s="52">
        <v>1</v>
      </c>
    </row>
    <row r="3211" spans="1:2" x14ac:dyDescent="0.35">
      <c r="A3211" s="15" t="s">
        <v>3800</v>
      </c>
      <c r="B3211" s="52">
        <v>1</v>
      </c>
    </row>
    <row r="3212" spans="1:2" x14ac:dyDescent="0.35">
      <c r="A3212" s="15" t="s">
        <v>3784</v>
      </c>
      <c r="B3212" s="52">
        <v>1</v>
      </c>
    </row>
    <row r="3213" spans="1:2" x14ac:dyDescent="0.35">
      <c r="A3213" s="15" t="s">
        <v>4132</v>
      </c>
      <c r="B3213" s="52">
        <v>1</v>
      </c>
    </row>
    <row r="3214" spans="1:2" x14ac:dyDescent="0.35">
      <c r="A3214" s="15" t="s">
        <v>3912</v>
      </c>
      <c r="B3214" s="52">
        <v>1</v>
      </c>
    </row>
    <row r="3215" spans="1:2" x14ac:dyDescent="0.35">
      <c r="A3215" s="15" t="s">
        <v>3714</v>
      </c>
      <c r="B3215" s="52">
        <v>1</v>
      </c>
    </row>
    <row r="3216" spans="1:2" x14ac:dyDescent="0.35">
      <c r="A3216" s="15" t="s">
        <v>3901</v>
      </c>
      <c r="B3216" s="52">
        <v>1</v>
      </c>
    </row>
    <row r="3217" spans="1:2" x14ac:dyDescent="0.35">
      <c r="A3217" s="15" t="s">
        <v>3797</v>
      </c>
      <c r="B3217" s="52">
        <v>1</v>
      </c>
    </row>
    <row r="3218" spans="1:2" x14ac:dyDescent="0.35">
      <c r="A3218" s="15" t="s">
        <v>3119</v>
      </c>
      <c r="B3218" s="52">
        <v>1</v>
      </c>
    </row>
    <row r="3219" spans="1:2" x14ac:dyDescent="0.35">
      <c r="A3219" s="15" t="s">
        <v>3762</v>
      </c>
      <c r="B3219" s="52">
        <v>1</v>
      </c>
    </row>
    <row r="3220" spans="1:2" x14ac:dyDescent="0.35">
      <c r="A3220" s="15" t="s">
        <v>4146</v>
      </c>
      <c r="B3220" s="52">
        <v>1</v>
      </c>
    </row>
    <row r="3221" spans="1:2" x14ac:dyDescent="0.35">
      <c r="A3221" s="15" t="s">
        <v>4041</v>
      </c>
      <c r="B3221" s="52">
        <v>1</v>
      </c>
    </row>
    <row r="3222" spans="1:2" x14ac:dyDescent="0.35">
      <c r="A3222" s="15" t="s">
        <v>3970</v>
      </c>
      <c r="B3222" s="52">
        <v>1</v>
      </c>
    </row>
    <row r="3223" spans="1:2" x14ac:dyDescent="0.35">
      <c r="A3223" s="15" t="s">
        <v>3721</v>
      </c>
      <c r="B3223" s="52">
        <v>1</v>
      </c>
    </row>
    <row r="3224" spans="1:2" x14ac:dyDescent="0.35">
      <c r="A3224" s="15" t="s">
        <v>4021</v>
      </c>
      <c r="B3224" s="52">
        <v>1</v>
      </c>
    </row>
    <row r="3225" spans="1:2" x14ac:dyDescent="0.35">
      <c r="A3225" s="15" t="s">
        <v>4015</v>
      </c>
      <c r="B3225" s="52">
        <v>1</v>
      </c>
    </row>
    <row r="3226" spans="1:2" x14ac:dyDescent="0.35">
      <c r="A3226" s="15" t="s">
        <v>4020</v>
      </c>
      <c r="B3226" s="52">
        <v>1</v>
      </c>
    </row>
    <row r="3227" spans="1:2" x14ac:dyDescent="0.35">
      <c r="A3227" s="15" t="s">
        <v>3660</v>
      </c>
      <c r="B3227" s="52">
        <v>1</v>
      </c>
    </row>
    <row r="3228" spans="1:2" x14ac:dyDescent="0.35">
      <c r="A3228" s="15" t="s">
        <v>3971</v>
      </c>
      <c r="B3228" s="52">
        <v>1</v>
      </c>
    </row>
    <row r="3229" spans="1:2" x14ac:dyDescent="0.35">
      <c r="A3229" s="15" t="s">
        <v>4082</v>
      </c>
      <c r="B3229" s="52">
        <v>1</v>
      </c>
    </row>
    <row r="3230" spans="1:2" x14ac:dyDescent="0.35">
      <c r="A3230" s="15" t="s">
        <v>3790</v>
      </c>
      <c r="B3230" s="52">
        <v>1</v>
      </c>
    </row>
    <row r="3231" spans="1:2" x14ac:dyDescent="0.35">
      <c r="A3231" s="15" t="s">
        <v>3695</v>
      </c>
      <c r="B3231" s="52">
        <v>1</v>
      </c>
    </row>
    <row r="3232" spans="1:2" x14ac:dyDescent="0.35">
      <c r="A3232" s="15" t="s">
        <v>3736</v>
      </c>
      <c r="B3232" s="52">
        <v>1</v>
      </c>
    </row>
    <row r="3233" spans="1:2" x14ac:dyDescent="0.35">
      <c r="A3233" s="15" t="s">
        <v>3733</v>
      </c>
      <c r="B3233" s="52">
        <v>1</v>
      </c>
    </row>
    <row r="3234" spans="1:2" x14ac:dyDescent="0.35">
      <c r="A3234" s="15" t="s">
        <v>3806</v>
      </c>
      <c r="B3234" s="52">
        <v>1</v>
      </c>
    </row>
    <row r="3235" spans="1:2" x14ac:dyDescent="0.35">
      <c r="A3235" s="15" t="s">
        <v>3650</v>
      </c>
      <c r="B3235" s="52">
        <v>1</v>
      </c>
    </row>
    <row r="3236" spans="1:2" x14ac:dyDescent="0.35">
      <c r="A3236" s="15" t="s">
        <v>2989</v>
      </c>
      <c r="B3236" s="52">
        <v>1</v>
      </c>
    </row>
    <row r="3237" spans="1:2" x14ac:dyDescent="0.35">
      <c r="A3237" s="15" t="s">
        <v>3656</v>
      </c>
      <c r="B3237" s="52">
        <v>1</v>
      </c>
    </row>
    <row r="3238" spans="1:2" x14ac:dyDescent="0.35">
      <c r="A3238" s="15" t="s">
        <v>3888</v>
      </c>
      <c r="B3238" s="52">
        <v>1</v>
      </c>
    </row>
    <row r="3239" spans="1:2" x14ac:dyDescent="0.35">
      <c r="A3239" s="15" t="s">
        <v>3786</v>
      </c>
      <c r="B3239" s="52">
        <v>1</v>
      </c>
    </row>
    <row r="3240" spans="1:2" x14ac:dyDescent="0.35">
      <c r="A3240" s="15" t="s">
        <v>3615</v>
      </c>
      <c r="B3240" s="52">
        <v>1</v>
      </c>
    </row>
    <row r="3241" spans="1:2" x14ac:dyDescent="0.35">
      <c r="A3241" s="15" t="s">
        <v>3761</v>
      </c>
      <c r="B3241" s="52">
        <v>1</v>
      </c>
    </row>
    <row r="3242" spans="1:2" x14ac:dyDescent="0.35">
      <c r="A3242" s="15" t="s">
        <v>4173</v>
      </c>
      <c r="B3242" s="52">
        <v>1</v>
      </c>
    </row>
    <row r="3243" spans="1:2" x14ac:dyDescent="0.35">
      <c r="A3243" s="15" t="s">
        <v>4190</v>
      </c>
      <c r="B3243" s="52">
        <v>1</v>
      </c>
    </row>
    <row r="3244" spans="1:2" x14ac:dyDescent="0.35">
      <c r="A3244" s="15" t="s">
        <v>3605</v>
      </c>
      <c r="B3244" s="52">
        <v>1</v>
      </c>
    </row>
    <row r="3245" spans="1:2" x14ac:dyDescent="0.35">
      <c r="A3245" s="15" t="s">
        <v>3933</v>
      </c>
      <c r="B3245" s="52">
        <v>1</v>
      </c>
    </row>
    <row r="3246" spans="1:2" x14ac:dyDescent="0.35">
      <c r="A3246" s="15" t="s">
        <v>3718</v>
      </c>
      <c r="B3246" s="52">
        <v>1</v>
      </c>
    </row>
    <row r="3247" spans="1:2" x14ac:dyDescent="0.35">
      <c r="A3247" s="15" t="s">
        <v>2992</v>
      </c>
      <c r="B3247" s="52">
        <v>1</v>
      </c>
    </row>
    <row r="3248" spans="1:2" x14ac:dyDescent="0.35">
      <c r="A3248" s="15" t="s">
        <v>3756</v>
      </c>
      <c r="B3248" s="52">
        <v>1</v>
      </c>
    </row>
    <row r="3249" spans="1:2" x14ac:dyDescent="0.35">
      <c r="A3249" s="15" t="s">
        <v>3722</v>
      </c>
      <c r="B3249" s="52">
        <v>1</v>
      </c>
    </row>
    <row r="3250" spans="1:2" x14ac:dyDescent="0.35">
      <c r="A3250" s="15" t="s">
        <v>4046</v>
      </c>
      <c r="B3250" s="52">
        <v>1</v>
      </c>
    </row>
    <row r="3251" spans="1:2" x14ac:dyDescent="0.35">
      <c r="A3251" s="15" t="s">
        <v>4076</v>
      </c>
      <c r="B3251" s="52">
        <v>1</v>
      </c>
    </row>
    <row r="3252" spans="1:2" x14ac:dyDescent="0.35">
      <c r="A3252" s="15" t="s">
        <v>3715</v>
      </c>
      <c r="B3252" s="52">
        <v>1</v>
      </c>
    </row>
    <row r="3253" spans="1:2" x14ac:dyDescent="0.35">
      <c r="A3253" s="15" t="s">
        <v>3838</v>
      </c>
      <c r="B3253" s="52">
        <v>1</v>
      </c>
    </row>
    <row r="3254" spans="1:2" x14ac:dyDescent="0.35">
      <c r="A3254" s="15" t="s">
        <v>4134</v>
      </c>
      <c r="B3254" s="52">
        <v>1</v>
      </c>
    </row>
    <row r="3255" spans="1:2" x14ac:dyDescent="0.35">
      <c r="A3255" s="15" t="s">
        <v>3788</v>
      </c>
      <c r="B3255" s="52">
        <v>1</v>
      </c>
    </row>
    <row r="3256" spans="1:2" x14ac:dyDescent="0.35">
      <c r="A3256" s="15" t="s">
        <v>4040</v>
      </c>
      <c r="B3256" s="52">
        <v>1</v>
      </c>
    </row>
    <row r="3257" spans="1:2" x14ac:dyDescent="0.35">
      <c r="A3257" s="15" t="s">
        <v>4174</v>
      </c>
      <c r="B3257" s="52">
        <v>1</v>
      </c>
    </row>
    <row r="3258" spans="1:2" x14ac:dyDescent="0.35">
      <c r="A3258" s="15" t="s">
        <v>3742</v>
      </c>
      <c r="B3258" s="52">
        <v>1</v>
      </c>
    </row>
    <row r="3259" spans="1:2" x14ac:dyDescent="0.35">
      <c r="A3259" s="15" t="s">
        <v>4038</v>
      </c>
      <c r="B3259" s="52">
        <v>1</v>
      </c>
    </row>
    <row r="3260" spans="1:2" x14ac:dyDescent="0.35">
      <c r="A3260" s="15" t="s">
        <v>4114</v>
      </c>
      <c r="B3260" s="52">
        <v>1</v>
      </c>
    </row>
    <row r="3261" spans="1:2" x14ac:dyDescent="0.35">
      <c r="A3261" s="15" t="s">
        <v>3792</v>
      </c>
      <c r="B3261" s="52">
        <v>1</v>
      </c>
    </row>
    <row r="3262" spans="1:2" x14ac:dyDescent="0.35">
      <c r="A3262" s="15" t="s">
        <v>3821</v>
      </c>
      <c r="B3262" s="52">
        <v>1</v>
      </c>
    </row>
    <row r="3263" spans="1:2" x14ac:dyDescent="0.35">
      <c r="A3263" s="15" t="s">
        <v>4135</v>
      </c>
      <c r="B3263" s="52">
        <v>1</v>
      </c>
    </row>
    <row r="3264" spans="1:2" x14ac:dyDescent="0.35">
      <c r="A3264" s="15" t="s">
        <v>4113</v>
      </c>
      <c r="B3264" s="52">
        <v>1</v>
      </c>
    </row>
    <row r="3265" spans="1:2" x14ac:dyDescent="0.35">
      <c r="A3265" s="15" t="s">
        <v>3619</v>
      </c>
      <c r="B3265" s="52">
        <v>1</v>
      </c>
    </row>
    <row r="3266" spans="1:2" x14ac:dyDescent="0.35">
      <c r="A3266" s="15" t="s">
        <v>3675</v>
      </c>
      <c r="B3266" s="52">
        <v>1</v>
      </c>
    </row>
    <row r="3267" spans="1:2" x14ac:dyDescent="0.35">
      <c r="A3267" s="15" t="s">
        <v>4086</v>
      </c>
      <c r="B3267" s="52">
        <v>1</v>
      </c>
    </row>
    <row r="3268" spans="1:2" x14ac:dyDescent="0.35">
      <c r="A3268" s="15" t="s">
        <v>3772</v>
      </c>
      <c r="B3268" s="52">
        <v>1</v>
      </c>
    </row>
    <row r="3269" spans="1:2" x14ac:dyDescent="0.35">
      <c r="A3269" s="15" t="s">
        <v>4077</v>
      </c>
      <c r="B3269" s="52">
        <v>1</v>
      </c>
    </row>
    <row r="3270" spans="1:2" x14ac:dyDescent="0.35">
      <c r="A3270" s="15" t="s">
        <v>3835</v>
      </c>
      <c r="B3270" s="52">
        <v>1</v>
      </c>
    </row>
    <row r="3271" spans="1:2" x14ac:dyDescent="0.35">
      <c r="A3271" s="15" t="s">
        <v>4130</v>
      </c>
      <c r="B3271" s="52">
        <v>1</v>
      </c>
    </row>
    <row r="3272" spans="1:2" x14ac:dyDescent="0.35">
      <c r="A3272" s="15" t="s">
        <v>4010</v>
      </c>
      <c r="B3272" s="52">
        <v>1</v>
      </c>
    </row>
    <row r="3273" spans="1:2" x14ac:dyDescent="0.35">
      <c r="A3273" s="15" t="s">
        <v>4029</v>
      </c>
      <c r="B3273" s="52">
        <v>1</v>
      </c>
    </row>
    <row r="3274" spans="1:2" x14ac:dyDescent="0.35">
      <c r="A3274" s="15" t="s">
        <v>3645</v>
      </c>
      <c r="B3274" s="52">
        <v>1</v>
      </c>
    </row>
    <row r="3275" spans="1:2" x14ac:dyDescent="0.35">
      <c r="A3275" s="15" t="s">
        <v>3209</v>
      </c>
      <c r="B3275" s="52">
        <v>1</v>
      </c>
    </row>
    <row r="3276" spans="1:2" x14ac:dyDescent="0.35">
      <c r="A3276" s="15" t="s">
        <v>3604</v>
      </c>
      <c r="B3276" s="52">
        <v>1</v>
      </c>
    </row>
    <row r="3277" spans="1:2" x14ac:dyDescent="0.35">
      <c r="A3277" s="15" t="s">
        <v>4145</v>
      </c>
      <c r="B3277" s="52">
        <v>1</v>
      </c>
    </row>
    <row r="3278" spans="1:2" x14ac:dyDescent="0.35">
      <c r="A3278" s="15" t="s">
        <v>3657</v>
      </c>
      <c r="B3278" s="52">
        <v>1</v>
      </c>
    </row>
    <row r="3279" spans="1:2" x14ac:dyDescent="0.35">
      <c r="A3279" s="15" t="s">
        <v>3899</v>
      </c>
      <c r="B3279" s="52">
        <v>1</v>
      </c>
    </row>
    <row r="3280" spans="1:2" x14ac:dyDescent="0.35">
      <c r="A3280" s="15" t="s">
        <v>4032</v>
      </c>
      <c r="B3280" s="52">
        <v>1</v>
      </c>
    </row>
    <row r="3281" spans="1:2" x14ac:dyDescent="0.35">
      <c r="A3281" s="15" t="s">
        <v>4164</v>
      </c>
      <c r="B3281" s="52">
        <v>1</v>
      </c>
    </row>
    <row r="3282" spans="1:2" x14ac:dyDescent="0.35">
      <c r="A3282" s="15" t="s">
        <v>3629</v>
      </c>
      <c r="B3282" s="52">
        <v>1</v>
      </c>
    </row>
    <row r="3283" spans="1:2" x14ac:dyDescent="0.35">
      <c r="A3283" s="15" t="s">
        <v>4165</v>
      </c>
      <c r="B3283" s="52">
        <v>1</v>
      </c>
    </row>
    <row r="3284" spans="1:2" x14ac:dyDescent="0.35">
      <c r="A3284" s="15" t="s">
        <v>3654</v>
      </c>
      <c r="B3284" s="52">
        <v>1</v>
      </c>
    </row>
    <row r="3285" spans="1:2" x14ac:dyDescent="0.35">
      <c r="A3285" s="15" t="s">
        <v>3642</v>
      </c>
      <c r="B3285" s="52">
        <v>1</v>
      </c>
    </row>
    <row r="3286" spans="1:2" x14ac:dyDescent="0.35">
      <c r="A3286" s="15" t="s">
        <v>3643</v>
      </c>
      <c r="B3286" s="52">
        <v>1</v>
      </c>
    </row>
    <row r="3287" spans="1:2" x14ac:dyDescent="0.35">
      <c r="A3287" s="15" t="s">
        <v>3636</v>
      </c>
      <c r="B3287" s="52">
        <v>1</v>
      </c>
    </row>
    <row r="3288" spans="1:2" x14ac:dyDescent="0.35">
      <c r="A3288" s="15" t="s">
        <v>3637</v>
      </c>
      <c r="B3288" s="52">
        <v>1</v>
      </c>
    </row>
    <row r="3289" spans="1:2" x14ac:dyDescent="0.35">
      <c r="A3289" s="15" t="s">
        <v>4037</v>
      </c>
      <c r="B3289" s="52">
        <v>1</v>
      </c>
    </row>
    <row r="3290" spans="1:2" x14ac:dyDescent="0.35">
      <c r="A3290" s="15" t="s">
        <v>3638</v>
      </c>
      <c r="B3290" s="52">
        <v>1</v>
      </c>
    </row>
    <row r="3291" spans="1:2" x14ac:dyDescent="0.35">
      <c r="A3291" s="15" t="s">
        <v>723</v>
      </c>
      <c r="B3291" s="52">
        <v>1</v>
      </c>
    </row>
    <row r="3292" spans="1:2" x14ac:dyDescent="0.35">
      <c r="A3292" s="15" t="s">
        <v>725</v>
      </c>
      <c r="B3292" s="52">
        <v>1</v>
      </c>
    </row>
    <row r="3293" spans="1:2" x14ac:dyDescent="0.35">
      <c r="A3293" s="15" t="s">
        <v>3150</v>
      </c>
      <c r="B3293" s="52">
        <v>1</v>
      </c>
    </row>
    <row r="3294" spans="1:2" x14ac:dyDescent="0.35">
      <c r="A3294" s="15" t="s">
        <v>2496</v>
      </c>
      <c r="B3294" s="52">
        <v>1</v>
      </c>
    </row>
    <row r="3295" spans="1:2" x14ac:dyDescent="0.35">
      <c r="A3295" s="15" t="s">
        <v>3224</v>
      </c>
      <c r="B3295" s="52">
        <v>1</v>
      </c>
    </row>
    <row r="3296" spans="1:2" x14ac:dyDescent="0.35">
      <c r="A3296" s="15" t="s">
        <v>4136</v>
      </c>
      <c r="B3296" s="52">
        <v>1</v>
      </c>
    </row>
    <row r="3297" spans="1:2" x14ac:dyDescent="0.35">
      <c r="A3297" s="15" t="s">
        <v>4087</v>
      </c>
      <c r="B3297" s="52">
        <v>1</v>
      </c>
    </row>
    <row r="3298" spans="1:2" x14ac:dyDescent="0.35">
      <c r="A3298" s="15" t="s">
        <v>3676</v>
      </c>
      <c r="B3298" s="52">
        <v>1</v>
      </c>
    </row>
    <row r="3299" spans="1:2" x14ac:dyDescent="0.35">
      <c r="A3299" s="15" t="s">
        <v>728</v>
      </c>
      <c r="B3299" s="52">
        <v>1</v>
      </c>
    </row>
    <row r="3300" spans="1:2" x14ac:dyDescent="0.35">
      <c r="A3300" s="15" t="s">
        <v>4129</v>
      </c>
      <c r="B3300" s="52">
        <v>1</v>
      </c>
    </row>
    <row r="3301" spans="1:2" x14ac:dyDescent="0.35">
      <c r="A3301" s="15" t="s">
        <v>4131</v>
      </c>
      <c r="B3301" s="52">
        <v>1</v>
      </c>
    </row>
    <row r="3302" spans="1:2" x14ac:dyDescent="0.35">
      <c r="A3302" s="15" t="s">
        <v>3965</v>
      </c>
      <c r="B3302" s="52">
        <v>1</v>
      </c>
    </row>
    <row r="3303" spans="1:2" x14ac:dyDescent="0.35">
      <c r="A3303" s="15" t="s">
        <v>3925</v>
      </c>
      <c r="B3303" s="52">
        <v>1</v>
      </c>
    </row>
    <row r="3304" spans="1:2" x14ac:dyDescent="0.35">
      <c r="A3304" s="15" t="s">
        <v>3877</v>
      </c>
      <c r="B3304" s="52">
        <v>1</v>
      </c>
    </row>
    <row r="3305" spans="1:2" x14ac:dyDescent="0.35">
      <c r="A3305" s="15" t="s">
        <v>3878</v>
      </c>
      <c r="B3305" s="52">
        <v>1</v>
      </c>
    </row>
    <row r="3306" spans="1:2" x14ac:dyDescent="0.35">
      <c r="A3306" s="15" t="s">
        <v>3616</v>
      </c>
      <c r="B3306" s="52">
        <v>1</v>
      </c>
    </row>
    <row r="3307" spans="1:2" x14ac:dyDescent="0.35">
      <c r="A3307" s="15" t="s">
        <v>4163</v>
      </c>
      <c r="B3307" s="52">
        <v>1</v>
      </c>
    </row>
    <row r="3308" spans="1:2" x14ac:dyDescent="0.35">
      <c r="A3308" s="15" t="s">
        <v>709</v>
      </c>
      <c r="B3308" s="52">
        <v>1</v>
      </c>
    </row>
    <row r="3309" spans="1:2" x14ac:dyDescent="0.35">
      <c r="A3309" s="15" t="s">
        <v>4138</v>
      </c>
      <c r="B3309" s="52">
        <v>1</v>
      </c>
    </row>
    <row r="3310" spans="1:2" x14ac:dyDescent="0.35">
      <c r="A3310" s="15" t="s">
        <v>4140</v>
      </c>
      <c r="B3310" s="52">
        <v>1</v>
      </c>
    </row>
    <row r="3311" spans="1:2" x14ac:dyDescent="0.35">
      <c r="A3311" s="15" t="s">
        <v>4139</v>
      </c>
      <c r="B3311" s="52">
        <v>1</v>
      </c>
    </row>
    <row r="3312" spans="1:2" x14ac:dyDescent="0.35">
      <c r="A3312" s="15" t="s">
        <v>3608</v>
      </c>
      <c r="B3312" s="52">
        <v>1</v>
      </c>
    </row>
    <row r="3313" spans="1:2" x14ac:dyDescent="0.35">
      <c r="A3313" s="15" t="s">
        <v>4176</v>
      </c>
      <c r="B3313" s="52">
        <v>1</v>
      </c>
    </row>
    <row r="3314" spans="1:2" x14ac:dyDescent="0.35">
      <c r="A3314" s="15" t="s">
        <v>3979</v>
      </c>
      <c r="B3314" s="52">
        <v>1</v>
      </c>
    </row>
    <row r="3315" spans="1:2" x14ac:dyDescent="0.35">
      <c r="A3315" s="15" t="s">
        <v>3372</v>
      </c>
      <c r="B3315" s="52">
        <v>1</v>
      </c>
    </row>
    <row r="3316" spans="1:2" x14ac:dyDescent="0.35">
      <c r="A3316" s="15" t="s">
        <v>3920</v>
      </c>
      <c r="B3316" s="52">
        <v>1</v>
      </c>
    </row>
    <row r="3317" spans="1:2" x14ac:dyDescent="0.35">
      <c r="A3317" s="15" t="s">
        <v>3647</v>
      </c>
      <c r="B3317" s="52">
        <v>1</v>
      </c>
    </row>
    <row r="3318" spans="1:2" x14ac:dyDescent="0.35">
      <c r="A3318" s="15" t="s">
        <v>3649</v>
      </c>
      <c r="B3318" s="52">
        <v>1</v>
      </c>
    </row>
    <row r="3319" spans="1:2" x14ac:dyDescent="0.35">
      <c r="A3319" s="15" t="s">
        <v>3639</v>
      </c>
      <c r="B3319" s="52">
        <v>1</v>
      </c>
    </row>
    <row r="3320" spans="1:2" x14ac:dyDescent="0.35">
      <c r="A3320" s="15" t="s">
        <v>3611</v>
      </c>
      <c r="B3320" s="52">
        <v>1</v>
      </c>
    </row>
    <row r="3321" spans="1:2" x14ac:dyDescent="0.35">
      <c r="A3321" s="15" t="s">
        <v>3634</v>
      </c>
      <c r="B3321" s="52">
        <v>1</v>
      </c>
    </row>
    <row r="3322" spans="1:2" x14ac:dyDescent="0.35">
      <c r="A3322" s="15" t="s">
        <v>113</v>
      </c>
      <c r="B3322" s="52">
        <v>1</v>
      </c>
    </row>
    <row r="3323" spans="1:2" x14ac:dyDescent="0.35">
      <c r="A3323" s="15" t="s">
        <v>3727</v>
      </c>
      <c r="B3323" s="52">
        <v>1</v>
      </c>
    </row>
    <row r="3324" spans="1:2" x14ac:dyDescent="0.35">
      <c r="A3324" s="15" t="s">
        <v>4025</v>
      </c>
      <c r="B3324" s="52">
        <v>1</v>
      </c>
    </row>
    <row r="3325" spans="1:2" x14ac:dyDescent="0.35">
      <c r="A3325" s="15" t="s">
        <v>3640</v>
      </c>
      <c r="B3325" s="52">
        <v>1</v>
      </c>
    </row>
    <row r="3326" spans="1:2" x14ac:dyDescent="0.35">
      <c r="A3326" s="15" t="s">
        <v>2980</v>
      </c>
      <c r="B3326" s="52">
        <v>1</v>
      </c>
    </row>
    <row r="3327" spans="1:2" x14ac:dyDescent="0.35">
      <c r="A3327" s="15" t="s">
        <v>4012</v>
      </c>
      <c r="B3327" s="52">
        <v>1</v>
      </c>
    </row>
    <row r="3328" spans="1:2" x14ac:dyDescent="0.35">
      <c r="A3328" s="15" t="s">
        <v>3668</v>
      </c>
      <c r="B3328" s="52">
        <v>1</v>
      </c>
    </row>
    <row r="3329" spans="1:2" x14ac:dyDescent="0.35">
      <c r="A3329" s="15" t="s">
        <v>3987</v>
      </c>
      <c r="B3329" s="52">
        <v>1</v>
      </c>
    </row>
    <row r="3330" spans="1:2" x14ac:dyDescent="0.35">
      <c r="A3330" s="15" t="s">
        <v>3867</v>
      </c>
      <c r="B3330" s="52">
        <v>1</v>
      </c>
    </row>
    <row r="3331" spans="1:2" x14ac:dyDescent="0.35">
      <c r="A3331" s="15" t="s">
        <v>3735</v>
      </c>
      <c r="B3331" s="52">
        <v>1</v>
      </c>
    </row>
    <row r="3332" spans="1:2" x14ac:dyDescent="0.35">
      <c r="A3332" s="15" t="s">
        <v>2519</v>
      </c>
      <c r="B3332" s="52">
        <v>1</v>
      </c>
    </row>
    <row r="3333" spans="1:2" x14ac:dyDescent="0.35">
      <c r="A3333" s="15" t="s">
        <v>3952</v>
      </c>
      <c r="B3333" s="52">
        <v>1</v>
      </c>
    </row>
    <row r="3334" spans="1:2" x14ac:dyDescent="0.35">
      <c r="A3334" s="15" t="s">
        <v>3157</v>
      </c>
      <c r="B3334" s="52">
        <v>1</v>
      </c>
    </row>
    <row r="3335" spans="1:2" x14ac:dyDescent="0.35">
      <c r="A3335" s="15" t="s">
        <v>2534</v>
      </c>
      <c r="B3335" s="52">
        <v>1</v>
      </c>
    </row>
    <row r="3336" spans="1:2" x14ac:dyDescent="0.35">
      <c r="A3336" s="15" t="s">
        <v>3025</v>
      </c>
      <c r="B3336" s="52">
        <v>1</v>
      </c>
    </row>
    <row r="3337" spans="1:2" x14ac:dyDescent="0.35">
      <c r="A3337" s="15" t="s">
        <v>4115</v>
      </c>
      <c r="B3337" s="52">
        <v>1</v>
      </c>
    </row>
    <row r="3338" spans="1:2" x14ac:dyDescent="0.35">
      <c r="A3338" s="15" t="s">
        <v>3966</v>
      </c>
      <c r="B3338" s="52">
        <v>1</v>
      </c>
    </row>
    <row r="3339" spans="1:2" x14ac:dyDescent="0.35">
      <c r="A3339" s="15" t="s">
        <v>3192</v>
      </c>
      <c r="B3339" s="52">
        <v>1</v>
      </c>
    </row>
    <row r="3340" spans="1:2" x14ac:dyDescent="0.35">
      <c r="A3340" s="15" t="s">
        <v>3221</v>
      </c>
      <c r="B3340" s="52">
        <v>1</v>
      </c>
    </row>
    <row r="3341" spans="1:2" x14ac:dyDescent="0.35">
      <c r="A3341" s="15" t="s">
        <v>3999</v>
      </c>
      <c r="B3341" s="52">
        <v>1</v>
      </c>
    </row>
    <row r="3342" spans="1:2" x14ac:dyDescent="0.35">
      <c r="A3342" s="15" t="s">
        <v>3922</v>
      </c>
      <c r="B3342" s="52">
        <v>1</v>
      </c>
    </row>
    <row r="3343" spans="1:2" x14ac:dyDescent="0.35">
      <c r="A3343" s="15" t="s">
        <v>3617</v>
      </c>
      <c r="B3343" s="52">
        <v>1</v>
      </c>
    </row>
    <row r="3344" spans="1:2" x14ac:dyDescent="0.35">
      <c r="A3344" s="15" t="s">
        <v>4031</v>
      </c>
      <c r="B3344" s="52">
        <v>1</v>
      </c>
    </row>
    <row r="3345" spans="1:2" x14ac:dyDescent="0.35">
      <c r="A3345" s="15" t="s">
        <v>3646</v>
      </c>
      <c r="B3345" s="52">
        <v>1</v>
      </c>
    </row>
    <row r="3346" spans="1:2" x14ac:dyDescent="0.35">
      <c r="A3346" s="15" t="s">
        <v>3945</v>
      </c>
      <c r="B3346" s="52">
        <v>1</v>
      </c>
    </row>
    <row r="3347" spans="1:2" x14ac:dyDescent="0.35">
      <c r="A3347" s="15" t="s">
        <v>3997</v>
      </c>
      <c r="B3347" s="52">
        <v>1</v>
      </c>
    </row>
    <row r="3348" spans="1:2" x14ac:dyDescent="0.35">
      <c r="A3348" s="15" t="s">
        <v>3717</v>
      </c>
      <c r="B3348" s="52">
        <v>1</v>
      </c>
    </row>
    <row r="3349" spans="1:2" x14ac:dyDescent="0.35">
      <c r="A3349" s="15" t="s">
        <v>3995</v>
      </c>
      <c r="B3349" s="52">
        <v>1</v>
      </c>
    </row>
    <row r="3350" spans="1:2" x14ac:dyDescent="0.35">
      <c r="A3350" s="15" t="s">
        <v>3852</v>
      </c>
      <c r="B3350" s="52">
        <v>1</v>
      </c>
    </row>
    <row r="3351" spans="1:2" x14ac:dyDescent="0.35">
      <c r="A3351" s="15" t="s">
        <v>3854</v>
      </c>
      <c r="B3351" s="52">
        <v>1</v>
      </c>
    </row>
    <row r="3352" spans="1:2" x14ac:dyDescent="0.35">
      <c r="A3352" s="15" t="s">
        <v>3855</v>
      </c>
      <c r="B3352" s="52">
        <v>1</v>
      </c>
    </row>
    <row r="3353" spans="1:2" x14ac:dyDescent="0.35">
      <c r="A3353" s="15" t="s">
        <v>3780</v>
      </c>
      <c r="B3353" s="52">
        <v>1</v>
      </c>
    </row>
    <row r="3354" spans="1:2" x14ac:dyDescent="0.35">
      <c r="A3354" s="15" t="s">
        <v>4084</v>
      </c>
      <c r="B3354" s="52">
        <v>1</v>
      </c>
    </row>
    <row r="3355" spans="1:2" x14ac:dyDescent="0.35">
      <c r="A3355" s="15" t="s">
        <v>3996</v>
      </c>
      <c r="B3355" s="52">
        <v>1</v>
      </c>
    </row>
    <row r="3356" spans="1:2" x14ac:dyDescent="0.35">
      <c r="A3356" s="15" t="s">
        <v>4179</v>
      </c>
      <c r="B3356" s="52">
        <v>1</v>
      </c>
    </row>
    <row r="3357" spans="1:2" x14ac:dyDescent="0.35">
      <c r="A3357" s="15" t="s">
        <v>4011</v>
      </c>
      <c r="B3357" s="52">
        <v>1</v>
      </c>
    </row>
    <row r="3358" spans="1:2" x14ac:dyDescent="0.35">
      <c r="A3358" s="15" t="s">
        <v>3994</v>
      </c>
      <c r="B3358" s="52">
        <v>1</v>
      </c>
    </row>
    <row r="3359" spans="1:2" x14ac:dyDescent="0.35">
      <c r="A3359" s="15" t="s">
        <v>4090</v>
      </c>
      <c r="B3359" s="52">
        <v>1</v>
      </c>
    </row>
    <row r="3360" spans="1:2" x14ac:dyDescent="0.35">
      <c r="A3360" s="15" t="s">
        <v>4056</v>
      </c>
      <c r="B3360" s="52">
        <v>1</v>
      </c>
    </row>
    <row r="3361" spans="1:2" x14ac:dyDescent="0.35">
      <c r="A3361" s="15" t="s">
        <v>4167</v>
      </c>
      <c r="B3361" s="52">
        <v>1</v>
      </c>
    </row>
    <row r="3362" spans="1:2" x14ac:dyDescent="0.35">
      <c r="A3362" s="15" t="s">
        <v>4000</v>
      </c>
      <c r="B3362" s="52">
        <v>1</v>
      </c>
    </row>
    <row r="3363" spans="1:2" x14ac:dyDescent="0.35">
      <c r="A3363" s="15" t="s">
        <v>718</v>
      </c>
      <c r="B3363" s="52">
        <v>1</v>
      </c>
    </row>
    <row r="3364" spans="1:2" x14ac:dyDescent="0.35">
      <c r="A3364" s="15" t="s">
        <v>3666</v>
      </c>
      <c r="B3364" s="52">
        <v>1</v>
      </c>
    </row>
    <row r="3365" spans="1:2" x14ac:dyDescent="0.35">
      <c r="A3365" s="15" t="s">
        <v>3667</v>
      </c>
      <c r="B3365" s="52">
        <v>1</v>
      </c>
    </row>
    <row r="3366" spans="1:2" x14ac:dyDescent="0.35">
      <c r="A3366" s="15" t="s">
        <v>4096</v>
      </c>
      <c r="B3366" s="52">
        <v>1</v>
      </c>
    </row>
    <row r="3367" spans="1:2" x14ac:dyDescent="0.35">
      <c r="A3367" s="15" t="s">
        <v>3173</v>
      </c>
      <c r="B3367" s="52">
        <v>1</v>
      </c>
    </row>
    <row r="3368" spans="1:2" x14ac:dyDescent="0.35">
      <c r="A3368" s="15" t="s">
        <v>3993</v>
      </c>
      <c r="B3368" s="52">
        <v>1</v>
      </c>
    </row>
    <row r="3369" spans="1:2" x14ac:dyDescent="0.35">
      <c r="A3369" s="15" t="s">
        <v>3644</v>
      </c>
      <c r="B3369" s="52">
        <v>1</v>
      </c>
    </row>
    <row r="3370" spans="1:2" x14ac:dyDescent="0.35">
      <c r="A3370" s="15" t="s">
        <v>3633</v>
      </c>
      <c r="B3370" s="52">
        <v>1</v>
      </c>
    </row>
    <row r="3371" spans="1:2" x14ac:dyDescent="0.35">
      <c r="A3371" s="15" t="s">
        <v>3381</v>
      </c>
      <c r="B3371" s="52">
        <v>1</v>
      </c>
    </row>
    <row r="3372" spans="1:2" x14ac:dyDescent="0.35">
      <c r="A3372" s="15" t="s">
        <v>2547</v>
      </c>
      <c r="B3372" s="52">
        <v>1</v>
      </c>
    </row>
    <row r="3373" spans="1:2" x14ac:dyDescent="0.35">
      <c r="A3373" s="15" t="s">
        <v>4178</v>
      </c>
      <c r="B3373" s="52">
        <v>1</v>
      </c>
    </row>
    <row r="3374" spans="1:2" x14ac:dyDescent="0.35">
      <c r="A3374" s="15" t="s">
        <v>4058</v>
      </c>
      <c r="B3374" s="52">
        <v>1</v>
      </c>
    </row>
    <row r="3375" spans="1:2" x14ac:dyDescent="0.35">
      <c r="A3375" s="15" t="s">
        <v>4116</v>
      </c>
      <c r="B3375" s="52">
        <v>1</v>
      </c>
    </row>
    <row r="3376" spans="1:2" x14ac:dyDescent="0.35">
      <c r="A3376" s="15" t="s">
        <v>3662</v>
      </c>
      <c r="B3376" s="52">
        <v>1</v>
      </c>
    </row>
    <row r="3377" spans="1:2" x14ac:dyDescent="0.35">
      <c r="A3377" s="15" t="s">
        <v>3895</v>
      </c>
      <c r="B3377" s="52">
        <v>1</v>
      </c>
    </row>
    <row r="3378" spans="1:2" x14ac:dyDescent="0.35">
      <c r="A3378" s="15" t="s">
        <v>3977</v>
      </c>
      <c r="B3378" s="52">
        <v>1</v>
      </c>
    </row>
    <row r="3379" spans="1:2" x14ac:dyDescent="0.35">
      <c r="A3379" s="15" t="s">
        <v>3942</v>
      </c>
      <c r="B3379" s="52">
        <v>1</v>
      </c>
    </row>
    <row r="3380" spans="1:2" x14ac:dyDescent="0.35">
      <c r="A3380" s="15" t="s">
        <v>3940</v>
      </c>
      <c r="B3380" s="52">
        <v>1</v>
      </c>
    </row>
    <row r="3381" spans="1:2" x14ac:dyDescent="0.35">
      <c r="A3381" s="15" t="s">
        <v>3853</v>
      </c>
      <c r="B3381" s="52">
        <v>1</v>
      </c>
    </row>
    <row r="3382" spans="1:2" x14ac:dyDescent="0.35">
      <c r="A3382" s="15" t="s">
        <v>3704</v>
      </c>
      <c r="B3382" s="52">
        <v>1</v>
      </c>
    </row>
    <row r="3383" spans="1:2" x14ac:dyDescent="0.35">
      <c r="A3383" s="15" t="s">
        <v>3822</v>
      </c>
      <c r="B3383" s="52">
        <v>1</v>
      </c>
    </row>
    <row r="3384" spans="1:2" x14ac:dyDescent="0.35">
      <c r="A3384" s="15" t="s">
        <v>4180</v>
      </c>
      <c r="B3384" s="52">
        <v>1</v>
      </c>
    </row>
    <row r="3385" spans="1:2" x14ac:dyDescent="0.35">
      <c r="A3385" s="15" t="s">
        <v>3898</v>
      </c>
      <c r="B3385" s="52">
        <v>1</v>
      </c>
    </row>
    <row r="3386" spans="1:2" x14ac:dyDescent="0.35">
      <c r="A3386" s="15" t="s">
        <v>4101</v>
      </c>
      <c r="B3386" s="52">
        <v>1</v>
      </c>
    </row>
    <row r="3387" spans="1:2" x14ac:dyDescent="0.35">
      <c r="A3387" s="15" t="s">
        <v>3931</v>
      </c>
      <c r="B3387" s="52">
        <v>1</v>
      </c>
    </row>
    <row r="3388" spans="1:2" x14ac:dyDescent="0.35">
      <c r="A3388" s="15" t="s">
        <v>4189</v>
      </c>
      <c r="B3388" s="52">
        <v>1</v>
      </c>
    </row>
    <row r="3389" spans="1:2" x14ac:dyDescent="0.35">
      <c r="A3389" s="15" t="s">
        <v>4067</v>
      </c>
      <c r="B3389" s="52">
        <v>1</v>
      </c>
    </row>
    <row r="3390" spans="1:2" x14ac:dyDescent="0.35">
      <c r="A3390" s="15" t="s">
        <v>4068</v>
      </c>
      <c r="B3390" s="52">
        <v>1</v>
      </c>
    </row>
    <row r="3391" spans="1:2" x14ac:dyDescent="0.35">
      <c r="A3391" s="15" t="s">
        <v>726</v>
      </c>
      <c r="B3391" s="52">
        <v>1</v>
      </c>
    </row>
    <row r="3392" spans="1:2" x14ac:dyDescent="0.35">
      <c r="A3392" s="15" t="s">
        <v>4184</v>
      </c>
      <c r="B3392" s="52">
        <v>1</v>
      </c>
    </row>
    <row r="3393" spans="1:2" x14ac:dyDescent="0.35">
      <c r="A3393" s="15" t="s">
        <v>3651</v>
      </c>
      <c r="B3393" s="52">
        <v>1</v>
      </c>
    </row>
    <row r="3394" spans="1:2" x14ac:dyDescent="0.35">
      <c r="A3394" s="15" t="s">
        <v>3683</v>
      </c>
      <c r="B3394" s="52">
        <v>1</v>
      </c>
    </row>
    <row r="3395" spans="1:2" x14ac:dyDescent="0.35">
      <c r="A3395" s="15" t="s">
        <v>3242</v>
      </c>
      <c r="B3395" s="52">
        <v>1</v>
      </c>
    </row>
    <row r="3396" spans="1:2" x14ac:dyDescent="0.35">
      <c r="A3396" s="15" t="s">
        <v>727</v>
      </c>
      <c r="B3396" s="52">
        <v>1</v>
      </c>
    </row>
    <row r="3397" spans="1:2" x14ac:dyDescent="0.35">
      <c r="A3397" s="15" t="s">
        <v>821</v>
      </c>
      <c r="B3397" s="52">
        <v>1</v>
      </c>
    </row>
    <row r="3398" spans="1:2" x14ac:dyDescent="0.35">
      <c r="A3398" s="15" t="s">
        <v>3579</v>
      </c>
      <c r="B3398" s="52">
        <v>1</v>
      </c>
    </row>
    <row r="3399" spans="1:2" x14ac:dyDescent="0.35">
      <c r="A3399" s="15" t="s">
        <v>4175</v>
      </c>
      <c r="B3399" s="52">
        <v>1</v>
      </c>
    </row>
    <row r="3400" spans="1:2" x14ac:dyDescent="0.35">
      <c r="A3400" s="15" t="s">
        <v>3000</v>
      </c>
      <c r="B3400" s="52">
        <v>1</v>
      </c>
    </row>
    <row r="3401" spans="1:2" x14ac:dyDescent="0.35">
      <c r="A3401" s="15" t="s">
        <v>3964</v>
      </c>
      <c r="B3401" s="52">
        <v>1</v>
      </c>
    </row>
    <row r="3402" spans="1:2" x14ac:dyDescent="0.35">
      <c r="A3402" s="15" t="s">
        <v>3839</v>
      </c>
      <c r="B3402" s="52">
        <v>1</v>
      </c>
    </row>
    <row r="3403" spans="1:2" x14ac:dyDescent="0.35">
      <c r="A3403" s="15" t="s">
        <v>625</v>
      </c>
      <c r="B3403" s="52">
        <v>1</v>
      </c>
    </row>
    <row r="3404" spans="1:2" x14ac:dyDescent="0.35">
      <c r="A3404" s="15" t="s">
        <v>2360</v>
      </c>
      <c r="B3404" s="52">
        <v>1</v>
      </c>
    </row>
    <row r="3405" spans="1:2" x14ac:dyDescent="0.35">
      <c r="A3405" s="15" t="s">
        <v>3600</v>
      </c>
      <c r="B3405" s="52">
        <v>1</v>
      </c>
    </row>
    <row r="3406" spans="1:2" x14ac:dyDescent="0.35">
      <c r="A3406" s="15" t="s">
        <v>3584</v>
      </c>
      <c r="B3406" s="52">
        <v>1</v>
      </c>
    </row>
    <row r="3407" spans="1:2" x14ac:dyDescent="0.35">
      <c r="A3407" s="15" t="s">
        <v>3585</v>
      </c>
      <c r="B3407" s="52">
        <v>1</v>
      </c>
    </row>
    <row r="3408" spans="1:2" x14ac:dyDescent="0.35">
      <c r="A3408" s="15" t="s">
        <v>1744</v>
      </c>
      <c r="B3408" s="52">
        <v>1</v>
      </c>
    </row>
    <row r="3409" spans="1:2" x14ac:dyDescent="0.35">
      <c r="A3409" s="15" t="s">
        <v>1461</v>
      </c>
      <c r="B3409" s="52">
        <v>1</v>
      </c>
    </row>
    <row r="3410" spans="1:2" x14ac:dyDescent="0.35">
      <c r="A3410" s="15" t="s">
        <v>1663</v>
      </c>
      <c r="B3410" s="52">
        <v>1</v>
      </c>
    </row>
    <row r="3411" spans="1:2" x14ac:dyDescent="0.35">
      <c r="A3411" s="15" t="s">
        <v>3757</v>
      </c>
      <c r="B3411" s="52">
        <v>1</v>
      </c>
    </row>
    <row r="3412" spans="1:2" x14ac:dyDescent="0.35">
      <c r="A3412" s="15" t="s">
        <v>4005</v>
      </c>
      <c r="B3412" s="52">
        <v>1</v>
      </c>
    </row>
    <row r="3413" spans="1:2" x14ac:dyDescent="0.35">
      <c r="A3413" s="15" t="s">
        <v>4051</v>
      </c>
      <c r="B3413" s="52">
        <v>1</v>
      </c>
    </row>
    <row r="3414" spans="1:2" x14ac:dyDescent="0.35">
      <c r="A3414" s="15" t="s">
        <v>4162</v>
      </c>
      <c r="B3414" s="52">
        <v>1</v>
      </c>
    </row>
    <row r="3415" spans="1:2" x14ac:dyDescent="0.35">
      <c r="A3415" s="15" t="s">
        <v>3812</v>
      </c>
      <c r="B3415" s="52">
        <v>1</v>
      </c>
    </row>
    <row r="3416" spans="1:2" x14ac:dyDescent="0.35">
      <c r="A3416" s="15" t="s">
        <v>4001</v>
      </c>
      <c r="B3416" s="52">
        <v>1</v>
      </c>
    </row>
    <row r="3417" spans="1:2" x14ac:dyDescent="0.35">
      <c r="A3417" s="15" t="s">
        <v>3982</v>
      </c>
      <c r="B3417" s="52">
        <v>1</v>
      </c>
    </row>
    <row r="3418" spans="1:2" x14ac:dyDescent="0.35">
      <c r="A3418" s="15" t="s">
        <v>3944</v>
      </c>
      <c r="B3418" s="52">
        <v>1</v>
      </c>
    </row>
    <row r="3419" spans="1:2" x14ac:dyDescent="0.35">
      <c r="A3419" s="15" t="s">
        <v>3955</v>
      </c>
      <c r="B3419" s="52">
        <v>1</v>
      </c>
    </row>
    <row r="3420" spans="1:2" x14ac:dyDescent="0.35">
      <c r="A3420" s="15" t="s">
        <v>4003</v>
      </c>
      <c r="B3420" s="52">
        <v>1</v>
      </c>
    </row>
    <row r="3421" spans="1:2" x14ac:dyDescent="0.35">
      <c r="A3421" s="15" t="s">
        <v>4104</v>
      </c>
      <c r="B3421" s="52">
        <v>1</v>
      </c>
    </row>
    <row r="3422" spans="1:2" x14ac:dyDescent="0.35">
      <c r="A3422" s="15" t="s">
        <v>3868</v>
      </c>
      <c r="B3422" s="52">
        <v>1</v>
      </c>
    </row>
    <row r="3423" spans="1:2" x14ac:dyDescent="0.35">
      <c r="A3423" s="15" t="s">
        <v>3950</v>
      </c>
      <c r="B3423" s="52">
        <v>1</v>
      </c>
    </row>
    <row r="3424" spans="1:2" x14ac:dyDescent="0.35">
      <c r="A3424" s="15" t="s">
        <v>3960</v>
      </c>
      <c r="B3424" s="52">
        <v>1</v>
      </c>
    </row>
    <row r="3425" spans="1:2" x14ac:dyDescent="0.35">
      <c r="A3425" s="15" t="s">
        <v>3962</v>
      </c>
      <c r="B3425" s="52">
        <v>1</v>
      </c>
    </row>
    <row r="3426" spans="1:2" x14ac:dyDescent="0.35">
      <c r="A3426" s="15" t="s">
        <v>4006</v>
      </c>
      <c r="B3426" s="52">
        <v>1</v>
      </c>
    </row>
    <row r="3427" spans="1:2" x14ac:dyDescent="0.35">
      <c r="A3427" s="15" t="s">
        <v>3923</v>
      </c>
      <c r="B3427" s="52">
        <v>1</v>
      </c>
    </row>
    <row r="3428" spans="1:2" x14ac:dyDescent="0.35">
      <c r="A3428" s="15" t="s">
        <v>4004</v>
      </c>
      <c r="B3428" s="52">
        <v>1</v>
      </c>
    </row>
    <row r="3429" spans="1:2" x14ac:dyDescent="0.35">
      <c r="A3429" s="15" t="s">
        <v>3968</v>
      </c>
      <c r="B3429" s="52">
        <v>1</v>
      </c>
    </row>
    <row r="3430" spans="1:2" x14ac:dyDescent="0.35">
      <c r="A3430" s="15" t="s">
        <v>3985</v>
      </c>
      <c r="B3430" s="52">
        <v>1</v>
      </c>
    </row>
    <row r="3431" spans="1:2" x14ac:dyDescent="0.35">
      <c r="A3431" s="15" t="s">
        <v>3661</v>
      </c>
      <c r="B3431" s="52">
        <v>1</v>
      </c>
    </row>
    <row r="3432" spans="1:2" x14ac:dyDescent="0.35">
      <c r="A3432" s="15" t="s">
        <v>3880</v>
      </c>
      <c r="B3432" s="52">
        <v>1</v>
      </c>
    </row>
    <row r="3433" spans="1:2" x14ac:dyDescent="0.35">
      <c r="A3433" s="15" t="s">
        <v>3886</v>
      </c>
      <c r="B3433" s="52">
        <v>1</v>
      </c>
    </row>
    <row r="3434" spans="1:2" x14ac:dyDescent="0.35">
      <c r="A3434" s="15" t="s">
        <v>3891</v>
      </c>
      <c r="B3434" s="52">
        <v>1</v>
      </c>
    </row>
    <row r="3435" spans="1:2" x14ac:dyDescent="0.35">
      <c r="A3435" s="15" t="s">
        <v>3892</v>
      </c>
      <c r="B3435" s="52">
        <v>1</v>
      </c>
    </row>
    <row r="3436" spans="1:2" x14ac:dyDescent="0.35">
      <c r="A3436" s="15" t="s">
        <v>3890</v>
      </c>
      <c r="B3436" s="52">
        <v>1</v>
      </c>
    </row>
    <row r="3437" spans="1:2" x14ac:dyDescent="0.35">
      <c r="A3437" s="15" t="s">
        <v>3948</v>
      </c>
      <c r="B3437" s="52">
        <v>1</v>
      </c>
    </row>
    <row r="3438" spans="1:2" x14ac:dyDescent="0.35">
      <c r="A3438" s="15" t="s">
        <v>3951</v>
      </c>
      <c r="B3438" s="52">
        <v>1</v>
      </c>
    </row>
    <row r="3439" spans="1:2" x14ac:dyDescent="0.35">
      <c r="A3439" s="15" t="s">
        <v>3957</v>
      </c>
      <c r="B3439" s="52">
        <v>1</v>
      </c>
    </row>
    <row r="3440" spans="1:2" x14ac:dyDescent="0.35">
      <c r="A3440" s="15" t="s">
        <v>3915</v>
      </c>
      <c r="B3440" s="52">
        <v>1</v>
      </c>
    </row>
    <row r="3441" spans="1:2" x14ac:dyDescent="0.35">
      <c r="A3441" s="15" t="s">
        <v>3926</v>
      </c>
      <c r="B3441" s="52">
        <v>1</v>
      </c>
    </row>
    <row r="3442" spans="1:2" x14ac:dyDescent="0.35">
      <c r="A3442" s="15" t="s">
        <v>3927</v>
      </c>
      <c r="B3442" s="52">
        <v>1</v>
      </c>
    </row>
    <row r="3443" spans="1:2" x14ac:dyDescent="0.35">
      <c r="A3443" s="15" t="s">
        <v>3949</v>
      </c>
      <c r="B3443" s="52">
        <v>1</v>
      </c>
    </row>
    <row r="3444" spans="1:2" x14ac:dyDescent="0.35">
      <c r="A3444" s="15" t="s">
        <v>3625</v>
      </c>
      <c r="B3444" s="52">
        <v>1</v>
      </c>
    </row>
    <row r="3445" spans="1:2" x14ac:dyDescent="0.35">
      <c r="A3445" s="15" t="s">
        <v>3937</v>
      </c>
      <c r="B3445" s="52">
        <v>1</v>
      </c>
    </row>
    <row r="3446" spans="1:2" x14ac:dyDescent="0.35">
      <c r="A3446" s="15" t="s">
        <v>4102</v>
      </c>
      <c r="B3446" s="52">
        <v>1</v>
      </c>
    </row>
    <row r="3447" spans="1:2" x14ac:dyDescent="0.35">
      <c r="A3447" s="15" t="s">
        <v>4080</v>
      </c>
      <c r="B3447" s="52">
        <v>1</v>
      </c>
    </row>
    <row r="3448" spans="1:2" x14ac:dyDescent="0.35">
      <c r="A3448" s="15" t="s">
        <v>3947</v>
      </c>
      <c r="B3448" s="52">
        <v>1</v>
      </c>
    </row>
    <row r="3449" spans="1:2" x14ac:dyDescent="0.35">
      <c r="A3449" s="15" t="s">
        <v>4103</v>
      </c>
      <c r="B3449" s="52">
        <v>1</v>
      </c>
    </row>
    <row r="3450" spans="1:2" x14ac:dyDescent="0.35">
      <c r="A3450" s="15" t="s">
        <v>3869</v>
      </c>
      <c r="B3450" s="52">
        <v>1</v>
      </c>
    </row>
    <row r="3451" spans="1:2" x14ac:dyDescent="0.35">
      <c r="A3451" s="15" t="s">
        <v>3678</v>
      </c>
      <c r="B3451" s="52">
        <v>1</v>
      </c>
    </row>
    <row r="3452" spans="1:2" x14ac:dyDescent="0.35">
      <c r="A3452" s="15" t="s">
        <v>3774</v>
      </c>
      <c r="B3452" s="52">
        <v>1</v>
      </c>
    </row>
    <row r="3453" spans="1:2" x14ac:dyDescent="0.35">
      <c r="A3453" s="15" t="s">
        <v>3929</v>
      </c>
      <c r="B3453" s="52">
        <v>1</v>
      </c>
    </row>
    <row r="3454" spans="1:2" x14ac:dyDescent="0.35">
      <c r="A3454" s="15" t="s">
        <v>3677</v>
      </c>
      <c r="B3454" s="52">
        <v>1</v>
      </c>
    </row>
    <row r="3455" spans="1:2" x14ac:dyDescent="0.35">
      <c r="A3455" s="15" t="s">
        <v>824</v>
      </c>
      <c r="B3455" s="52">
        <v>1</v>
      </c>
    </row>
    <row r="3456" spans="1:2" x14ac:dyDescent="0.35">
      <c r="A3456" s="15" t="s">
        <v>3841</v>
      </c>
      <c r="B3456" s="52">
        <v>1</v>
      </c>
    </row>
    <row r="3457" spans="1:2" x14ac:dyDescent="0.35">
      <c r="A3457" s="15" t="s">
        <v>3817</v>
      </c>
      <c r="B3457" s="52">
        <v>1</v>
      </c>
    </row>
    <row r="3458" spans="1:2" x14ac:dyDescent="0.35">
      <c r="A3458" s="15" t="s">
        <v>4054</v>
      </c>
      <c r="B3458" s="52">
        <v>1</v>
      </c>
    </row>
    <row r="3459" spans="1:2" x14ac:dyDescent="0.35">
      <c r="A3459" s="15" t="s">
        <v>4121</v>
      </c>
      <c r="B3459" s="52">
        <v>1</v>
      </c>
    </row>
    <row r="3460" spans="1:2" x14ac:dyDescent="0.35">
      <c r="A3460" s="15" t="s">
        <v>3374</v>
      </c>
      <c r="B3460" s="52">
        <v>1</v>
      </c>
    </row>
    <row r="3461" spans="1:2" x14ac:dyDescent="0.35">
      <c r="A3461" s="15" t="s">
        <v>4072</v>
      </c>
      <c r="B3461" s="52">
        <v>1</v>
      </c>
    </row>
    <row r="3462" spans="1:2" x14ac:dyDescent="0.35">
      <c r="A3462" s="15" t="s">
        <v>4069</v>
      </c>
      <c r="B3462" s="52">
        <v>1</v>
      </c>
    </row>
    <row r="3463" spans="1:2" x14ac:dyDescent="0.35">
      <c r="A3463" s="15" t="s">
        <v>4070</v>
      </c>
      <c r="B3463" s="52">
        <v>1</v>
      </c>
    </row>
    <row r="3464" spans="1:2" x14ac:dyDescent="0.35">
      <c r="A3464" s="15" t="s">
        <v>4071</v>
      </c>
      <c r="B3464" s="52">
        <v>1</v>
      </c>
    </row>
    <row r="3465" spans="1:2" x14ac:dyDescent="0.35">
      <c r="A3465" s="15" t="s">
        <v>4073</v>
      </c>
      <c r="B3465" s="52">
        <v>1</v>
      </c>
    </row>
    <row r="3466" spans="1:2" x14ac:dyDescent="0.35">
      <c r="A3466" s="15" t="s">
        <v>4183</v>
      </c>
      <c r="B3466" s="52">
        <v>1</v>
      </c>
    </row>
    <row r="3467" spans="1:2" x14ac:dyDescent="0.35">
      <c r="A3467" s="15" t="s">
        <v>3621</v>
      </c>
      <c r="B3467" s="52">
        <v>1</v>
      </c>
    </row>
    <row r="3468" spans="1:2" x14ac:dyDescent="0.35">
      <c r="A3468" s="15" t="s">
        <v>3622</v>
      </c>
      <c r="B3468" s="52">
        <v>1</v>
      </c>
    </row>
    <row r="3469" spans="1:2" x14ac:dyDescent="0.35">
      <c r="A3469" s="15" t="s">
        <v>3847</v>
      </c>
      <c r="B3469" s="52">
        <v>1</v>
      </c>
    </row>
    <row r="3470" spans="1:2" x14ac:dyDescent="0.35">
      <c r="A3470" s="15" t="s">
        <v>3816</v>
      </c>
      <c r="B3470" s="52">
        <v>1</v>
      </c>
    </row>
    <row r="3471" spans="1:2" x14ac:dyDescent="0.35">
      <c r="A3471" s="15" t="s">
        <v>3811</v>
      </c>
      <c r="B3471" s="52">
        <v>1</v>
      </c>
    </row>
    <row r="3472" spans="1:2" x14ac:dyDescent="0.35">
      <c r="A3472" s="15" t="s">
        <v>3833</v>
      </c>
      <c r="B3472" s="52">
        <v>1</v>
      </c>
    </row>
    <row r="3473" spans="1:2" x14ac:dyDescent="0.35">
      <c r="A3473" s="15" t="s">
        <v>3624</v>
      </c>
      <c r="B3473" s="52">
        <v>1</v>
      </c>
    </row>
    <row r="3474" spans="1:2" x14ac:dyDescent="0.35">
      <c r="A3474" s="15" t="s">
        <v>4100</v>
      </c>
      <c r="B3474" s="52">
        <v>1</v>
      </c>
    </row>
    <row r="3475" spans="1:2" x14ac:dyDescent="0.35">
      <c r="A3475" s="15" t="s">
        <v>3829</v>
      </c>
      <c r="B3475" s="52">
        <v>1</v>
      </c>
    </row>
    <row r="3476" spans="1:2" x14ac:dyDescent="0.35">
      <c r="A3476" s="15" t="s">
        <v>3671</v>
      </c>
      <c r="B3476" s="52">
        <v>1</v>
      </c>
    </row>
    <row r="3477" spans="1:2" x14ac:dyDescent="0.35">
      <c r="A3477" s="15" t="s">
        <v>4063</v>
      </c>
      <c r="B3477" s="52">
        <v>1</v>
      </c>
    </row>
    <row r="3478" spans="1:2" x14ac:dyDescent="0.35">
      <c r="A3478" s="15" t="s">
        <v>4064</v>
      </c>
      <c r="B3478" s="52">
        <v>1</v>
      </c>
    </row>
    <row r="3479" spans="1:2" x14ac:dyDescent="0.35">
      <c r="A3479" s="15" t="s">
        <v>3916</v>
      </c>
      <c r="B3479" s="52">
        <v>1</v>
      </c>
    </row>
    <row r="3480" spans="1:2" x14ac:dyDescent="0.35">
      <c r="A3480" s="15" t="s">
        <v>3992</v>
      </c>
      <c r="B3480" s="52">
        <v>1</v>
      </c>
    </row>
    <row r="3481" spans="1:2" x14ac:dyDescent="0.35">
      <c r="A3481" s="15" t="s">
        <v>3669</v>
      </c>
      <c r="B3481" s="52">
        <v>1</v>
      </c>
    </row>
    <row r="3482" spans="1:2" x14ac:dyDescent="0.35">
      <c r="A3482" s="15" t="s">
        <v>3870</v>
      </c>
      <c r="B3482" s="52">
        <v>1</v>
      </c>
    </row>
    <row r="3483" spans="1:2" x14ac:dyDescent="0.35">
      <c r="A3483" s="15" t="s">
        <v>3961</v>
      </c>
      <c r="B3483" s="52">
        <v>1</v>
      </c>
    </row>
    <row r="3484" spans="1:2" x14ac:dyDescent="0.35">
      <c r="A3484" s="15" t="s">
        <v>3959</v>
      </c>
      <c r="B3484" s="52">
        <v>1</v>
      </c>
    </row>
    <row r="3485" spans="1:2" x14ac:dyDescent="0.35">
      <c r="A3485" s="15" t="s">
        <v>3641</v>
      </c>
      <c r="B3485" s="52">
        <v>1</v>
      </c>
    </row>
    <row r="3486" spans="1:2" x14ac:dyDescent="0.35">
      <c r="A3486" s="15" t="s">
        <v>4026</v>
      </c>
      <c r="B3486" s="52">
        <v>1</v>
      </c>
    </row>
    <row r="3487" spans="1:2" x14ac:dyDescent="0.35">
      <c r="A3487" s="15" t="s">
        <v>3973</v>
      </c>
      <c r="B3487" s="52">
        <v>1</v>
      </c>
    </row>
    <row r="3488" spans="1:2" x14ac:dyDescent="0.35">
      <c r="A3488" s="15" t="s">
        <v>3954</v>
      </c>
      <c r="B3488" s="52">
        <v>1</v>
      </c>
    </row>
    <row r="3489" spans="1:2" x14ac:dyDescent="0.35">
      <c r="A3489" s="15" t="s">
        <v>3882</v>
      </c>
      <c r="B3489" s="52">
        <v>1</v>
      </c>
    </row>
    <row r="3490" spans="1:2" x14ac:dyDescent="0.35">
      <c r="A3490" s="15" t="s">
        <v>3884</v>
      </c>
      <c r="B3490" s="52">
        <v>1</v>
      </c>
    </row>
    <row r="3491" spans="1:2" x14ac:dyDescent="0.35">
      <c r="A3491" s="15" t="s">
        <v>3885</v>
      </c>
      <c r="B3491" s="52">
        <v>1</v>
      </c>
    </row>
    <row r="3492" spans="1:2" x14ac:dyDescent="0.35">
      <c r="A3492" s="15" t="s">
        <v>3894</v>
      </c>
      <c r="B3492" s="52">
        <v>1</v>
      </c>
    </row>
    <row r="3493" spans="1:2" x14ac:dyDescent="0.35">
      <c r="A3493" s="15" t="s">
        <v>3910</v>
      </c>
      <c r="B3493" s="52">
        <v>1</v>
      </c>
    </row>
    <row r="3494" spans="1:2" x14ac:dyDescent="0.35">
      <c r="A3494" s="15" t="s">
        <v>3911</v>
      </c>
      <c r="B3494" s="52">
        <v>1</v>
      </c>
    </row>
    <row r="3495" spans="1:2" x14ac:dyDescent="0.35">
      <c r="A3495" s="15" t="s">
        <v>3917</v>
      </c>
      <c r="B3495" s="52">
        <v>1</v>
      </c>
    </row>
    <row r="3496" spans="1:2" x14ac:dyDescent="0.35">
      <c r="A3496" s="15" t="s">
        <v>3883</v>
      </c>
      <c r="B3496" s="52">
        <v>1</v>
      </c>
    </row>
    <row r="3497" spans="1:2" x14ac:dyDescent="0.35">
      <c r="A3497" s="15" t="s">
        <v>3913</v>
      </c>
      <c r="B3497" s="52">
        <v>1</v>
      </c>
    </row>
    <row r="3498" spans="1:2" x14ac:dyDescent="0.35">
      <c r="A3498" s="15" t="s">
        <v>3930</v>
      </c>
      <c r="B3498" s="52">
        <v>1</v>
      </c>
    </row>
    <row r="3499" spans="1:2" x14ac:dyDescent="0.35">
      <c r="A3499" s="15" t="s">
        <v>3969</v>
      </c>
      <c r="B3499" s="52">
        <v>1</v>
      </c>
    </row>
    <row r="3500" spans="1:2" x14ac:dyDescent="0.35">
      <c r="A3500" s="15" t="s">
        <v>3924</v>
      </c>
      <c r="B3500" s="52">
        <v>1</v>
      </c>
    </row>
    <row r="3501" spans="1:2" x14ac:dyDescent="0.35">
      <c r="A3501" s="15" t="s">
        <v>4110</v>
      </c>
      <c r="B3501" s="52">
        <v>1</v>
      </c>
    </row>
    <row r="3502" spans="1:2" x14ac:dyDescent="0.35">
      <c r="A3502" s="15" t="s">
        <v>4111</v>
      </c>
      <c r="B3502" s="52">
        <v>1</v>
      </c>
    </row>
    <row r="3503" spans="1:2" x14ac:dyDescent="0.35">
      <c r="A3503" s="15" t="s">
        <v>4018</v>
      </c>
      <c r="B3503" s="52">
        <v>1</v>
      </c>
    </row>
    <row r="3504" spans="1:2" x14ac:dyDescent="0.35">
      <c r="A3504" s="15" t="s">
        <v>4019</v>
      </c>
      <c r="B3504" s="52">
        <v>1</v>
      </c>
    </row>
    <row r="3505" spans="1:2" x14ac:dyDescent="0.35">
      <c r="A3505" s="15" t="s">
        <v>3665</v>
      </c>
      <c r="B3505" s="52">
        <v>1</v>
      </c>
    </row>
    <row r="3506" spans="1:2" x14ac:dyDescent="0.35">
      <c r="A3506" s="15" t="s">
        <v>4091</v>
      </c>
      <c r="B3506" s="52">
        <v>1</v>
      </c>
    </row>
    <row r="3507" spans="1:2" x14ac:dyDescent="0.35">
      <c r="A3507" s="15" t="s">
        <v>3819</v>
      </c>
      <c r="B3507" s="52">
        <v>1</v>
      </c>
    </row>
    <row r="3508" spans="1:2" x14ac:dyDescent="0.35">
      <c r="A3508" s="15" t="s">
        <v>3820</v>
      </c>
      <c r="B3508" s="52">
        <v>1</v>
      </c>
    </row>
    <row r="3509" spans="1:2" x14ac:dyDescent="0.35">
      <c r="A3509" s="15" t="s">
        <v>4009</v>
      </c>
      <c r="B3509" s="52">
        <v>1</v>
      </c>
    </row>
    <row r="3510" spans="1:2" x14ac:dyDescent="0.35">
      <c r="A3510" s="15" t="s">
        <v>3614</v>
      </c>
      <c r="B3510" s="52">
        <v>1</v>
      </c>
    </row>
    <row r="3511" spans="1:2" x14ac:dyDescent="0.35">
      <c r="A3511" s="15" t="s">
        <v>3896</v>
      </c>
      <c r="B3511" s="52">
        <v>1</v>
      </c>
    </row>
    <row r="3512" spans="1:2" x14ac:dyDescent="0.35">
      <c r="A3512" s="15" t="s">
        <v>4008</v>
      </c>
      <c r="B3512" s="52">
        <v>1</v>
      </c>
    </row>
    <row r="3513" spans="1:2" x14ac:dyDescent="0.35">
      <c r="A3513" s="15" t="s">
        <v>3909</v>
      </c>
      <c r="B3513" s="52">
        <v>1</v>
      </c>
    </row>
    <row r="3514" spans="1:2" x14ac:dyDescent="0.35">
      <c r="A3514" s="15" t="s">
        <v>3958</v>
      </c>
      <c r="B3514" s="52">
        <v>1</v>
      </c>
    </row>
    <row r="3515" spans="1:2" x14ac:dyDescent="0.35">
      <c r="A3515" s="15" t="s">
        <v>4093</v>
      </c>
      <c r="B3515" s="52">
        <v>1</v>
      </c>
    </row>
    <row r="3516" spans="1:2" x14ac:dyDescent="0.35">
      <c r="A3516" s="15" t="s">
        <v>3663</v>
      </c>
      <c r="B3516" s="52">
        <v>1</v>
      </c>
    </row>
    <row r="3517" spans="1:2" x14ac:dyDescent="0.35">
      <c r="A3517" s="15" t="s">
        <v>3814</v>
      </c>
      <c r="B3517" s="52">
        <v>1</v>
      </c>
    </row>
    <row r="3518" spans="1:2" x14ac:dyDescent="0.35">
      <c r="A3518" s="15" t="s">
        <v>3904</v>
      </c>
      <c r="B3518" s="52">
        <v>1</v>
      </c>
    </row>
    <row r="3519" spans="1:2" x14ac:dyDescent="0.35">
      <c r="A3519" s="15" t="s">
        <v>3635</v>
      </c>
      <c r="B3519" s="52">
        <v>1</v>
      </c>
    </row>
    <row r="3520" spans="1:2" x14ac:dyDescent="0.35">
      <c r="A3520" s="15" t="s">
        <v>3887</v>
      </c>
      <c r="B3520" s="52">
        <v>1</v>
      </c>
    </row>
    <row r="3521" spans="1:2" x14ac:dyDescent="0.35">
      <c r="A3521" s="15" t="s">
        <v>3919</v>
      </c>
      <c r="B3521" s="52">
        <v>1</v>
      </c>
    </row>
    <row r="3522" spans="1:2" x14ac:dyDescent="0.35">
      <c r="A3522" s="15" t="s">
        <v>4170</v>
      </c>
      <c r="B3522" s="52">
        <v>1</v>
      </c>
    </row>
    <row r="3523" spans="1:2" x14ac:dyDescent="0.35">
      <c r="A3523" s="15" t="s">
        <v>4171</v>
      </c>
      <c r="B3523" s="52">
        <v>1</v>
      </c>
    </row>
    <row r="3524" spans="1:2" x14ac:dyDescent="0.35">
      <c r="A3524" s="15" t="s">
        <v>4092</v>
      </c>
      <c r="B3524" s="52">
        <v>1</v>
      </c>
    </row>
    <row r="3525" spans="1:2" x14ac:dyDescent="0.35">
      <c r="A3525" s="15" t="s">
        <v>3670</v>
      </c>
      <c r="B3525" s="52">
        <v>1</v>
      </c>
    </row>
    <row r="3526" spans="1:2" x14ac:dyDescent="0.35">
      <c r="A3526" s="15" t="s">
        <v>3626</v>
      </c>
      <c r="B3526" s="52">
        <v>1</v>
      </c>
    </row>
    <row r="3527" spans="1:2" x14ac:dyDescent="0.35">
      <c r="A3527" s="15" t="s">
        <v>4120</v>
      </c>
      <c r="B3527" s="52">
        <v>1</v>
      </c>
    </row>
    <row r="3528" spans="1:2" x14ac:dyDescent="0.35">
      <c r="A3528" s="15" t="s">
        <v>4119</v>
      </c>
      <c r="B3528" s="52">
        <v>1</v>
      </c>
    </row>
    <row r="3529" spans="1:2" x14ac:dyDescent="0.35">
      <c r="A3529" s="15" t="s">
        <v>4083</v>
      </c>
      <c r="B3529" s="52">
        <v>1</v>
      </c>
    </row>
    <row r="3530" spans="1:2" x14ac:dyDescent="0.35">
      <c r="A3530" s="15" t="s">
        <v>4081</v>
      </c>
      <c r="B3530" s="52">
        <v>1</v>
      </c>
    </row>
    <row r="3531" spans="1:2" x14ac:dyDescent="0.35">
      <c r="A3531" s="15" t="s">
        <v>4166</v>
      </c>
      <c r="B3531" s="52">
        <v>1</v>
      </c>
    </row>
    <row r="3532" spans="1:2" x14ac:dyDescent="0.35">
      <c r="A3532" s="15" t="s">
        <v>4154</v>
      </c>
      <c r="B3532" s="52">
        <v>1</v>
      </c>
    </row>
    <row r="3533" spans="1:2" x14ac:dyDescent="0.35">
      <c r="A3533" s="15" t="s">
        <v>3653</v>
      </c>
      <c r="B3533" s="52">
        <v>1</v>
      </c>
    </row>
    <row r="3534" spans="1:2" x14ac:dyDescent="0.35">
      <c r="A3534" s="15" t="s">
        <v>4085</v>
      </c>
      <c r="B3534" s="52">
        <v>1</v>
      </c>
    </row>
    <row r="3535" spans="1:2" x14ac:dyDescent="0.35">
      <c r="A3535" s="15" t="s">
        <v>3618</v>
      </c>
      <c r="B3535" s="52">
        <v>1</v>
      </c>
    </row>
    <row r="3536" spans="1:2" x14ac:dyDescent="0.35">
      <c r="A3536" s="15" t="s">
        <v>4088</v>
      </c>
      <c r="B3536" s="52">
        <v>1</v>
      </c>
    </row>
    <row r="3537" spans="1:2" x14ac:dyDescent="0.35">
      <c r="A3537" s="15" t="s">
        <v>4112</v>
      </c>
      <c r="B3537" s="52">
        <v>1</v>
      </c>
    </row>
    <row r="3538" spans="1:2" x14ac:dyDescent="0.35">
      <c r="A3538" s="15" t="s">
        <v>4148</v>
      </c>
      <c r="B3538" s="52">
        <v>1</v>
      </c>
    </row>
    <row r="3539" spans="1:2" x14ac:dyDescent="0.35">
      <c r="A3539" s="15" t="s">
        <v>3843</v>
      </c>
      <c r="B3539" s="52">
        <v>1</v>
      </c>
    </row>
    <row r="3540" spans="1:2" x14ac:dyDescent="0.35">
      <c r="A3540" s="15" t="s">
        <v>3765</v>
      </c>
      <c r="B3540" s="52">
        <v>1</v>
      </c>
    </row>
    <row r="3541" spans="1:2" x14ac:dyDescent="0.35">
      <c r="A3541" s="15" t="s">
        <v>3764</v>
      </c>
      <c r="B3541" s="52">
        <v>1</v>
      </c>
    </row>
    <row r="3542" spans="1:2" x14ac:dyDescent="0.35">
      <c r="A3542" s="15" t="s">
        <v>3720</v>
      </c>
      <c r="B3542" s="52">
        <v>1</v>
      </c>
    </row>
    <row r="3543" spans="1:2" x14ac:dyDescent="0.35">
      <c r="A3543" s="15" t="s">
        <v>3728</v>
      </c>
      <c r="B3543" s="52">
        <v>1</v>
      </c>
    </row>
    <row r="3544" spans="1:2" x14ac:dyDescent="0.35">
      <c r="A3544" s="15" t="s">
        <v>3845</v>
      </c>
      <c r="B3544" s="52">
        <v>1</v>
      </c>
    </row>
    <row r="3545" spans="1:2" x14ac:dyDescent="0.35">
      <c r="A3545" s="15" t="s">
        <v>3770</v>
      </c>
      <c r="B3545" s="52">
        <v>1</v>
      </c>
    </row>
    <row r="3546" spans="1:2" x14ac:dyDescent="0.35">
      <c r="A3546" s="15" t="s">
        <v>3782</v>
      </c>
      <c r="B3546" s="52">
        <v>1</v>
      </c>
    </row>
    <row r="3547" spans="1:2" x14ac:dyDescent="0.35">
      <c r="A3547" s="15" t="s">
        <v>4065</v>
      </c>
      <c r="B3547" s="52">
        <v>1</v>
      </c>
    </row>
    <row r="3548" spans="1:2" x14ac:dyDescent="0.35">
      <c r="A3548" s="15" t="s">
        <v>3686</v>
      </c>
      <c r="B3548" s="52">
        <v>1</v>
      </c>
    </row>
    <row r="3549" spans="1:2" x14ac:dyDescent="0.35">
      <c r="A3549" s="15" t="s">
        <v>4028</v>
      </c>
      <c r="B3549" s="52">
        <v>1</v>
      </c>
    </row>
    <row r="3550" spans="1:2" x14ac:dyDescent="0.35">
      <c r="A3550" s="15" t="s">
        <v>3778</v>
      </c>
      <c r="B3550" s="52">
        <v>1</v>
      </c>
    </row>
    <row r="3551" spans="1:2" x14ac:dyDescent="0.35">
      <c r="A3551" s="15" t="s">
        <v>3731</v>
      </c>
      <c r="B3551" s="52">
        <v>1</v>
      </c>
    </row>
    <row r="3552" spans="1:2" x14ac:dyDescent="0.35">
      <c r="A3552" s="15" t="s">
        <v>3696</v>
      </c>
      <c r="B3552" s="52">
        <v>1</v>
      </c>
    </row>
    <row r="3553" spans="1:2" x14ac:dyDescent="0.35">
      <c r="A3553" s="15" t="s">
        <v>3734</v>
      </c>
      <c r="B3553" s="52">
        <v>1</v>
      </c>
    </row>
    <row r="3554" spans="1:2" x14ac:dyDescent="0.35">
      <c r="A3554" s="15" t="s">
        <v>3732</v>
      </c>
      <c r="B3554" s="52">
        <v>1</v>
      </c>
    </row>
    <row r="3555" spans="1:2" x14ac:dyDescent="0.35">
      <c r="A3555" s="15" t="s">
        <v>3713</v>
      </c>
      <c r="B3555" s="52">
        <v>1</v>
      </c>
    </row>
    <row r="3556" spans="1:2" x14ac:dyDescent="0.35">
      <c r="A3556" s="15" t="s">
        <v>3766</v>
      </c>
      <c r="B3556" s="52">
        <v>1</v>
      </c>
    </row>
    <row r="3557" spans="1:2" x14ac:dyDescent="0.35">
      <c r="A3557" s="15" t="s">
        <v>3771</v>
      </c>
      <c r="B3557" s="52">
        <v>1</v>
      </c>
    </row>
    <row r="3558" spans="1:2" x14ac:dyDescent="0.35">
      <c r="A3558" s="15" t="s">
        <v>3783</v>
      </c>
      <c r="B3558" s="52">
        <v>1</v>
      </c>
    </row>
    <row r="3559" spans="1:2" x14ac:dyDescent="0.35">
      <c r="A3559" s="15" t="s">
        <v>4033</v>
      </c>
      <c r="B3559" s="52">
        <v>1</v>
      </c>
    </row>
    <row r="3560" spans="1:2" x14ac:dyDescent="0.35">
      <c r="A3560" s="15" t="s">
        <v>4034</v>
      </c>
      <c r="B3560" s="52">
        <v>1</v>
      </c>
    </row>
    <row r="3561" spans="1:2" x14ac:dyDescent="0.35">
      <c r="A3561" s="15" t="s">
        <v>4049</v>
      </c>
      <c r="B3561" s="52">
        <v>1</v>
      </c>
    </row>
    <row r="3562" spans="1:2" x14ac:dyDescent="0.35">
      <c r="A3562" s="15" t="s">
        <v>3739</v>
      </c>
      <c r="B3562" s="52">
        <v>1</v>
      </c>
    </row>
    <row r="3563" spans="1:2" x14ac:dyDescent="0.35">
      <c r="A3563" s="15" t="s">
        <v>3707</v>
      </c>
      <c r="B3563" s="52">
        <v>1</v>
      </c>
    </row>
    <row r="3564" spans="1:2" x14ac:dyDescent="0.35">
      <c r="A3564" s="15" t="s">
        <v>3748</v>
      </c>
      <c r="B3564" s="52">
        <v>1</v>
      </c>
    </row>
    <row r="3565" spans="1:2" x14ac:dyDescent="0.35">
      <c r="A3565" s="15" t="s">
        <v>3751</v>
      </c>
      <c r="B3565" s="52">
        <v>1</v>
      </c>
    </row>
    <row r="3566" spans="1:2" x14ac:dyDescent="0.35">
      <c r="A3566" s="15" t="s">
        <v>3760</v>
      </c>
      <c r="B3566" s="52">
        <v>1</v>
      </c>
    </row>
    <row r="3567" spans="1:2" x14ac:dyDescent="0.35">
      <c r="A3567" s="15" t="s">
        <v>3709</v>
      </c>
      <c r="B3567" s="52">
        <v>1</v>
      </c>
    </row>
    <row r="3568" spans="1:2" x14ac:dyDescent="0.35">
      <c r="A3568" s="15" t="s">
        <v>3687</v>
      </c>
      <c r="B3568" s="52">
        <v>1</v>
      </c>
    </row>
    <row r="3569" spans="1:2" x14ac:dyDescent="0.35">
      <c r="A3569" s="15" t="s">
        <v>3773</v>
      </c>
      <c r="B3569" s="52">
        <v>1</v>
      </c>
    </row>
    <row r="3570" spans="1:2" x14ac:dyDescent="0.35">
      <c r="A3570" s="15" t="s">
        <v>3846</v>
      </c>
      <c r="B3570" s="52">
        <v>1</v>
      </c>
    </row>
    <row r="3571" spans="1:2" x14ac:dyDescent="0.35">
      <c r="A3571" s="15" t="s">
        <v>3844</v>
      </c>
      <c r="B3571" s="52">
        <v>1</v>
      </c>
    </row>
    <row r="3572" spans="1:2" x14ac:dyDescent="0.35">
      <c r="A3572" s="15" t="s">
        <v>4036</v>
      </c>
      <c r="B3572" s="52">
        <v>1</v>
      </c>
    </row>
    <row r="3573" spans="1:2" x14ac:dyDescent="0.35">
      <c r="A3573" s="15" t="s">
        <v>3779</v>
      </c>
      <c r="B3573" s="52">
        <v>1</v>
      </c>
    </row>
    <row r="3574" spans="1:2" x14ac:dyDescent="0.35">
      <c r="A3574" s="15" t="s">
        <v>3711</v>
      </c>
      <c r="B3574" s="52">
        <v>1</v>
      </c>
    </row>
    <row r="3575" spans="1:2" x14ac:dyDescent="0.35">
      <c r="A3575" s="15" t="s">
        <v>3767</v>
      </c>
      <c r="B3575" s="52">
        <v>1</v>
      </c>
    </row>
    <row r="3576" spans="1:2" x14ac:dyDescent="0.35">
      <c r="A3576" s="15" t="s">
        <v>3160</v>
      </c>
      <c r="B3576" s="52">
        <v>1</v>
      </c>
    </row>
    <row r="3577" spans="1:2" x14ac:dyDescent="0.35">
      <c r="A3577" s="15" t="s">
        <v>3161</v>
      </c>
      <c r="B3577" s="52">
        <v>1</v>
      </c>
    </row>
    <row r="3578" spans="1:2" x14ac:dyDescent="0.35">
      <c r="A3578" s="15" t="s">
        <v>90</v>
      </c>
      <c r="B3578" s="52">
        <v>1</v>
      </c>
    </row>
    <row r="3579" spans="1:2" x14ac:dyDescent="0.35">
      <c r="A3579" s="15" t="s">
        <v>3162</v>
      </c>
      <c r="B3579" s="52">
        <v>1</v>
      </c>
    </row>
    <row r="3580" spans="1:2" x14ac:dyDescent="0.35">
      <c r="A3580" s="15" t="s">
        <v>3163</v>
      </c>
      <c r="B3580" s="52">
        <v>1</v>
      </c>
    </row>
    <row r="3581" spans="1:2" x14ac:dyDescent="0.35">
      <c r="A3581" s="15" t="s">
        <v>88</v>
      </c>
      <c r="B3581" s="52">
        <v>1</v>
      </c>
    </row>
    <row r="3582" spans="1:2" x14ac:dyDescent="0.35">
      <c r="A3582" s="15" t="s">
        <v>81</v>
      </c>
      <c r="B3582" s="52">
        <v>1</v>
      </c>
    </row>
    <row r="3583" spans="1:2" x14ac:dyDescent="0.35">
      <c r="A3583" s="15" t="s">
        <v>3166</v>
      </c>
      <c r="B3583" s="52">
        <v>1</v>
      </c>
    </row>
    <row r="3584" spans="1:2" x14ac:dyDescent="0.35">
      <c r="A3584" s="15" t="s">
        <v>3164</v>
      </c>
      <c r="B3584" s="52">
        <v>1</v>
      </c>
    </row>
    <row r="3585" spans="1:2" x14ac:dyDescent="0.35">
      <c r="A3585" s="15" t="s">
        <v>3368</v>
      </c>
      <c r="B3585" s="52">
        <v>1</v>
      </c>
    </row>
    <row r="3586" spans="1:2" x14ac:dyDescent="0.35">
      <c r="A3586" s="15" t="s">
        <v>91</v>
      </c>
      <c r="B3586" s="52">
        <v>1</v>
      </c>
    </row>
    <row r="3587" spans="1:2" x14ac:dyDescent="0.35">
      <c r="A3587" s="15" t="s">
        <v>4061</v>
      </c>
      <c r="B3587" s="52">
        <v>1</v>
      </c>
    </row>
    <row r="3588" spans="1:2" x14ac:dyDescent="0.35">
      <c r="A3588" s="15" t="s">
        <v>4062</v>
      </c>
      <c r="B3588" s="52">
        <v>1</v>
      </c>
    </row>
    <row r="3589" spans="1:2" x14ac:dyDescent="0.35">
      <c r="A3589" s="15" t="s">
        <v>676</v>
      </c>
      <c r="B3589" s="52">
        <v>1</v>
      </c>
    </row>
    <row r="3590" spans="1:2" x14ac:dyDescent="0.35">
      <c r="A3590" s="15" t="s">
        <v>2331</v>
      </c>
      <c r="B3590" s="52">
        <v>1</v>
      </c>
    </row>
    <row r="3591" spans="1:2" x14ac:dyDescent="0.35">
      <c r="A3591" s="15" t="s">
        <v>77</v>
      </c>
      <c r="B3591" s="52">
        <v>1</v>
      </c>
    </row>
    <row r="3592" spans="1:2" x14ac:dyDescent="0.35">
      <c r="A3592" s="15" t="s">
        <v>3086</v>
      </c>
      <c r="B3592" s="52">
        <v>1</v>
      </c>
    </row>
    <row r="3593" spans="1:2" x14ac:dyDescent="0.35">
      <c r="A3593" s="15" t="s">
        <v>2181</v>
      </c>
      <c r="B3593" s="52">
        <v>1</v>
      </c>
    </row>
    <row r="3594" spans="1:2" x14ac:dyDescent="0.35">
      <c r="A3594" s="15" t="s">
        <v>729</v>
      </c>
      <c r="B3594" s="52">
        <v>1</v>
      </c>
    </row>
    <row r="3595" spans="1:2" x14ac:dyDescent="0.35">
      <c r="A3595" s="15" t="s">
        <v>673</v>
      </c>
      <c r="B3595" s="52">
        <v>1</v>
      </c>
    </row>
    <row r="3596" spans="1:2" x14ac:dyDescent="0.35">
      <c r="A3596" s="15" t="s">
        <v>1863</v>
      </c>
      <c r="B3596" s="52">
        <v>1</v>
      </c>
    </row>
    <row r="3597" spans="1:2" x14ac:dyDescent="0.35">
      <c r="A3597" s="15" t="s">
        <v>2322</v>
      </c>
      <c r="B3597" s="52">
        <v>1</v>
      </c>
    </row>
    <row r="3598" spans="1:2" x14ac:dyDescent="0.35">
      <c r="A3598" s="15" t="s">
        <v>3587</v>
      </c>
      <c r="B3598" s="52">
        <v>1</v>
      </c>
    </row>
    <row r="3599" spans="1:2" x14ac:dyDescent="0.35">
      <c r="A3599" s="15" t="s">
        <v>1301</v>
      </c>
      <c r="B3599" s="52">
        <v>1</v>
      </c>
    </row>
    <row r="3600" spans="1:2" x14ac:dyDescent="0.35">
      <c r="A3600" s="15" t="s">
        <v>1303</v>
      </c>
      <c r="B3600" s="52">
        <v>1</v>
      </c>
    </row>
    <row r="3601" spans="1:2" x14ac:dyDescent="0.35">
      <c r="A3601" s="15" t="s">
        <v>1305</v>
      </c>
      <c r="B3601" s="52">
        <v>1</v>
      </c>
    </row>
    <row r="3602" spans="1:2" x14ac:dyDescent="0.35">
      <c r="A3602" s="15" t="s">
        <v>1307</v>
      </c>
      <c r="B3602" s="52">
        <v>1</v>
      </c>
    </row>
    <row r="3603" spans="1:2" x14ac:dyDescent="0.35">
      <c r="A3603" s="15" t="s">
        <v>1278</v>
      </c>
      <c r="B3603" s="52">
        <v>1</v>
      </c>
    </row>
    <row r="3604" spans="1:2" x14ac:dyDescent="0.35">
      <c r="A3604" s="15" t="s">
        <v>1282</v>
      </c>
      <c r="B3604" s="52">
        <v>1</v>
      </c>
    </row>
    <row r="3605" spans="1:2" x14ac:dyDescent="0.35">
      <c r="A3605" s="15" t="s">
        <v>1077</v>
      </c>
      <c r="B3605" s="52">
        <v>1</v>
      </c>
    </row>
    <row r="3606" spans="1:2" x14ac:dyDescent="0.35">
      <c r="A3606" s="15" t="s">
        <v>1073</v>
      </c>
      <c r="B3606" s="52">
        <v>1</v>
      </c>
    </row>
    <row r="3607" spans="1:2" x14ac:dyDescent="0.35">
      <c r="A3607" s="15" t="s">
        <v>2956</v>
      </c>
      <c r="B3607" s="52">
        <v>1</v>
      </c>
    </row>
    <row r="3608" spans="1:2" x14ac:dyDescent="0.35">
      <c r="A3608" s="15" t="s">
        <v>2290</v>
      </c>
      <c r="B3608" s="52">
        <v>1</v>
      </c>
    </row>
    <row r="3609" spans="1:2" x14ac:dyDescent="0.35">
      <c r="A3609" s="15" t="s">
        <v>1280</v>
      </c>
      <c r="B3609" s="52">
        <v>1</v>
      </c>
    </row>
    <row r="3610" spans="1:2" x14ac:dyDescent="0.35">
      <c r="A3610" s="15" t="s">
        <v>1092</v>
      </c>
      <c r="B3610" s="52">
        <v>1</v>
      </c>
    </row>
    <row r="3611" spans="1:2" x14ac:dyDescent="0.35">
      <c r="A3611" s="15" t="s">
        <v>1089</v>
      </c>
      <c r="B3611" s="52">
        <v>1</v>
      </c>
    </row>
    <row r="3612" spans="1:2" x14ac:dyDescent="0.35">
      <c r="A3612" s="15" t="s">
        <v>2371</v>
      </c>
      <c r="B3612" s="52">
        <v>1</v>
      </c>
    </row>
    <row r="3613" spans="1:2" x14ac:dyDescent="0.35">
      <c r="A3613" s="15" t="s">
        <v>3602</v>
      </c>
      <c r="B3613" s="52">
        <v>1</v>
      </c>
    </row>
    <row r="3614" spans="1:2" x14ac:dyDescent="0.35">
      <c r="A3614" s="15" t="s">
        <v>1066</v>
      </c>
      <c r="B3614" s="52">
        <v>1</v>
      </c>
    </row>
    <row r="3615" spans="1:2" x14ac:dyDescent="0.35">
      <c r="A3615" s="15" t="s">
        <v>1071</v>
      </c>
      <c r="B3615" s="52">
        <v>1</v>
      </c>
    </row>
    <row r="3616" spans="1:2" x14ac:dyDescent="0.35">
      <c r="A3616" s="15" t="s">
        <v>1069</v>
      </c>
      <c r="B3616" s="52">
        <v>1</v>
      </c>
    </row>
    <row r="3617" spans="1:2" x14ac:dyDescent="0.35">
      <c r="A3617" s="15" t="s">
        <v>1275</v>
      </c>
      <c r="B3617" s="52">
        <v>1</v>
      </c>
    </row>
    <row r="3618" spans="1:2" x14ac:dyDescent="0.35">
      <c r="A3618" s="15" t="s">
        <v>1867</v>
      </c>
      <c r="B3618" s="52">
        <v>1</v>
      </c>
    </row>
    <row r="3619" spans="1:2" x14ac:dyDescent="0.35">
      <c r="A3619" s="15" t="s">
        <v>1079</v>
      </c>
      <c r="B3619" s="52">
        <v>1</v>
      </c>
    </row>
    <row r="3620" spans="1:2" x14ac:dyDescent="0.35">
      <c r="A3620" s="15" t="s">
        <v>1081</v>
      </c>
      <c r="B3620" s="52">
        <v>1</v>
      </c>
    </row>
    <row r="3621" spans="1:2" x14ac:dyDescent="0.35">
      <c r="A3621" s="15" t="s">
        <v>1085</v>
      </c>
      <c r="B3621" s="52">
        <v>1</v>
      </c>
    </row>
    <row r="3622" spans="1:2" x14ac:dyDescent="0.35">
      <c r="A3622" s="15" t="s">
        <v>1083</v>
      </c>
      <c r="B3622" s="52">
        <v>1</v>
      </c>
    </row>
    <row r="3623" spans="1:2" x14ac:dyDescent="0.35">
      <c r="A3623" s="15" t="s">
        <v>2011</v>
      </c>
      <c r="B3623" s="52">
        <v>1</v>
      </c>
    </row>
    <row r="3624" spans="1:2" x14ac:dyDescent="0.35">
      <c r="A3624" s="15" t="s">
        <v>2623</v>
      </c>
      <c r="B3624" s="52">
        <v>1</v>
      </c>
    </row>
    <row r="3625" spans="1:2" x14ac:dyDescent="0.35">
      <c r="A3625" s="15" t="s">
        <v>1273</v>
      </c>
      <c r="B3625" s="52">
        <v>1</v>
      </c>
    </row>
    <row r="3626" spans="1:2" x14ac:dyDescent="0.35">
      <c r="A3626" s="15" t="s">
        <v>1266</v>
      </c>
      <c r="B3626" s="52">
        <v>1</v>
      </c>
    </row>
    <row r="3627" spans="1:2" x14ac:dyDescent="0.35">
      <c r="A3627" s="15" t="s">
        <v>1257</v>
      </c>
      <c r="B3627" s="52">
        <v>1</v>
      </c>
    </row>
    <row r="3628" spans="1:2" x14ac:dyDescent="0.35">
      <c r="A3628" s="15" t="s">
        <v>1270</v>
      </c>
      <c r="B3628" s="52">
        <v>1</v>
      </c>
    </row>
    <row r="3629" spans="1:2" x14ac:dyDescent="0.35">
      <c r="A3629" s="15" t="s">
        <v>637</v>
      </c>
      <c r="B3629" s="52">
        <v>1</v>
      </c>
    </row>
    <row r="3630" spans="1:2" x14ac:dyDescent="0.35">
      <c r="A3630" s="15" t="s">
        <v>1261</v>
      </c>
      <c r="B3630" s="52">
        <v>1</v>
      </c>
    </row>
    <row r="3631" spans="1:2" x14ac:dyDescent="0.35">
      <c r="A3631" s="15" t="s">
        <v>2420</v>
      </c>
      <c r="B3631" s="52">
        <v>1</v>
      </c>
    </row>
    <row r="3632" spans="1:2" x14ac:dyDescent="0.35">
      <c r="A3632" s="15" t="s">
        <v>2611</v>
      </c>
      <c r="B3632" s="52">
        <v>1</v>
      </c>
    </row>
    <row r="3633" spans="1:2" x14ac:dyDescent="0.35">
      <c r="A3633" s="15" t="s">
        <v>1854</v>
      </c>
      <c r="B3633" s="52">
        <v>1</v>
      </c>
    </row>
    <row r="3634" spans="1:2" x14ac:dyDescent="0.35">
      <c r="A3634" s="15" t="s">
        <v>1712</v>
      </c>
      <c r="B3634" s="52">
        <v>1</v>
      </c>
    </row>
    <row r="3635" spans="1:2" x14ac:dyDescent="0.35">
      <c r="A3635" s="15" t="s">
        <v>1714</v>
      </c>
      <c r="B3635" s="52">
        <v>1</v>
      </c>
    </row>
    <row r="3636" spans="1:2" x14ac:dyDescent="0.35">
      <c r="A3636" s="15" t="s">
        <v>1268</v>
      </c>
      <c r="B3636" s="52">
        <v>1</v>
      </c>
    </row>
    <row r="3637" spans="1:2" x14ac:dyDescent="0.35">
      <c r="A3637" s="15" t="s">
        <v>1718</v>
      </c>
      <c r="B3637" s="52">
        <v>1</v>
      </c>
    </row>
    <row r="3638" spans="1:2" x14ac:dyDescent="0.35">
      <c r="A3638" s="15" t="s">
        <v>1703</v>
      </c>
      <c r="B3638" s="52">
        <v>1</v>
      </c>
    </row>
    <row r="3639" spans="1:2" x14ac:dyDescent="0.35">
      <c r="A3639" s="15" t="s">
        <v>784</v>
      </c>
      <c r="B3639" s="52">
        <v>1</v>
      </c>
    </row>
    <row r="3640" spans="1:2" x14ac:dyDescent="0.35">
      <c r="A3640" s="15" t="s">
        <v>3590</v>
      </c>
      <c r="B3640" s="52">
        <v>1</v>
      </c>
    </row>
    <row r="3641" spans="1:2" x14ac:dyDescent="0.35">
      <c r="A3641" s="15" t="s">
        <v>675</v>
      </c>
      <c r="B3641" s="52">
        <v>1</v>
      </c>
    </row>
    <row r="3642" spans="1:2" x14ac:dyDescent="0.35">
      <c r="A3642" s="15" t="s">
        <v>1697</v>
      </c>
      <c r="B3642" s="52">
        <v>1</v>
      </c>
    </row>
    <row r="3643" spans="1:2" x14ac:dyDescent="0.35">
      <c r="A3643" s="15" t="s">
        <v>1960</v>
      </c>
      <c r="B3643" s="52">
        <v>1</v>
      </c>
    </row>
    <row r="3644" spans="1:2" x14ac:dyDescent="0.35">
      <c r="A3644" s="15" t="s">
        <v>1249</v>
      </c>
      <c r="B3644" s="52">
        <v>1</v>
      </c>
    </row>
    <row r="3645" spans="1:2" x14ac:dyDescent="0.35">
      <c r="A3645" s="15" t="s">
        <v>1252</v>
      </c>
      <c r="B3645" s="52">
        <v>1</v>
      </c>
    </row>
    <row r="3646" spans="1:2" x14ac:dyDescent="0.35">
      <c r="A3646" s="15" t="s">
        <v>1213</v>
      </c>
      <c r="B3646" s="52">
        <v>1</v>
      </c>
    </row>
    <row r="3647" spans="1:2" x14ac:dyDescent="0.35">
      <c r="A3647" s="15" t="s">
        <v>2132</v>
      </c>
      <c r="B3647" s="52">
        <v>1</v>
      </c>
    </row>
    <row r="3648" spans="1:2" x14ac:dyDescent="0.35">
      <c r="A3648" s="15" t="s">
        <v>1291</v>
      </c>
      <c r="B3648" s="52">
        <v>1</v>
      </c>
    </row>
    <row r="3649" spans="1:2" x14ac:dyDescent="0.35">
      <c r="A3649" s="15" t="s">
        <v>3601</v>
      </c>
      <c r="B3649" s="52">
        <v>1</v>
      </c>
    </row>
    <row r="3650" spans="1:2" x14ac:dyDescent="0.35">
      <c r="A3650" s="15" t="s">
        <v>1871</v>
      </c>
      <c r="B3650" s="52">
        <v>1</v>
      </c>
    </row>
    <row r="3651" spans="1:2" x14ac:dyDescent="0.35">
      <c r="A3651" s="15" t="s">
        <v>3603</v>
      </c>
      <c r="B3651" s="52">
        <v>1</v>
      </c>
    </row>
    <row r="3652" spans="1:2" x14ac:dyDescent="0.35">
      <c r="A3652" s="15" t="s">
        <v>1219</v>
      </c>
      <c r="B3652" s="52">
        <v>1</v>
      </c>
    </row>
    <row r="3653" spans="1:2" x14ac:dyDescent="0.35">
      <c r="A3653" s="15" t="s">
        <v>1264</v>
      </c>
      <c r="B3653" s="52">
        <v>1</v>
      </c>
    </row>
    <row r="3654" spans="1:2" x14ac:dyDescent="0.35">
      <c r="A3654" s="15" t="s">
        <v>1087</v>
      </c>
      <c r="B3654" s="52">
        <v>1</v>
      </c>
    </row>
    <row r="3655" spans="1:2" x14ac:dyDescent="0.35">
      <c r="A3655" s="15" t="s">
        <v>674</v>
      </c>
      <c r="B3655" s="52">
        <v>1</v>
      </c>
    </row>
    <row r="3656" spans="1:2" x14ac:dyDescent="0.35">
      <c r="A3656" s="15" t="s">
        <v>671</v>
      </c>
      <c r="B3656" s="52">
        <v>1</v>
      </c>
    </row>
    <row r="3657" spans="1:2" x14ac:dyDescent="0.35">
      <c r="A3657" s="15" t="s">
        <v>787</v>
      </c>
      <c r="B3657" s="52">
        <v>1</v>
      </c>
    </row>
    <row r="3658" spans="1:2" x14ac:dyDescent="0.35">
      <c r="A3658" s="15" t="s">
        <v>1700</v>
      </c>
      <c r="B3658" s="52">
        <v>1</v>
      </c>
    </row>
    <row r="3659" spans="1:2" x14ac:dyDescent="0.35">
      <c r="A3659" s="15" t="s">
        <v>3255</v>
      </c>
      <c r="B3659" s="52">
        <v>1</v>
      </c>
    </row>
    <row r="3660" spans="1:2" x14ac:dyDescent="0.35">
      <c r="A3660" s="15" t="s">
        <v>759</v>
      </c>
      <c r="B3660" s="52">
        <v>1</v>
      </c>
    </row>
    <row r="3661" spans="1:2" x14ac:dyDescent="0.35">
      <c r="A3661" s="15" t="s">
        <v>1075</v>
      </c>
      <c r="B3661" s="52">
        <v>1</v>
      </c>
    </row>
    <row r="3662" spans="1:2" x14ac:dyDescent="0.35">
      <c r="A3662" s="15" t="s">
        <v>3588</v>
      </c>
      <c r="B3662" s="52">
        <v>1</v>
      </c>
    </row>
    <row r="3663" spans="1:2" x14ac:dyDescent="0.35">
      <c r="A3663" s="15" t="s">
        <v>1094</v>
      </c>
      <c r="B3663" s="52">
        <v>1</v>
      </c>
    </row>
    <row r="3664" spans="1:2" x14ac:dyDescent="0.35">
      <c r="A3664" s="15" t="s">
        <v>1246</v>
      </c>
      <c r="B3664" s="52">
        <v>1</v>
      </c>
    </row>
    <row r="3665" spans="1:2" x14ac:dyDescent="0.35">
      <c r="A3665" s="15" t="s">
        <v>2477</v>
      </c>
      <c r="B3665" s="52">
        <v>1</v>
      </c>
    </row>
    <row r="3666" spans="1:2" x14ac:dyDescent="0.35">
      <c r="A3666" s="15" t="s">
        <v>736</v>
      </c>
      <c r="B3666" s="52">
        <v>1</v>
      </c>
    </row>
    <row r="3667" spans="1:2" x14ac:dyDescent="0.35">
      <c r="A3667" s="15" t="s">
        <v>2115</v>
      </c>
      <c r="B3667" s="52">
        <v>1</v>
      </c>
    </row>
    <row r="3668" spans="1:2" x14ac:dyDescent="0.35">
      <c r="A3668" s="15" t="s">
        <v>3586</v>
      </c>
      <c r="B3668" s="52">
        <v>1</v>
      </c>
    </row>
    <row r="3669" spans="1:2" x14ac:dyDescent="0.35">
      <c r="A3669" s="15" t="s">
        <v>979</v>
      </c>
      <c r="B3669" s="52">
        <v>1</v>
      </c>
    </row>
    <row r="3670" spans="1:2" x14ac:dyDescent="0.35">
      <c r="A3670" s="15" t="s">
        <v>6796</v>
      </c>
      <c r="B3670" s="52">
        <v>3666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Standard Items List</vt:lpstr>
      <vt:lpstr>Mark-up rule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Laurent Zanchi</cp:lastModifiedBy>
  <cp:lastPrinted>2024-09-26T00:54:41Z</cp:lastPrinted>
  <dcterms:created xsi:type="dcterms:W3CDTF">2024-06-04T06:23:55Z</dcterms:created>
  <dcterms:modified xsi:type="dcterms:W3CDTF">2025-02-11T08:26:19Z</dcterms:modified>
</cp:coreProperties>
</file>